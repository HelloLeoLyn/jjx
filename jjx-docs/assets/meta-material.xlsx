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</author>
  </authors>
  <commentList>
    <comment ref="BR1" authorId="0">
      <text>
        <r>
          <rPr>
            <b/>
            <sz val="9"/>
            <rFont val="宋体"/>
            <charset val="134"/>
          </rPr>
          <t>win:
说明：此项目，时间太久的，不能展示，给 客人 / 来厂审查人员 看清  醒目点</t>
        </r>
        <r>
          <rPr>
            <sz val="9"/>
            <rFont val="宋体"/>
            <charset val="134"/>
          </rPr>
          <t xml:space="preserve">
24.12.27，记录 动太管理 
确认、 金
</t>
        </r>
      </text>
    </comment>
    <comment ref="BS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说明：如果新进料，把
</t>
        </r>
        <r>
          <rPr>
            <sz val="9"/>
            <color indexed="12"/>
            <rFont val="宋体"/>
            <charset val="134"/>
          </rPr>
          <t>年月日</t>
        </r>
        <r>
          <rPr>
            <sz val="9"/>
            <rFont val="宋体"/>
            <charset val="134"/>
          </rPr>
          <t>，</t>
        </r>
        <r>
          <rPr>
            <b/>
            <sz val="9"/>
            <rFont val="微软雅黑"/>
            <charset val="134"/>
          </rPr>
          <t>涂上</t>
        </r>
        <r>
          <rPr>
            <b/>
            <sz val="9"/>
            <color indexed="12"/>
            <rFont val="微软雅黑"/>
            <charset val="134"/>
          </rPr>
          <t>蓝色</t>
        </r>
        <r>
          <rPr>
            <sz val="9"/>
            <rFont val="宋体"/>
            <charset val="134"/>
          </rPr>
          <t>，识别，代表当月/当日24.12.27 金</t>
        </r>
      </text>
    </comment>
    <comment ref="A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后面一批AD-155,用
这个料，发，材料
25.10.18,AD-030,用材料，金
25.12.27,AD-030,用材料，金</t>
        </r>
      </text>
    </comment>
    <comment ref="BR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A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IVP,专用</t>
        </r>
      </text>
    </comment>
    <comment ref="BP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说明：=1950-2000，左右  
2023.4.11 金
24.12.27， 金 现场评估，目前有材料
=600-700M,之间</t>
        </r>
      </text>
    </comment>
    <comment ref="BR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24..12.27，盘点
金</t>
        </r>
      </text>
    </comment>
    <comment ref="A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JJX-165
样品材料，25.11.06</t>
        </r>
      </text>
    </comment>
    <comment ref="A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特别说明：可以
切割小孔
26.03.24 ：下午
慕知道、 辉说的， 金 记录</t>
        </r>
      </text>
    </comment>
    <comment ref="A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特别说明：可以
切割小孔
26.06.25 ：下午
慕知道、 辉说的， 金 记录</t>
        </r>
      </text>
    </comment>
    <comment ref="A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此批次材料
记录，可以，切割
小孔，25.07.16
新材料，回来、金</t>
        </r>
      </text>
    </comment>
    <comment ref="A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特别说明：可以
切割小孔
26.06.25 ：下午
慕知道、 辉说的， 金 记录</t>
        </r>
      </text>
    </comment>
    <comment ref="A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特别说明：可以
切割小孔
26.03.24 ：下午
慕知道、 辉说的， 金 记录</t>
        </r>
      </text>
    </comment>
    <comment ref="A1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金玛莱清货26.08.04</t>
        </r>
      </text>
    </comment>
    <comment ref="A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金玛莱清货26.08.04</t>
        </r>
      </text>
    </comment>
    <comment ref="A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YL-949.新材料，
新编号，已确认
25.10.30
金</t>
        </r>
      </text>
    </comment>
    <comment ref="A1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YL-949.新材料，
新编号，已确认
25.10.30
金</t>
        </r>
      </text>
    </comment>
    <comment ref="BR1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A2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YL-1077
材料，26.06.18</t>
        </r>
      </text>
    </comment>
    <comment ref="A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金玛莱清货26.08.04</t>
        </r>
      </text>
    </comment>
    <comment ref="BR2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B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JJX-157/158,样品材料
25.08.16</t>
        </r>
      </text>
    </comment>
    <comment ref="BR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A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YL-947 ,用它
25.03.26，金</t>
        </r>
      </text>
    </comment>
    <comment ref="B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26.03.23，
切出，做YL-947 
因为材料不够
所以，暂停，使用天博
材料， 金 记录</t>
        </r>
      </text>
    </comment>
    <comment ref="BT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因为上次，26.03.23 
因为，YL-947 不够投料数量
所以不能使用，记录 、金</t>
        </r>
      </text>
    </comment>
    <comment ref="BR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BR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A38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B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关注，后续，品质，
效果，25.12.09，
记录：</t>
        </r>
      </text>
    </comment>
    <comment ref="BP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好后面材料，不良
只能做导光片用
26.03.04</t>
        </r>
      </text>
    </comment>
    <comment ref="A39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A40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A41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BP4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
不能用于面板
尾料，不平整
26.08.03 金 记录</t>
        </r>
      </text>
    </comment>
    <comment ref="A42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I4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JTT-181/202
JTT-202,库存面板
时间太久 先不用 金</t>
        </r>
      </text>
    </comment>
    <comment ref="A43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A44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B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关注，后续，品质，
效果，25.12.09，
记录：</t>
        </r>
      </text>
    </comment>
    <comment ref="BP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好后面材料，不良
只能做导光片用
26.03.04</t>
        </r>
      </text>
    </comment>
    <comment ref="BQ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尾巴材料，只能合适
做导光片
使用  因为有波纹</t>
        </r>
      </text>
    </comment>
    <comment ref="A45" authorId="0">
      <text>
        <r>
          <rPr>
            <b/>
            <sz val="9"/>
            <rFont val="宋体"/>
            <charset val="134"/>
          </rPr>
          <t xml:space="preserve">型号：DB6811）
</t>
        </r>
        <r>
          <rPr>
            <sz val="9"/>
            <rFont val="宋体"/>
            <charset val="134"/>
          </rPr>
          <t xml:space="preserve">
</t>
        </r>
      </text>
    </comment>
    <comment ref="B4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关注，后续，品质，
效果，25.12.09，
记录：</t>
        </r>
      </text>
    </comment>
    <comment ref="BQ4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同上</t>
        </r>
      </text>
    </comment>
    <comment ref="BT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说明：DB-141 生产反应
材料有问题，但是
经过，后面，解决
材料，没有问题
可以 使用，26.06.22 金  记录</t>
        </r>
      </text>
    </comment>
    <comment ref="BT4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说明：FLD-081 生产反应
材料有问题，但是
经过，后面，解决
材料，没有问题
可以 使用，26.06.22 金  记录</t>
        </r>
      </text>
    </comment>
    <comment ref="A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26.03.21</t>
        </r>
      </text>
    </comment>
    <comment ref="BT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26.04.02，
确认，效果，试用
前面几米，不要用
慕：说 26.04.02 金</t>
        </r>
      </text>
    </comment>
    <comment ref="BT5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26.04.02，
确认，效果，试用
前面几米，不要用
慕：说 26.04.02 金</t>
        </r>
      </text>
    </comment>
    <comment ref="A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关于透明黑
抗 烧  油墨</t>
        </r>
      </text>
    </comment>
    <comment ref="A5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关于透明黑
抗 烧  油墨</t>
        </r>
      </text>
    </comment>
    <comment ref="A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关于透明黑
抗 烧  油墨</t>
        </r>
      </text>
    </comment>
    <comment ref="M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FLD-086
补异常</t>
        </r>
      </text>
    </comment>
    <comment ref="I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
导光片1</t>
        </r>
      </text>
    </comment>
    <comment ref="B65" authorId="0">
      <text>
        <r>
          <rPr>
            <b/>
            <sz val="9"/>
            <rFont val="宋体"/>
            <charset val="134"/>
          </rPr>
          <t>win:
方法600/先开215宽*2刀=430= 余180左右，
730*180片， 730/215 /3 = 645尺寸，剩余料，留仓库
730/180=*4片</t>
        </r>
        <r>
          <rPr>
            <sz val="9"/>
            <rFont val="宋体"/>
            <charset val="134"/>
          </rPr>
          <t xml:space="preserve">
说明：此规格 做HZLT-049,大小面板，
可以，做=11，PCS
余料，留下来，有用处，25.01.03 金</t>
        </r>
      </text>
    </comment>
    <comment ref="BR6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BT6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HZLT,几款，可以用
LWJ,188,系列，防水框，可用
24.09.26，金</t>
        </r>
      </text>
    </comment>
    <comment ref="BT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25.07.17，
订单，要效果修改</t>
        </r>
      </text>
    </comment>
    <comment ref="I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
导光片2</t>
        </r>
      </text>
    </comment>
    <comment ref="B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YL-1056/1057,系列
26.03.12</t>
        </r>
      </text>
    </comment>
    <comment ref="M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工程样品
使用
26.08.05 金</t>
        </r>
      </text>
    </comment>
    <comment ref="A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此材料
防火
26.03.21</t>
        </r>
      </text>
    </comment>
    <comment ref="A7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此材料
防火
26.03.21</t>
        </r>
      </text>
    </comment>
    <comment ref="I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JST-1328</t>
        </r>
      </text>
    </comment>
    <comment ref="BS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25.10.30.批次
26.04.15，批次
26.04.17，批次</t>
        </r>
      </text>
    </comment>
    <comment ref="A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此材料
防火
26.07.21</t>
        </r>
      </text>
    </comment>
    <comment ref="A85" authorId="0">
      <text>
        <r>
          <rPr>
            <sz val="9"/>
            <rFont val="宋体"/>
            <charset val="134"/>
          </rPr>
          <t xml:space="preserve">用在JTT-545
</t>
        </r>
      </text>
    </comment>
    <comment ref="B8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具体时间，要确认一下
是不 是=2012.11.05的
24.12.27，金  ？</t>
        </r>
      </text>
    </comment>
    <comment ref="B87" authorId="0">
      <text>
        <r>
          <rPr>
            <sz val="9"/>
            <rFont val="宋体"/>
            <charset val="134"/>
          </rPr>
          <t xml:space="preserve">用于JST-727
</t>
        </r>
      </text>
    </comment>
    <comment ref="BR8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B88" authorId="0">
      <text>
        <r>
          <rPr>
            <sz val="9"/>
            <rFont val="宋体"/>
            <charset val="134"/>
          </rPr>
          <t xml:space="preserve">用于JST-727
</t>
        </r>
      </text>
    </comment>
    <comment ref="BR8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A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材料有晶点
26.03.23</t>
        </r>
      </text>
    </comment>
    <comment ref="BT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JST-886,切出来余料
26.03.24</t>
        </r>
      </text>
    </comment>
    <comment ref="A9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材料有晶点
26.03.23</t>
        </r>
      </text>
    </comment>
    <comment ref="BS9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25.07.09，批次
25.07.23，批次
25.08.14，批次
26.01.22，批次
26.02.07，批次</t>
        </r>
      </text>
    </comment>
    <comment ref="A1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</t>
        </r>
      </text>
    </comment>
    <comment ref="A1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</t>
        </r>
      </text>
    </comment>
    <comment ref="A10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JTT-813,样品
25.05.24</t>
        </r>
      </text>
    </comment>
    <comment ref="A10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JTT-848,样品
25.07.14</t>
        </r>
      </text>
    </comment>
    <comment ref="I10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JST-803
胶板</t>
        </r>
      </text>
    </comment>
    <comment ref="A10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CF-035/036</t>
        </r>
      </text>
    </comment>
    <comment ref="B1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JTT-986
规格300*230
实际订回来。
280*305 26.05.30 金</t>
        </r>
      </text>
    </comment>
    <comment ref="A1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来料日期=2025.07.18
金
豆芽机</t>
        </r>
      </text>
    </comment>
    <comment ref="A11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来料日期=2025.07.18
金
豆芽机</t>
        </r>
      </text>
    </comment>
    <comment ref="A1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23.11.27，包装上没有供应商，厂名
23.11.27
金</t>
        </r>
      </text>
    </comment>
    <comment ref="B1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JTT-642,专用
24.11.29，入</t>
        </r>
      </text>
    </comment>
    <comment ref="A1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之前，登记，是，5.0，mm,今天，发现4.0mm ，修改过来，24.09.28 金</t>
        </r>
      </text>
    </comment>
    <comment ref="BR117" authorId="0">
      <text>
        <r>
          <rPr>
            <b/>
            <sz val="9"/>
            <rFont val="宋体"/>
            <charset val="134"/>
          </rPr>
          <t>win:
好久了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BR118" authorId="0">
      <text>
        <r>
          <rPr>
            <b/>
            <sz val="9"/>
            <rFont val="宋体"/>
            <charset val="134"/>
          </rPr>
          <t>win:
好久了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BR119" authorId="0">
      <text>
        <r>
          <rPr>
            <b/>
            <sz val="9"/>
            <rFont val="宋体"/>
            <charset val="134"/>
          </rPr>
          <t>win:
好久了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A121" authorId="0">
      <text>
        <r>
          <rPr>
            <b/>
            <sz val="9"/>
            <rFont val="宋体"/>
            <charset val="134"/>
          </rPr>
          <t>win:
生板，亚克力
JJX-174</t>
        </r>
      </text>
    </comment>
    <comment ref="J12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单据编号： SA-2026-08-0019</t>
        </r>
      </text>
    </comment>
    <comment ref="M12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JTT-968
隔片</t>
        </r>
      </text>
    </comment>
    <comment ref="J1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单据编号： SA-2026-08-0019</t>
        </r>
      </text>
    </comment>
    <comment ref="A1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JST-1014,专用尺寸</t>
        </r>
      </text>
    </comment>
    <comment ref="BP1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备注说明;24.12.11,之前，材料，数量=128，PCS,24.12.11.金确认</t>
        </r>
      </text>
    </comment>
    <comment ref="BT1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产生时，要确认一下
有二包材料
24.09.28
金</t>
        </r>
      </text>
    </comment>
    <comment ref="A128" authorId="0">
      <text>
        <r>
          <rPr>
            <b/>
            <sz val="9"/>
            <rFont val="宋体"/>
            <charset val="134"/>
          </rPr>
          <t>win:
生板，亚克力，表面</t>
        </r>
        <r>
          <rPr>
            <sz val="9"/>
            <rFont val="宋体"/>
            <charset val="134"/>
          </rPr>
          <t xml:space="preserve">
26.06.26，金</t>
        </r>
      </text>
    </comment>
    <comment ref="A129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JTT-805
26.05.19，金</t>
        </r>
      </text>
    </comment>
    <comment ref="A130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JST-1363
26.07.03，金</t>
        </r>
      </text>
    </comment>
    <comment ref="A131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GF-640
26.07.21，金</t>
        </r>
      </text>
    </comment>
    <comment ref="BT1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26.07.22，印刷测试
金 记录</t>
        </r>
      </text>
    </comment>
    <comment ref="BT1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26.07.22，印刷测试
金 记录</t>
        </r>
      </text>
    </comment>
    <comment ref="A13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24.09.28，盘点入账
金</t>
        </r>
      </text>
    </comment>
    <comment ref="B13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26.07.09
发现220宽，只有=200宽，修正
金</t>
        </r>
      </text>
    </comment>
    <comment ref="A134" authorId="0">
      <text>
        <r>
          <rPr>
            <b/>
            <sz val="9"/>
            <rFont val="宋体"/>
            <charset val="134"/>
          </rPr>
          <t>win:
生板，亚克力，表面没有加硬</t>
        </r>
        <r>
          <rPr>
            <sz val="9"/>
            <rFont val="宋体"/>
            <charset val="134"/>
          </rPr>
          <t xml:space="preserve">
JST-1363
26.07.03，金</t>
        </r>
      </text>
    </comment>
    <comment ref="A13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JTT-567,专用尺寸
26.07.31</t>
        </r>
      </text>
    </comment>
    <comment ref="I13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JTT-567=170
品管测试=3</t>
        </r>
      </text>
    </comment>
    <comment ref="BL13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单据编号：SA-2026-07-0224</t>
        </r>
      </text>
    </comment>
    <comment ref="A14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24.09.28，盘点入账
金</t>
        </r>
      </text>
    </comment>
    <comment ref="B14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26.07.09
发现220宽，只有=200宽，修正
金</t>
        </r>
      </text>
    </comment>
    <comment ref="J1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单据编号： SA-2026-08-0019</t>
        </r>
      </text>
    </comment>
    <comment ref="A14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来料日期=2025.09.11
金
豆芽机 窗口垫片</t>
        </r>
      </text>
    </comment>
    <comment ref="B1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24.09.28,现场，发现
盘点入账。
此材料，很久了</t>
        </r>
      </text>
    </comment>
    <comment ref="A14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特别说明：材料已贴胶
26.03.02 胶</t>
        </r>
      </text>
    </comment>
    <comment ref="B148" authorId="0">
      <text>
        <r>
          <rPr>
            <b/>
            <sz val="9"/>
            <rFont val="宋体"/>
            <charset val="134"/>
          </rPr>
          <t>win:KC-217/219,224,用料，背胶</t>
        </r>
        <r>
          <rPr>
            <sz val="9"/>
            <rFont val="宋体"/>
            <charset val="134"/>
          </rPr>
          <t xml:space="preserve">
KC-224,,可以割30，PCS
1张，做到35，PCS,要贴满胶</t>
        </r>
      </text>
    </comment>
    <comment ref="BP14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材料已贴胶
26.03.02，记录
只能做KC-224,系列</t>
        </r>
      </text>
    </comment>
    <comment ref="BT14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24.09.02，KC </t>
        </r>
      </text>
    </comment>
    <comment ref="B15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24.09.28,现场，发现
盘点入账。
此材料，很久了</t>
        </r>
      </text>
    </comment>
    <comment ref="B1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现场，发现
此材料，很久了.21.06.22</t>
        </r>
      </text>
    </comment>
    <comment ref="BT1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
有贴好的，
有下订单，来仓库
确认，数量26.07.31 记录 </t>
        </r>
      </text>
    </comment>
    <comment ref="BT1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已生产，使用
25.12.26
有贴好，光学胶
下订单时，来仓库确认
26.07.31 金 记录</t>
        </r>
      </text>
    </comment>
    <comment ref="A156" authorId="0">
      <text>
        <r>
          <rPr>
            <b/>
            <sz val="9"/>
            <rFont val="宋体"/>
            <charset val="134"/>
          </rPr>
          <t>型号：XFC-PC11C</t>
        </r>
      </text>
    </comment>
    <comment ref="A157" authorId="0">
      <text>
        <r>
          <rPr>
            <b/>
            <sz val="9"/>
            <rFont val="宋体"/>
            <charset val="134"/>
          </rPr>
          <t>型号：XFC-PC11C</t>
        </r>
      </text>
    </comment>
    <comment ref="A158" authorId="0">
      <text>
        <r>
          <rPr>
            <b/>
            <sz val="9"/>
            <rFont val="宋体"/>
            <charset val="134"/>
          </rPr>
          <t>型号：DB6811B (11008)</t>
        </r>
      </text>
    </comment>
    <comment ref="A159" authorId="0">
      <text>
        <r>
          <rPr>
            <b/>
            <sz val="9"/>
            <rFont val="宋体"/>
            <charset val="134"/>
          </rPr>
          <t>型号：DB6811B (11008)</t>
        </r>
      </text>
    </comment>
    <comment ref="A160" authorId="0">
      <text>
        <r>
          <rPr>
            <b/>
            <sz val="9"/>
            <rFont val="宋体"/>
            <charset val="134"/>
          </rPr>
          <t>型号：DB6811B (11008)</t>
        </r>
      </text>
    </comment>
    <comment ref="BP1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留=10，PCS
做样品
26.01.15，金</t>
        </r>
      </text>
    </comment>
    <comment ref="A1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YL-1025新款，专用
25.09.11，金</t>
        </r>
      </text>
    </comment>
    <comment ref="A1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临时放在茶色，PC片材处 26.01.03
整理，记录 金</t>
        </r>
      </text>
    </comment>
    <comment ref="A16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JST-1144,用</t>
        </r>
      </text>
    </comment>
    <comment ref="A166" authorId="0">
      <text>
        <r>
          <rPr>
            <b/>
            <sz val="9"/>
            <rFont val="宋体"/>
            <charset val="134"/>
          </rPr>
          <t>win:
HZLT-035,用它</t>
        </r>
        <r>
          <rPr>
            <sz val="9"/>
            <rFont val="宋体"/>
            <charset val="134"/>
          </rPr>
          <t xml:space="preserve">
说明：20.10.27，批次=300M
      23.12.19,批次=100M
25.01.09,金，统计
JJX-155=,用这个材料，生产，500，PCS 25.08.18</t>
        </r>
      </text>
    </comment>
    <comment ref="BS1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20.10.27，批次=300M
23.12.19，批次=100M</t>
        </r>
      </text>
    </comment>
    <comment ref="BT1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HZLT-035
JJX-155
机种用它材料生产
25.08.18，金   记录</t>
        </r>
      </text>
    </comment>
    <comment ref="A16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   G  区，架二，
二层，一格
24.05.22</t>
        </r>
      </text>
    </comment>
    <comment ref="A1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   G  区，架二，
二层，一格
24.05.22</t>
        </r>
      </text>
    </comment>
    <comment ref="B1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930分=350，JJXM-003
金
26.01.12</t>
        </r>
      </text>
    </comment>
    <comment ref="A1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   G  区，架二，
二层，一格
24.05.22</t>
        </r>
      </text>
    </comment>
    <comment ref="B1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930分=350，余=580
金
26.01.12</t>
        </r>
      </text>
    </comment>
    <comment ref="A170" authorId="0">
      <text>
        <r>
          <rPr>
            <b/>
            <sz val="9"/>
            <rFont val="宋体"/>
            <charset val="134"/>
          </rPr>
          <t xml:space="preserve">win:
   0.5，黑色PC
</t>
        </r>
        <r>
          <rPr>
            <sz val="9"/>
            <rFont val="宋体"/>
            <charset val="134"/>
          </rPr>
          <t xml:space="preserve">
放在  G 区 架二，二层，一格，处  靠右边
24.05.22
金</t>
        </r>
      </text>
    </comment>
    <comment ref="B17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此部分， 是中间 框余料 
24.05.30
金</t>
        </r>
      </text>
    </comment>
    <comment ref="A171" authorId="0">
      <text>
        <r>
          <rPr>
            <b/>
            <sz val="9"/>
            <rFont val="宋体"/>
            <charset val="134"/>
          </rPr>
          <t xml:space="preserve">win:
   0.5，黑色PC
</t>
        </r>
        <r>
          <rPr>
            <sz val="9"/>
            <rFont val="宋体"/>
            <charset val="134"/>
          </rPr>
          <t xml:space="preserve">
放在  G 区 架二，二层，一格，处  靠右边
24.05.22
金</t>
        </r>
      </text>
    </comment>
    <comment ref="BS1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25.02.14，批次
25.04.21，批次
25.04.27，批次</t>
        </r>
      </text>
    </comment>
    <comment ref="BT17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JST-977</t>
        </r>
      </text>
    </comment>
    <comment ref="A176" authorId="0">
      <text>
        <r>
          <rPr>
            <b/>
            <sz val="9"/>
            <rFont val="宋体"/>
            <charset val="134"/>
          </rPr>
          <t xml:space="preserve">win:
   0.5，黑色PC
</t>
        </r>
        <r>
          <rPr>
            <sz val="9"/>
            <rFont val="宋体"/>
            <charset val="134"/>
          </rPr>
          <t xml:space="preserve">
放在  G 区 架二，二层，一格，处  靠右边
24.05.22
金</t>
        </r>
      </text>
    </comment>
    <comment ref="B1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</t>
        </r>
      </text>
    </comment>
    <comment ref="A177" authorId="0">
      <text>
        <r>
          <rPr>
            <b/>
            <sz val="9"/>
            <rFont val="宋体"/>
            <charset val="134"/>
          </rPr>
          <t>win:
订单材料</t>
        </r>
        <r>
          <rPr>
            <sz val="9"/>
            <rFont val="宋体"/>
            <charset val="134"/>
          </rPr>
          <t xml:space="preserve">
JJX-148/149，规格
材料，25.06.05</t>
        </r>
      </text>
    </comment>
    <comment ref="A178" authorId="0">
      <text>
        <r>
          <rPr>
            <b/>
            <sz val="9"/>
            <rFont val="宋体"/>
            <charset val="134"/>
          </rPr>
          <t>win:
1.0，黑色PC  用于JST-1253</t>
        </r>
        <r>
          <rPr>
            <sz val="9"/>
            <rFont val="宋体"/>
            <charset val="134"/>
          </rPr>
          <t xml:space="preserve">
放在  G 区 架二，二层，一格，处  靠右边
26.04.21
金</t>
        </r>
      </text>
    </comment>
    <comment ref="A179" authorId="0">
      <text>
        <r>
          <rPr>
            <b/>
            <sz val="9"/>
            <rFont val="宋体"/>
            <charset val="134"/>
          </rPr>
          <t>win:
2025.09.19.入账
龙跃宇，提供
25.09.19、金
记录</t>
        </r>
      </text>
    </comment>
    <comment ref="A180" authorId="0">
      <text>
        <r>
          <rPr>
            <b/>
            <sz val="9"/>
            <rFont val="宋体"/>
            <charset val="134"/>
          </rPr>
          <t>win:
2025.09.19.入账
龙跃宇，提供
25.09.19、金
记录</t>
        </r>
      </text>
    </comment>
    <comment ref="A181" authorId="0">
      <text>
        <r>
          <rPr>
            <b/>
            <sz val="9"/>
            <rFont val="宋体"/>
            <charset val="134"/>
          </rPr>
          <t>win:
2017.10.20 入账</t>
        </r>
        <r>
          <rPr>
            <sz val="9"/>
            <rFont val="宋体"/>
            <charset val="134"/>
          </rPr>
          <t xml:space="preserve">
兴富成=310727
24.12.31金，修正</t>
        </r>
      </text>
    </comment>
    <comment ref="B18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此规格，前面，是=144宽， 的账
24.09.28 ，盘点发现只有=130宽，所以选择，修改，过来，金</t>
        </r>
      </text>
    </comment>
    <comment ref="A1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2017.02.09，入账
24.12.31，金，备注
</t>
        </r>
      </text>
    </comment>
    <comment ref="B1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不能做，LJ-081,机种
25.12.月份，客服反应
用分离，材料与胶 
25.12.12.检查，发现</t>
        </r>
      </text>
    </comment>
    <comment ref="A1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21.10.12，入账
24.12.31，查正</t>
        </r>
      </text>
    </comment>
    <comment ref="A18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盘点入账，用时核对
一下
24.09.28
金</t>
        </r>
      </text>
    </comment>
    <comment ref="A1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盘点入账，用时核对
一下
24.09.28
金</t>
        </r>
      </text>
    </comment>
    <comment ref="A186" authorId="0">
      <text>
        <r>
          <rPr>
            <b/>
            <sz val="9"/>
            <rFont val="宋体"/>
            <charset val="134"/>
          </rPr>
          <t>win:鑫吉新</t>
        </r>
        <r>
          <rPr>
            <sz val="9"/>
            <rFont val="宋体"/>
            <charset val="134"/>
          </rPr>
          <t xml:space="preserve">
2017.09.21
24.12.31，金，
记录
</t>
        </r>
      </text>
    </comment>
    <comment ref="A18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2017.12.28，鑫吉新
24.12.31，评估确认
金</t>
        </r>
      </text>
    </comment>
    <comment ref="A18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2019.06.25,鑫吉新
24.12.31，评估确认</t>
        </r>
      </text>
    </comment>
    <comment ref="BR18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很久了，时间不准
25.01.21，金</t>
        </r>
      </text>
    </comment>
    <comment ref="A2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不及时入账，暂时放
24.09.25确认，
金</t>
        </r>
      </text>
    </comment>
    <comment ref="A2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不及时入账，暂时放
24.09.25确认，
金</t>
        </r>
      </text>
    </comment>
    <comment ref="A21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YL-947</t>
        </r>
      </text>
    </comment>
    <comment ref="B2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24.09.28，盘点入账
金</t>
        </r>
      </text>
    </comment>
    <comment ref="B2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24.09.28，盘点入账
金</t>
        </r>
      </text>
    </comment>
    <comment ref="A232" authorId="0">
      <text>
        <r>
          <rPr>
            <b/>
            <sz val="9"/>
            <rFont val="宋体"/>
            <charset val="134"/>
          </rPr>
          <t>百世</t>
        </r>
      </text>
    </comment>
    <comment ref="A234" authorId="0">
      <text>
        <r>
          <rPr>
            <b/>
            <sz val="9"/>
            <rFont val="宋体"/>
            <charset val="134"/>
          </rPr>
          <t>win:
盘点入账</t>
        </r>
        <r>
          <rPr>
            <sz val="9"/>
            <rFont val="宋体"/>
            <charset val="134"/>
          </rPr>
          <t xml:space="preserve">
PET-50,黑色
24.09.29，金
</t>
        </r>
      </text>
    </comment>
    <comment ref="BS24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24.09.29，批次
25.01.21，批次
25.08.18. 批次 
25.12.19, 批次</t>
        </r>
      </text>
    </comment>
    <comment ref="M2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
面板隔片2</t>
        </r>
      </text>
    </comment>
    <comment ref="A2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盘点入账，现场评估
24.09.29
金</t>
        </r>
      </text>
    </comment>
    <comment ref="BR2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很久了</t>
        </r>
      </text>
    </comment>
    <comment ref="A2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盘点入账，现场评估
24.09.29
金</t>
        </r>
      </text>
    </comment>
    <comment ref="BR2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很久了</t>
        </r>
      </text>
    </comment>
    <comment ref="A2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HZLT-005,新供应商
25.12.08，入账
</t>
        </r>
      </text>
    </comment>
    <comment ref="A2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新材料，已确认，
做; HZLT-091
24.11.09,金</t>
        </r>
      </text>
    </comment>
    <comment ref="A2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新材料，已确认，
做; HZLT-091
24.11.09,金</t>
        </r>
      </text>
    </comment>
    <comment ref="BT2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HZLT-090,切出来</t>
        </r>
      </text>
    </comment>
    <comment ref="A26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KC-227,专用，
25.07.12，入
金</t>
        </r>
      </text>
    </comment>
    <comment ref="M26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JTT-987
弹片胶带</t>
        </r>
      </text>
    </comment>
    <comment ref="BT27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25.01.21，金
记录</t>
        </r>
      </text>
    </comment>
    <comment ref="M2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JTT-1025
上线</t>
        </r>
      </text>
    </comment>
    <comment ref="M29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LJ-184=4 弹片胶带
DK-072=2M 弹片胶带</t>
        </r>
      </text>
    </comment>
    <comment ref="I2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JST-648
上线</t>
        </r>
      </text>
    </comment>
    <comment ref="K2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JST-1059
弹片胶带</t>
        </r>
      </text>
    </comment>
    <comment ref="B3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已预缩，23.11.12
金</t>
        </r>
      </text>
    </comment>
    <comment ref="D3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
之前切好的</t>
        </r>
      </text>
    </comment>
    <comment ref="M3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GF-285</t>
        </r>
      </text>
    </comment>
    <comment ref="B30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已预缩，24.11.16
金</t>
        </r>
      </text>
    </comment>
    <comment ref="M30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JTT-1034
下线</t>
        </r>
      </text>
    </comment>
    <comment ref="I3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DK-072</t>
        </r>
      </text>
    </comment>
    <comment ref="K3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JST-1059
垫片</t>
        </r>
      </text>
    </comment>
    <comment ref="BU314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15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16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J3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330宽
分成=205，JTT-970
防水框
余=125宽入账</t>
        </r>
      </text>
    </comment>
    <comment ref="BU317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18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19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20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21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22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23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24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25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I3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JTT-1033</t>
        </r>
      </text>
    </comment>
    <comment ref="BU326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M3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LJ-184
防水框</t>
        </r>
      </text>
    </comment>
    <comment ref="BU327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28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I3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JST-077
上下线</t>
        </r>
      </text>
    </comment>
    <comment ref="BU329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30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I3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JST-648\
下线</t>
        </r>
      </text>
    </comment>
    <comment ref="BU331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I3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JST-1059
下线</t>
        </r>
      </text>
    </comment>
    <comment ref="BU332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33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34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35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36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I33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JST-1325
防水框</t>
        </r>
      </text>
    </comment>
    <comment ref="K33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330宽
分成=205，JTT-970
防水框
余=125宽入账</t>
        </r>
      </text>
    </comment>
    <comment ref="BS33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24.07.31，批次
24.09.29，批次</t>
        </r>
      </text>
    </comment>
    <comment ref="BU337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S3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24.07.31，批次
24.09.29，批次</t>
        </r>
      </text>
    </comment>
    <comment ref="BU338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39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I34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JST-1363
上下线</t>
        </r>
      </text>
    </comment>
    <comment ref="BU340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41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42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43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I3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JST-1325</t>
        </r>
      </text>
    </comment>
    <comment ref="BP3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来料，没有备注
米数量，长度
26.05.11</t>
        </r>
      </text>
    </comment>
    <comment ref="BU344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45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3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JTT-829,规格
25.04.23，入</t>
        </r>
      </text>
    </comment>
    <comment ref="BU347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49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BU351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A354" authorId="0">
      <text>
        <r>
          <rPr>
            <b/>
            <sz val="9"/>
            <rFont val="宋体"/>
            <charset val="134"/>
          </rPr>
          <t>放D区PET125旁边</t>
        </r>
        <r>
          <rPr>
            <sz val="9"/>
            <rFont val="宋体"/>
            <charset val="134"/>
          </rPr>
          <t xml:space="preserve">
</t>
        </r>
      </text>
    </comment>
    <comment ref="BU354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 150，后面 放
</t>
        </r>
      </text>
    </comment>
    <comment ref="A358" authorId="0">
      <text>
        <r>
          <rPr>
            <b/>
            <sz val="9"/>
            <rFont val="宋体"/>
            <charset val="134"/>
          </rPr>
          <t>放D区PET250旁边</t>
        </r>
        <r>
          <rPr>
            <sz val="9"/>
            <rFont val="宋体"/>
            <charset val="134"/>
          </rPr>
          <t xml:space="preserve">
</t>
        </r>
      </text>
    </comment>
    <comment ref="M35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</t>
        </r>
      </text>
    </comment>
    <comment ref="BU358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V200/150，后面 放
</t>
        </r>
      </text>
    </comment>
    <comment ref="BU359" authorId="0">
      <text>
        <r>
          <rPr>
            <b/>
            <sz val="9"/>
            <rFont val="宋体"/>
            <charset val="134"/>
          </rPr>
          <t>win:
D区架一，一层-2格</t>
        </r>
        <r>
          <rPr>
            <sz val="9"/>
            <rFont val="宋体"/>
            <charset val="134"/>
          </rPr>
          <t xml:space="preserve">
放在，成浩林 V200/150，后面 放
</t>
        </r>
      </text>
    </comment>
    <comment ref="B361" authorId="0">
      <text>
        <r>
          <rPr>
            <b/>
            <sz val="9"/>
            <rFont val="宋体"/>
            <charset val="134"/>
          </rPr>
          <t xml:space="preserve">win:
说明：此规格 检查 发现 是 
50#离型膜，
之前，账上是100#
不对，25.08.22，修正 
 金
 </t>
        </r>
      </text>
    </comment>
    <comment ref="BR3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25.08.22,记录</t>
        </r>
      </text>
    </comment>
    <comment ref="B3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JTT-829,规格
25.04.23，入</t>
        </r>
      </text>
    </comment>
    <comment ref="A371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JTT-705/704
25.11.20，入</t>
        </r>
      </text>
    </comment>
    <comment ref="A372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JTT-705/704
25.11.20，入</t>
        </r>
      </text>
    </comment>
    <comment ref="A373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JTT-705/704
25.11.20，入</t>
        </r>
      </text>
    </comment>
    <comment ref="A374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JJX-162规格
25.10.20，入</t>
        </r>
      </text>
    </comment>
    <comment ref="A375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规格 355 mm
25.10.20，入</t>
        </r>
      </text>
    </comment>
    <comment ref="A376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规格 338 mm
26.07.08，入</t>
        </r>
      </text>
    </comment>
    <comment ref="M3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
面板隔片1
下线隔片</t>
        </r>
      </text>
    </comment>
    <comment ref="A377" authorId="0">
      <text>
        <r>
          <rPr>
            <b/>
            <sz val="9"/>
            <rFont val="宋体"/>
            <charset val="134"/>
          </rPr>
          <t>win:
供应商 （博一 ）
10C透明离型膜60-70g</t>
        </r>
        <r>
          <rPr>
            <sz val="9"/>
            <rFont val="宋体"/>
            <charset val="134"/>
          </rPr>
          <t xml:space="preserve">
规格 355 mm
25.10.20，入</t>
        </r>
      </text>
    </comment>
    <comment ref="A3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BU3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A3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BU3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A38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BU38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A3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BU3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A3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 JST-737,
余下，单面加硬材料
26.06.13，检验合格</t>
        </r>
      </text>
    </comment>
    <comment ref="BU3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A384" authorId="0">
      <text>
        <r>
          <rPr>
            <b/>
            <sz val="9"/>
            <rFont val="宋体"/>
            <charset val="134"/>
          </rPr>
          <t>win:
拓图，供应商，</t>
        </r>
        <r>
          <rPr>
            <sz val="9"/>
            <rFont val="宋体"/>
            <charset val="134"/>
          </rPr>
          <t xml:space="preserve">
JJX-159用
25.10.20，入</t>
        </r>
      </text>
    </comment>
    <comment ref="BU38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3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38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38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A388" authorId="0">
      <text>
        <r>
          <rPr>
            <b/>
            <sz val="6"/>
            <rFont val="宋体"/>
            <charset val="134"/>
          </rPr>
          <t>金玛莱清货，东丽双涂PET</t>
        </r>
      </text>
    </comment>
    <comment ref="BU38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39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39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39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3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39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39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I39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YL-985</t>
        </r>
      </text>
    </comment>
    <comment ref="I39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YL-985
发够数量</t>
        </r>
      </text>
    </comment>
    <comment ref="BU39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39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U40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A410" authorId="0">
      <text>
        <r>
          <rPr>
            <b/>
            <sz val="9"/>
            <rFont val="宋体"/>
            <charset val="134"/>
          </rPr>
          <t>可印GV油墨
JST  小规格，有灯孔
窗口，透明红，透明蓝色
透明绿色， 记录，尽量用它，发，品质有保证
23.07.08，金</t>
        </r>
      </text>
    </comment>
    <comment ref="BU4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靠右边，放</t>
        </r>
      </text>
    </comment>
    <comment ref="B411" authorId="0">
      <text>
        <r>
          <rPr>
            <b/>
            <sz val="9"/>
            <rFont val="宋体"/>
            <charset val="134"/>
          </rPr>
          <t>win:
JTT-705,面板</t>
        </r>
        <r>
          <rPr>
            <sz val="9"/>
            <rFont val="宋体"/>
            <charset val="134"/>
          </rPr>
          <t xml:space="preserve">
25.05.27，来料批次</t>
        </r>
      </text>
    </comment>
    <comment ref="BU4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41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4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41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4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靠左边，放</t>
        </r>
      </text>
    </comment>
    <comment ref="BU4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说明：靠左手边放
24.12.31</t>
        </r>
      </text>
    </comment>
    <comment ref="A41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JST-800,可用调机料，外发彩印
24.06.24
金</t>
        </r>
      </text>
    </comment>
    <comment ref="A42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JJX-013,隔片用
24.07.10
金</t>
        </r>
      </text>
    </comment>
    <comment ref="BU423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U424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U425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4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XBQ-099,
使用规格，25.08.18
金  记录</t>
        </r>
      </text>
    </comment>
    <comment ref="BU426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4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YL-871</t>
        </r>
      </text>
    </comment>
    <comment ref="BU427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U428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T4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26.01.31
金</t>
        </r>
      </text>
    </comment>
    <comment ref="BU429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T4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26.01.31
金</t>
        </r>
      </text>
    </comment>
    <comment ref="BU430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4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TOBB-295,系列用</t>
        </r>
      </text>
    </comment>
    <comment ref="BU431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M43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JTT-567
面板背胶</t>
        </r>
      </text>
    </comment>
    <comment ref="M43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ZQ-147,
打样</t>
        </r>
      </text>
    </comment>
    <comment ref="O43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JST-803
下线背胶</t>
        </r>
      </text>
    </comment>
    <comment ref="E4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JTT-1369/1370</t>
        </r>
      </text>
    </comment>
    <comment ref="M4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JTT-988</t>
        </r>
      </text>
    </comment>
    <comment ref="I44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YL-1043</t>
        </r>
      </text>
    </comment>
    <comment ref="M44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JST-1219=11
JTT-357=16M</t>
        </r>
      </text>
    </comment>
    <comment ref="BP4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现场看不见，
25.03.31，看不见</t>
        </r>
      </text>
    </comment>
    <comment ref="I44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GF-641/642</t>
        </r>
      </text>
    </comment>
    <comment ref="I4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JTT-1033</t>
        </r>
      </text>
    </comment>
    <comment ref="K4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JTT-539
下线背胶</t>
        </r>
      </text>
    </comment>
    <comment ref="K45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QF-166
业务补货用
+ 做 库存
26.08.04 金</t>
        </r>
      </text>
    </comment>
    <comment ref="K4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JTT-181/202
背胶</t>
        </r>
      </text>
    </comment>
    <comment ref="K45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JTT-181/202=10
背胶
YL-1060=25M
YL-985=69M</t>
        </r>
      </text>
    </comment>
    <comment ref="M45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LJ-184,下线背胶</t>
        </r>
      </text>
    </comment>
    <comment ref="O4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GF-358下线背胶=132M
GF-358,面板隔片=131M</t>
        </r>
      </text>
    </comment>
    <comment ref="O45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JST-737,背胶
用纸</t>
        </r>
      </text>
    </comment>
    <comment ref="K4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JST-1059,背胶=73M
YL-1055=86M</t>
        </r>
      </text>
    </comment>
    <comment ref="O4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JST-737,背胶
用纸</t>
        </r>
      </text>
    </comment>
    <comment ref="K4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JST-836
下线背胶</t>
        </r>
      </text>
    </comment>
    <comment ref="O4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JST-737,面板隔片1</t>
        </r>
      </text>
    </comment>
    <comment ref="M46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JTT-705,
下线背胶
不准，做多，通知
生产，光华 26.08.05  金 </t>
        </r>
      </text>
    </comment>
    <comment ref="I4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JST-1328</t>
        </r>
      </text>
    </comment>
    <comment ref="M4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JTT-705,
下线背胶
不准，做多，通知
生产，光华 26.08.05  金 </t>
        </r>
      </text>
    </comment>
    <comment ref="C4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盘点入账，25.01.21</t>
        </r>
      </text>
    </comment>
    <comment ref="BU468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A4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400*2卷
26.07.15</t>
        </r>
      </text>
    </comment>
    <comment ref="BU469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U470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U471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T47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26.06.11
账目记录
金</t>
        </r>
      </text>
    </comment>
    <comment ref="BU472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U473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U474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47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TOBB-296</t>
        </r>
      </text>
    </comment>
    <comment ref="BU475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B4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TOBB-295
线路用 
24.06.05
金</t>
        </r>
      </text>
    </comment>
    <comment ref="BU476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A4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24.08.22，总共看见一包 金</t>
        </r>
      </text>
    </comment>
    <comment ref="BU4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报表后面，25.06.10
金</t>
        </r>
      </text>
    </comment>
    <comment ref="A4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24.08.22，总共看见一包 金</t>
        </r>
      </text>
    </comment>
    <comment ref="BU4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报表后面，25.06.10
金</t>
        </r>
      </text>
    </comment>
    <comment ref="C4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盘点入账，25.01.21</t>
        </r>
      </text>
    </comment>
    <comment ref="BU479" authorId="0">
      <text>
        <r>
          <rPr>
            <b/>
            <sz val="9"/>
            <rFont val="宋体"/>
            <charset val="134"/>
          </rPr>
          <t>win:
D区架一，二层-1格</t>
        </r>
        <r>
          <rPr>
            <sz val="9"/>
            <rFont val="宋体"/>
            <charset val="134"/>
          </rPr>
          <t xml:space="preserve">
放在，右手边
</t>
        </r>
      </text>
    </comment>
    <comment ref="L4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</t>
        </r>
      </text>
    </comment>
    <comment ref="M4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JTT-567</t>
        </r>
      </text>
    </comment>
    <comment ref="I48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JST-803
胶板</t>
        </r>
      </text>
    </comment>
    <comment ref="M50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JTT-987</t>
        </r>
      </text>
    </comment>
    <comment ref="L5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365宽
分成=195宽，ZQ-056
余=170宽，入账</t>
        </r>
      </text>
    </comment>
    <comment ref="I5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JST-1328</t>
        </r>
      </text>
    </comment>
    <comment ref="L5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</t>
        </r>
      </text>
    </comment>
    <comment ref="M5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ZQ-056
反面</t>
        </r>
      </text>
    </comment>
    <comment ref="L5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365宽
分成=195宽，ZQ-056
余=170宽，入账</t>
        </r>
      </text>
    </comment>
    <comment ref="M5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ZQ-056</t>
        </r>
      </text>
    </comment>
    <comment ref="O5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YL-1025
使用，
26.08.06，金</t>
        </r>
      </text>
    </comment>
    <comment ref="M5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LJ-184.贴片用</t>
        </r>
      </text>
    </comment>
    <comment ref="K51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JTT-202/181</t>
        </r>
      </text>
    </comment>
    <comment ref="K5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
按照，慕交代的=1360，PCS,计数
26.08.04 金 记录</t>
        </r>
      </text>
    </comment>
    <comment ref="M5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365宽
分成=195宽，ZQ-056
余=170宽，入账</t>
        </r>
      </text>
    </comment>
    <comment ref="B5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材料放在，15C 后面
26.04.15
金</t>
        </r>
      </text>
    </comment>
    <comment ref="A536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37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38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39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40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41" authorId="0">
      <text>
        <r>
          <rPr>
            <b/>
            <sz val="9"/>
            <rFont val="宋体"/>
            <charset val="134"/>
          </rPr>
          <t>win:
型号：</t>
        </r>
        <r>
          <rPr>
            <sz val="9"/>
            <rFont val="宋体"/>
            <charset val="134"/>
          </rPr>
          <t xml:space="preserve">
XYX-S202XT2-D1</t>
        </r>
      </text>
    </comment>
    <comment ref="A5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可贴= V200,系列表面
注明：LWJ-024
23.06.27
金</t>
        </r>
      </text>
    </comment>
    <comment ref="A5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JTT-341
JTT-732 24.10.16,
JTT-734</t>
        </r>
      </text>
    </comment>
    <comment ref="B5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放在，80#，后面，与
80#，一排放，及有包片材离型纸，处</t>
        </r>
      </text>
    </comment>
    <comment ref="A5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YL-1004,系列用，鸿发的，贴窗口，粘的更好
25.01.14，金，记录
YL-645,25.02.10,金。用它贴</t>
        </r>
      </text>
    </comment>
    <comment ref="BT5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贴窗口上
，丽云，知道</t>
        </r>
      </text>
    </comment>
    <comment ref="K5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YL-1055
消完账</t>
        </r>
      </text>
    </comment>
    <comment ref="K5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JTT-181/202</t>
        </r>
      </text>
    </comment>
    <comment ref="M5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JST-1219
库存</t>
        </r>
      </text>
    </comment>
    <comment ref="O5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JST-077</t>
        </r>
      </text>
    </comment>
    <comment ref="N5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之前KC-199.
还回来，的 
取消订单</t>
        </r>
      </text>
    </comment>
    <comment ref="A5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YL-871,专用</t>
        </r>
      </text>
    </comment>
    <comment ref="A5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HZLT-005,/ HZLT-069
专用，
25.10.30</t>
        </r>
      </text>
    </comment>
    <comment ref="I5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JST-1328</t>
        </r>
      </text>
    </comment>
    <comment ref="M58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JTT-567
贴换膜，产生浪费
26.08.05 </t>
        </r>
      </text>
    </comment>
    <comment ref="BP5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25.12.19,
现场，没有这么多
大约=205M
之前，格式，有问题，
不转变 25.12.19，发现 金</t>
        </r>
      </text>
    </comment>
    <comment ref="A60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供应：集鑫福
25.02.28
用于=JTT-801/802</t>
        </r>
      </text>
    </comment>
    <comment ref="A6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供应商：集鑫福 材料=0.7厚
25.10.20 金 ，记录
DK-070,系列机种，使用 </t>
        </r>
      </text>
    </comment>
    <comment ref="M6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DK-072</t>
        </r>
      </text>
    </comment>
    <comment ref="M6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JTT-517
贴弹片胶带
发+ 库存发够</t>
        </r>
      </text>
    </comment>
    <comment ref="A6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JTT-626/538,用
23.09.22
JTT-876用
25.09.10</t>
        </r>
      </text>
    </comment>
    <comment ref="A6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JTT-876,
25.10.16,入、金</t>
        </r>
      </text>
    </comment>
    <comment ref="A6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JJX-162
25.10.18,入
金</t>
        </r>
      </text>
    </comment>
    <comment ref="A6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CF-026,目前专用
3M4914 </t>
        </r>
      </text>
    </comment>
    <comment ref="A6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此胶， JST-1075,专用
24.04.01
金</t>
        </r>
      </text>
    </comment>
    <comment ref="BS6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24.03.19，批次
24.04.01，批次</t>
        </r>
      </text>
    </comment>
    <comment ref="BS6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24.03.19，批次
24.04.01，批次</t>
        </r>
      </text>
    </comment>
    <comment ref="A6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JST-1067,余料规格
24.07.04
金</t>
        </r>
      </text>
    </comment>
    <comment ref="B6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此规格，要优先使用
放在C区，架一顶层
</t>
        </r>
      </text>
    </comment>
    <comment ref="BS6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24.03.19，批次
24.04.01，批次</t>
        </r>
      </text>
    </comment>
    <comment ref="A63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JST-1067,余料规格
25.07.11
金</t>
        </r>
      </text>
    </comment>
    <comment ref="BS63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24.03.19，批次
24.04.01，批次</t>
        </r>
      </text>
    </comment>
    <comment ref="A639" authorId="0">
      <text>
        <r>
          <rPr>
            <b/>
            <sz val="9"/>
            <rFont val="宋体"/>
            <charset val="134"/>
          </rPr>
          <t>win 
JST-1146</t>
        </r>
        <r>
          <rPr>
            <sz val="9"/>
            <rFont val="宋体"/>
            <charset val="134"/>
          </rPr>
          <t xml:space="preserve">
与3M9469, 一排
24.08.26 金</t>
        </r>
      </text>
    </comment>
    <comment ref="BS63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24.03.19，批次
24.04.01，批次</t>
        </r>
      </text>
    </comment>
    <comment ref="A64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JST-239</t>
        </r>
      </text>
    </comment>
    <comment ref="A64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SY-009/010,用
25.06.30
金</t>
        </r>
      </text>
    </comment>
    <comment ref="B64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SY-009/010,大边出</t>
        </r>
      </text>
    </comment>
    <comment ref="A64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SY-009/010,用
25.11.19
金</t>
        </r>
      </text>
    </comment>
    <comment ref="A6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SY-009/010,用
25.11.19
金</t>
        </r>
      </text>
    </comment>
    <comment ref="A64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SY-009/010,用
26.04.10
金</t>
        </r>
      </text>
    </comment>
    <comment ref="M6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JTT-967</t>
        </r>
      </text>
    </comment>
    <comment ref="A6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25.01.07,盘点入账
打样材料，24.08.01，进料</t>
        </r>
      </text>
    </comment>
    <comment ref="A6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之前的，做，FLD-087,样品
编号，3M4952,
后面生产改用.3M4950 ，25.09.16左右，生产，615，PCS,用，伟壹昊 ，3M4950,生产 25.09.17，金   记录</t>
        </r>
      </text>
    </comment>
    <comment ref="B66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余料边
25.09.08</t>
        </r>
      </text>
    </comment>
    <comment ref="A66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鑫旺达
25.10.31
JJX-163</t>
        </r>
      </text>
    </comment>
    <comment ref="A6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鑫旺达
26.02.05
JJX-163</t>
        </r>
      </text>
    </comment>
    <comment ref="A6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鑫旺达
26.04.15
YL-样品，张经理，知道</t>
        </r>
      </text>
    </comment>
    <comment ref="O6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JST-737
背胶 3M55258
说明：欠=2卷，左右
26.08.06 金</t>
        </r>
      </text>
    </comment>
    <comment ref="M68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JST-1219</t>
        </r>
      </text>
    </comment>
    <comment ref="M70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JTT-567
面板背胶</t>
        </r>
      </text>
    </comment>
    <comment ref="E7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JTT-1369/1370</t>
        </r>
      </text>
    </comment>
    <comment ref="M7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JTT-988</t>
        </r>
      </text>
    </comment>
    <comment ref="I7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JTT-1033</t>
        </r>
      </text>
    </comment>
    <comment ref="K71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JTT-539
下线背胶</t>
        </r>
      </text>
    </comment>
    <comment ref="O7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JST-077
下线背胶</t>
        </r>
      </text>
    </comment>
    <comment ref="K71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JTT-181/202
背胶</t>
        </r>
      </text>
    </comment>
    <comment ref="B7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WPN-022/023,规格</t>
        </r>
      </text>
    </comment>
    <comment ref="I7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GF-641/642</t>
        </r>
      </text>
    </comment>
    <comment ref="K73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YL-985
特别说明：
冲型，之前；先来仓库，沟通，了解
通知，光华了</t>
        </r>
      </text>
    </comment>
    <comment ref="K73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YL-1060</t>
        </r>
      </text>
    </comment>
    <comment ref="A74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24.08.15，来料</t>
        </r>
      </text>
    </comment>
    <comment ref="BU74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靠左手边放</t>
        </r>
      </text>
    </comment>
    <comment ref="BU74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靠左手边放</t>
        </r>
      </text>
    </comment>
    <comment ref="BU7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靠左手边放</t>
        </r>
      </text>
    </comment>
    <comment ref="BU75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靠左手边放</t>
        </r>
      </text>
    </comment>
    <comment ref="BU75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靠左手边放</t>
        </r>
      </text>
    </comment>
    <comment ref="BU7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靠左手边放</t>
        </r>
      </text>
    </comment>
    <comment ref="BU7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靠右手边放</t>
        </r>
      </text>
    </comment>
    <comment ref="M7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ZQ-147,
打样</t>
        </r>
      </text>
    </comment>
    <comment ref="N7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606宽
分成=255*2，GF-358
余=96入账</t>
        </r>
      </text>
    </comment>
    <comment ref="BU7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靠右手边放</t>
        </r>
      </text>
    </comment>
    <comment ref="M7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LJ-184,下线背胶</t>
        </r>
      </text>
    </comment>
    <comment ref="BU7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靠右手边放</t>
        </r>
      </text>
    </comment>
    <comment ref="O75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JST-737
面板隔片1</t>
        </r>
      </text>
    </comment>
    <comment ref="O7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606宽
分成=255*2，GF-358
余=96入账</t>
        </r>
      </text>
    </comment>
    <comment ref="BU7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靠右手边放</t>
        </r>
      </text>
    </comment>
    <comment ref="BU7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靠右手边放</t>
        </r>
      </text>
    </comment>
    <comment ref="BU7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靠右手边放</t>
        </r>
      </text>
    </comment>
    <comment ref="M76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JTT-968'
隔片
背胶</t>
        </r>
      </text>
    </comment>
    <comment ref="BU76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靠右手边放</t>
        </r>
      </text>
    </comment>
    <comment ref="N7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606宽
分成=255*2，GF-358
余=96入账</t>
        </r>
      </text>
    </comment>
    <comment ref="O7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GF-358下线背胶</t>
        </r>
      </text>
    </comment>
    <comment ref="BU7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靠右手边放</t>
        </r>
      </text>
    </comment>
    <comment ref="BU7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靠左手边放</t>
        </r>
      </text>
    </comment>
    <comment ref="O7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JST-803
下线背胶</t>
        </r>
      </text>
    </comment>
    <comment ref="J7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484宽
分成=170宽*2，JST-836垫片
余=145宽入账</t>
        </r>
      </text>
    </comment>
    <comment ref="M7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JTT-357背胶</t>
        </r>
      </text>
    </comment>
    <comment ref="J77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484宽
分成=280宽*1，JST-1059
余=204宽入账</t>
        </r>
      </text>
    </comment>
    <comment ref="M77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DK-072
下线背胶</t>
        </r>
      </text>
    </comment>
    <comment ref="K78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JST-836
下线背胶</t>
        </r>
      </text>
    </comment>
    <comment ref="I7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JST-1328</t>
        </r>
      </text>
    </comment>
    <comment ref="K7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315宽
分成=170宽
JST-836垫片
余=145宽入账</t>
        </r>
      </text>
    </comment>
    <comment ref="M7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JTT-705,
下线背胶
不准，做多，通知
生产，光华 26.08.05  金 </t>
        </r>
      </text>
    </comment>
    <comment ref="K7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484宽
分成=280宽*1，JST-1059
余=204宽入账</t>
        </r>
      </text>
    </comment>
    <comment ref="M79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
面板隔片2</t>
        </r>
      </text>
    </comment>
    <comment ref="B8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说明;25.12.月份
生产，SY-010,使用
之前，做PYL 的导电胶
记录，金 </t>
        </r>
      </text>
    </comment>
    <comment ref="BS8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26.03.28</t>
        </r>
      </text>
    </comment>
    <comment ref="M82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JTT-987
面板隔片
下线隔片</t>
        </r>
      </text>
    </comment>
    <comment ref="O8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JST-803
面板隔片</t>
        </r>
      </text>
    </comment>
    <comment ref="M83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LJ-184=8M,
面板隔片、下线隔片
DK-072=2M,面板隔片</t>
        </r>
      </text>
    </comment>
    <comment ref="K8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JTT-970=142M
面板隔片
JST-1059=72M
面板隔片</t>
        </r>
      </text>
    </comment>
    <comment ref="BS84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22.08.09，批次
25.01.15，批次</t>
        </r>
      </text>
    </comment>
    <comment ref="I8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JTT-866
JTT-981
JTT-982
面板隔片</t>
        </r>
      </text>
    </comment>
    <comment ref="O8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JST-077</t>
        </r>
      </text>
    </comment>
    <comment ref="I84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JST-1325</t>
        </r>
      </text>
    </comment>
    <comment ref="I8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JTT-866
JTT-981
JTT-982
下线隔片</t>
        </r>
      </text>
    </comment>
    <comment ref="I8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JTT-866
JTT-981
JTT-982
下线隔片</t>
        </r>
      </text>
    </comment>
    <comment ref="O8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JST-077
下线隔片</t>
        </r>
      </text>
    </comment>
    <comment ref="K8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JTT-539
下线隔片</t>
        </r>
      </text>
    </comment>
    <comment ref="J8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</t>
        </r>
      </text>
    </comment>
    <comment ref="K8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JTT-539
下线隔片</t>
        </r>
      </text>
    </comment>
    <comment ref="M8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DK-072,贴油墨面</t>
        </r>
      </text>
    </comment>
    <comment ref="BT8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26.02.06，金</t>
        </r>
      </text>
    </comment>
    <comment ref="M8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DK-072
下线隔片</t>
        </r>
      </text>
    </comment>
    <comment ref="BT86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26.07.31 金</t>
        </r>
      </text>
    </comment>
    <comment ref="K8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JTT-970,下线隔片=138M
JST-1059=73M,下线隔片</t>
        </r>
      </text>
    </comment>
    <comment ref="K87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JST-836
下线隔片</t>
        </r>
      </text>
    </comment>
    <comment ref="K8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JTT-539
面板隔片</t>
        </r>
      </text>
    </comment>
    <comment ref="K880" authorId="0">
      <text>
        <r>
          <rPr>
            <b/>
            <sz val="9"/>
            <rFont val="宋体"/>
            <charset val="134"/>
          </rPr>
          <t>win:
材料不足，发完够数量</t>
        </r>
        <r>
          <rPr>
            <sz val="9"/>
            <rFont val="宋体"/>
            <charset val="134"/>
          </rPr>
          <t xml:space="preserve">
JTT-539
面板隔片</t>
        </r>
      </text>
    </comment>
    <comment ref="I88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JST-1325
面板隔片</t>
        </r>
      </text>
    </comment>
    <comment ref="I88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JST-1325
面板隔片</t>
        </r>
      </text>
    </comment>
    <comment ref="BU88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靠右手边，头部放，
具体，要看，清楚
25.01.18，金  整理</t>
        </r>
      </text>
    </comment>
    <comment ref="A89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GF-567/539,专用
25.02.25，金
GF-538 </t>
        </r>
      </text>
    </comment>
    <comment ref="B890" authorId="0">
      <text>
        <r>
          <rPr>
            <b/>
            <sz val="9"/>
            <rFont val="宋体"/>
            <charset val="134"/>
          </rPr>
          <t>win:
GF-539/567,专用</t>
        </r>
        <r>
          <rPr>
            <sz val="9"/>
            <rFont val="宋体"/>
            <charset val="134"/>
          </rPr>
          <t xml:space="preserve">
说明：鸿盛，供应
25.02.15，金 记录</t>
        </r>
      </text>
    </comment>
    <comment ref="BQ89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很久了，时间不准
25.01.21，金</t>
        </r>
      </text>
    </comment>
    <comment ref="BU89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靠右手边，头部放，
具体，要看，清楚
25.01.18，金  整理</t>
        </r>
      </text>
    </comment>
    <comment ref="O89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JST-077
线路保护膜</t>
        </r>
      </text>
    </comment>
    <comment ref="BT89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等待生产时
看操作效果 
刀模  155宽，？ 问题
？ 26.08.03 金</t>
        </r>
      </text>
    </comment>
    <comment ref="K89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JST-836
下线保护膜</t>
        </r>
      </text>
    </comment>
    <comment ref="K89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JST-836
下线保护膜</t>
        </r>
      </text>
    </comment>
    <comment ref="I89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JST-1325
线头保护膜
=190宽，欠=100M</t>
        </r>
      </text>
    </comment>
    <comment ref="I9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JST-1325
线头保护膜</t>
        </r>
      </text>
    </comment>
    <comment ref="M9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JTT-1025</t>
        </r>
      </text>
    </comment>
    <comment ref="M90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DK-072
</t>
        </r>
      </text>
    </comment>
    <comment ref="O90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JST-077
下线背胶</t>
        </r>
      </text>
    </comment>
    <comment ref="B9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这是=2020.09.02，日期的，注意使用
25.01.15，金
</t>
        </r>
      </text>
    </comment>
    <comment ref="BP9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只有=100M左右金
2023.4.17</t>
        </r>
      </text>
    </comment>
    <comment ref="BU9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说明;靠右手边 放</t>
        </r>
      </text>
    </comment>
    <comment ref="BU91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说明;靠右手边 放</t>
        </r>
      </text>
    </comment>
    <comment ref="BU92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说明;靠中间放</t>
        </r>
      </text>
    </comment>
    <comment ref="BU9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2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2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BU9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O9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JST-803
下线隔片</t>
        </r>
      </text>
    </comment>
    <comment ref="BU93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说明;靠左手边 放</t>
        </r>
      </text>
    </comment>
    <comment ref="A93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放在SDT50#
处 暂放 
26.07.24 金记录</t>
        </r>
      </text>
    </comment>
    <comment ref="BT93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26.07.24 金
记录</t>
        </r>
      </text>
    </comment>
    <comment ref="A937" authorId="0">
      <text>
        <r>
          <rPr>
            <b/>
            <sz val="9"/>
            <rFont val="宋体"/>
            <charset val="134"/>
          </rPr>
          <t>win:
东莞聚川</t>
        </r>
        <r>
          <rPr>
            <sz val="9"/>
            <rFont val="宋体"/>
            <charset val="134"/>
          </rPr>
          <t xml:space="preserve">
25.10.31
做样品，问 张经理
JJX-
YL-1082/1083 用</t>
        </r>
      </text>
    </comment>
    <comment ref="BT93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之前YL-1082,有使用
这个材料，已不用
26.01.12 金 记录</t>
        </r>
      </text>
    </comment>
    <comment ref="A9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JJX-165
26.06.09 
金 记录</t>
        </r>
      </text>
    </comment>
    <comment ref="A94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TY-005,专用
25.09.29，材料</t>
        </r>
      </text>
    </comment>
    <comment ref="B94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JJX-118,用
25.01.18，金</t>
        </r>
      </text>
    </comment>
    <comment ref="A95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ZQ-130.专用
25.02.18，金</t>
        </r>
      </text>
    </comment>
    <comment ref="B95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ZQ-130,用
25.02.18，金</t>
        </r>
      </text>
    </comment>
    <comment ref="A95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ZQ-130./142专用
25.11.12，金</t>
        </r>
      </text>
    </comment>
    <comment ref="I9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YL-1043</t>
        </r>
      </text>
    </comment>
    <comment ref="J9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盘点入账</t>
        </r>
      </text>
    </comment>
    <comment ref="K9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YL-1055=85M
还订=欠69M
26.08.04 </t>
        </r>
      </text>
    </comment>
    <comment ref="BP9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25.12.09，光华
冲了多少，</t>
        </r>
      </text>
    </comment>
    <comment ref="A9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0.125MM
26.05.16，记录</t>
        </r>
      </text>
    </comment>
    <comment ref="K9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QF-166
业务补货用
+ 做 库存
26.08.04 金</t>
        </r>
      </text>
    </comment>
    <comment ref="A9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JTT-704,面板隔片1，
下线隔片，25.09.06
金</t>
        </r>
      </text>
    </comment>
    <comment ref="M99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
面板隔片1
下线隔片</t>
        </r>
      </text>
    </comment>
    <comment ref="A998" authorId="0">
      <text>
        <r>
          <rPr>
            <b/>
            <sz val="9"/>
            <rFont val="宋体"/>
            <charset val="134"/>
          </rPr>
          <t>win:
厚度=0.05mm</t>
        </r>
        <r>
          <rPr>
            <sz val="9"/>
            <rFont val="宋体"/>
            <charset val="134"/>
          </rPr>
          <t xml:space="preserve">
QF-158
24.11.07
金</t>
        </r>
      </text>
    </comment>
    <comment ref="A99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厚度=0.10mm.注意
24.12.18，入账
盘点入账，25.08.12，修改，金</t>
        </r>
      </text>
    </comment>
    <comment ref="A1000" authorId="0">
      <text>
        <r>
          <rPr>
            <b/>
            <sz val="9"/>
            <rFont val="宋体"/>
            <charset val="134"/>
          </rPr>
          <t>win:
0.10mm核对厚度</t>
        </r>
        <r>
          <rPr>
            <sz val="9"/>
            <rFont val="宋体"/>
            <charset val="134"/>
          </rPr>
          <t xml:space="preserve">
特别说明：25.08.01前面，输入DJ200BJ/实际是DJ200BL 
25.08.13,现在修正、 金</t>
        </r>
      </text>
    </comment>
    <comment ref="A10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24.12.18,按照纸管标签，登记，入账
金 记录25.08.12 入账</t>
        </r>
      </text>
    </comment>
    <comment ref="A100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25.08.27,JTT-705/704,打样，材料
</t>
        </r>
      </text>
    </comment>
    <comment ref="A100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富众荣，网购
25.10.09，二次</t>
        </r>
      </text>
    </comment>
    <comment ref="A100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HZLT-008,专用</t>
        </r>
      </text>
    </comment>
    <comment ref="B100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HZLT-008,尺寸</t>
        </r>
      </text>
    </comment>
    <comment ref="A10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HZLT-033,专用</t>
        </r>
      </text>
    </comment>
    <comment ref="B10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HZLT-033,尺寸
此尺寸，只冲左右一套
25.01.03.金，记录</t>
        </r>
      </text>
    </comment>
    <comment ref="B10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HZLT-033, 专用
此规格，冲各2套
25.01.03，金</t>
        </r>
      </text>
    </comment>
    <comment ref="B100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JTT-302,用
24.03.12</t>
        </r>
      </text>
    </comment>
    <comment ref="B100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24.12.13，样品材料
CF-029/030
</t>
        </r>
      </text>
    </comment>
    <comment ref="B10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24.12.13，样品材料
CF-028
</t>
        </r>
      </text>
    </comment>
    <comment ref="A101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GF-462,面板材料，大边出
24.05.23
金</t>
        </r>
      </text>
    </comment>
    <comment ref="A10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GF-462,面板材料，大边出
24.05.23
金</t>
        </r>
      </text>
    </comment>
    <comment ref="A101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2013.01.01,以前，的账，流到现在，
24.12.31，金
外观，黑色，材料</t>
        </r>
      </text>
    </comment>
    <comment ref="A1020" authorId="0">
      <text>
        <r>
          <rPr>
            <b/>
            <sz val="9"/>
            <rFont val="宋体"/>
            <charset val="134"/>
          </rPr>
          <t>50米/R</t>
        </r>
        <r>
          <rPr>
            <sz val="9"/>
            <rFont val="宋体"/>
            <charset val="134"/>
          </rPr>
          <t xml:space="preserve">
</t>
        </r>
      </text>
    </comment>
    <comment ref="A1021" authorId="0">
      <text>
        <r>
          <rPr>
            <b/>
            <sz val="9"/>
            <rFont val="宋体"/>
            <charset val="134"/>
          </rPr>
          <t>50米/R</t>
        </r>
        <r>
          <rPr>
            <sz val="9"/>
            <rFont val="宋体"/>
            <charset val="134"/>
          </rPr>
          <t xml:space="preserve">
</t>
        </r>
      </text>
    </comment>
    <comment ref="A1022" authorId="0">
      <text>
        <r>
          <rPr>
            <b/>
            <sz val="9"/>
            <rFont val="宋体"/>
            <charset val="134"/>
          </rPr>
          <t>50米/R</t>
        </r>
        <r>
          <rPr>
            <sz val="9"/>
            <rFont val="宋体"/>
            <charset val="134"/>
          </rPr>
          <t xml:space="preserve">
</t>
        </r>
      </text>
    </comment>
    <comment ref="A10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说明：之前，做：
JST-737,用的
25.02.19.记录
昆山轩腾：
25.10.11，回来 商品名称
德莎银色亮面激光标签，
代替，前面，易碎纸  金 25.10.11 记录
</t>
        </r>
      </text>
    </comment>
    <comment ref="B10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JST-737,用</t>
        </r>
      </text>
    </comment>
    <comment ref="BQ10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25.10.11,新回来的
用多少，记得销账</t>
        </r>
      </text>
    </comment>
    <comment ref="BT10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25.12.09
记录，金</t>
        </r>
      </text>
    </comment>
    <comment ref="A1024" authorId="0">
      <text>
        <r>
          <rPr>
            <b/>
            <sz val="9"/>
            <rFont val="宋体"/>
            <charset val="134"/>
          </rPr>
          <t>win:
品名 HY25Y-03/8231,哑银龙</t>
        </r>
        <r>
          <rPr>
            <sz val="9"/>
            <rFont val="宋体"/>
            <charset val="134"/>
          </rPr>
          <t xml:space="preserve">
JST-1009,用
QF-163,用</t>
        </r>
      </text>
    </comment>
    <comment ref="A1026" authorId="0">
      <text>
        <r>
          <rPr>
            <b/>
            <sz val="9"/>
            <rFont val="宋体"/>
            <charset val="134"/>
          </rPr>
          <t xml:space="preserve">林网购
GF-403 专用
</t>
        </r>
      </text>
    </comment>
    <comment ref="B10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GF-403,专用
25.11，28提示，金
特别说明：25.11.28，回来
量测厚度，0.10mm 与。之前。批次 外观，厚度，颜色 宽度 ，等 相同， 25.12.04， 金 记录  导电 剑  测试OK  </t>
        </r>
      </text>
    </comment>
    <comment ref="BP1026" authorId="0">
      <text>
        <r>
          <rPr>
            <b/>
            <sz val="9"/>
            <rFont val="宋体"/>
            <charset val="134"/>
          </rPr>
          <t xml:space="preserve">win:
</t>
        </r>
        <r>
          <rPr>
            <sz val="9"/>
            <rFont val="宋体"/>
            <charset val="134"/>
          </rPr>
          <t xml:space="preserve">
说明：第一次，没有
冲够，
25.12.22，生产二次
冲型，还回来
如果不够， = 冲型，冲多了， 库存变多
25.12.22 金 记录</t>
        </r>
      </text>
    </comment>
    <comment ref="BQ10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材料已用完
后面，订单，要订购</t>
        </r>
      </text>
    </comment>
    <comment ref="BP10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25.03.24 ,现场评估
可能余=不足22M
大约=5-10，内
25.03.24，金 记录</t>
        </r>
      </text>
    </comment>
    <comment ref="BR10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之前的</t>
        </r>
      </text>
    </comment>
    <comment ref="A10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说明:材料，新回来
做 GF -462 ,使用
但是，要，确认效果
26.06.06 金</t>
        </r>
      </text>
    </comment>
    <comment ref="A102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GF-587,用
25.06.25</t>
        </r>
      </text>
    </comment>
    <comment ref="A10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SY-010/009,用
26.04.10</t>
        </r>
      </text>
    </comment>
    <comment ref="B10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按照=285宽使用
26.04.10</t>
        </r>
      </text>
    </comment>
    <comment ref="A10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SY-010、009,用
25.08.02</t>
        </r>
      </text>
    </comment>
    <comment ref="A10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特别说明：SY-009
26.03.16,确认
使用供应商，材料生产
26.3.16
金 记录</t>
        </r>
      </text>
    </comment>
    <comment ref="A1040" authorId="0">
      <text>
        <r>
          <rPr>
            <b/>
            <sz val="9"/>
            <rFont val="宋体"/>
            <charset val="134"/>
          </rPr>
          <t xml:space="preserve">
哑光
JJX-134/135/136,
扩散片</t>
        </r>
      </text>
    </comment>
    <comment ref="A104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待胶扩散膜，
YL-1094</t>
        </r>
      </text>
    </comment>
    <comment ref="A104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JST-237,专用 型号规格尺寸
24.12.27，金</t>
        </r>
      </text>
    </comment>
    <comment ref="A10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YL-1088,专用 型号规格尺寸
26.03.23，金</t>
        </r>
      </text>
    </comment>
    <comment ref="A104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JST-237,专用 型号规格尺寸
24.12.27，金</t>
        </r>
      </text>
    </comment>
    <comment ref="A10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25.12.30，样品膜
慕：提供，
25.12.30 金</t>
        </r>
      </text>
    </comment>
    <comment ref="A10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JJXM-001/002,专用 型号规格尺寸
25.12.25，金</t>
        </r>
      </text>
    </comment>
    <comment ref="A1050" authorId="0">
      <text>
        <r>
          <rPr>
            <b/>
            <sz val="9"/>
            <rFont val="宋体"/>
            <charset val="134"/>
          </rPr>
          <t>0.125mm光学胶
JTT-572/DK-058
JTT-782,用
JTT-656,
JTT-779</t>
        </r>
      </text>
    </comment>
    <comment ref="A1051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BT105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25.01.21，金，记录</t>
        </r>
      </text>
    </comment>
    <comment ref="A105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JST-932
24.09.10 金
 放在，LED 灯 柜子，后面 </t>
        </r>
      </text>
    </comment>
    <comment ref="A10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
24.08.13</t>
        </r>
      </text>
    </comment>
    <comment ref="B10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
24.08.13</t>
        </r>
      </text>
    </comment>
    <comment ref="A10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
24.08.13</t>
        </r>
      </text>
    </comment>
    <comment ref="B10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JTT-729,
25.08.13</t>
        </r>
      </text>
    </comment>
    <comment ref="B10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JTT-729
24.08.06</t>
        </r>
      </text>
    </comment>
    <comment ref="A10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6月3日 新增</t>
        </r>
      </text>
    </comment>
    <comment ref="I1080" authorId="0">
      <text>
        <r>
          <rPr>
            <sz val="9"/>
            <rFont val="宋体"/>
            <charset val="134"/>
          </rPr>
          <t xml:space="preserve">JTT-705  10000PCS
</t>
        </r>
      </text>
    </comment>
    <comment ref="I1085" authorId="0">
      <text>
        <r>
          <rPr>
            <sz val="9"/>
            <rFont val="宋体"/>
            <charset val="134"/>
          </rPr>
          <t xml:space="preserve">JST-1363 100PCS
</t>
        </r>
      </text>
    </comment>
    <comment ref="I1086" authorId="0">
      <text>
        <r>
          <rPr>
            <sz val="9"/>
            <rFont val="宋体"/>
            <charset val="134"/>
          </rPr>
          <t xml:space="preserve">JST-1286  100PCS
</t>
        </r>
      </text>
    </comment>
    <comment ref="D1097" authorId="0">
      <text>
        <r>
          <rPr>
            <b/>
            <sz val="9"/>
            <rFont val="宋体"/>
            <charset val="134"/>
          </rPr>
          <t>盘点入库</t>
        </r>
      </text>
    </comment>
    <comment ref="A1098" authorId="0">
      <text>
        <r>
          <rPr>
            <sz val="9"/>
            <rFont val="宋体"/>
            <charset val="134"/>
          </rPr>
          <t xml:space="preserve">放在灯的柜子
</t>
        </r>
      </text>
    </comment>
    <comment ref="A1099" authorId="0">
      <text>
        <r>
          <rPr>
            <sz val="9"/>
            <rFont val="宋体"/>
            <charset val="134"/>
          </rPr>
          <t xml:space="preserve">放在灯的柜子
</t>
        </r>
      </text>
    </comment>
    <comment ref="I1100" authorId="0">
      <text>
        <r>
          <rPr>
            <sz val="9"/>
            <rFont val="宋体"/>
            <charset val="134"/>
          </rPr>
          <t xml:space="preserve">JTT-987  30PCS
</t>
        </r>
      </text>
    </comment>
    <comment ref="A1101" authorId="0">
      <text>
        <r>
          <rPr>
            <sz val="9"/>
            <rFont val="宋体"/>
            <charset val="134"/>
          </rPr>
          <t xml:space="preserve">放在灯的柜子
</t>
        </r>
      </text>
    </comment>
    <comment ref="A1102" authorId="0">
      <text>
        <r>
          <rPr>
            <sz val="9"/>
            <rFont val="宋体"/>
            <charset val="134"/>
          </rPr>
          <t xml:space="preserve">放在灯的柜子
</t>
        </r>
      </text>
    </comment>
    <comment ref="A1103" authorId="0">
      <text>
        <r>
          <rPr>
            <sz val="9"/>
            <rFont val="宋体"/>
            <charset val="134"/>
          </rPr>
          <t xml:space="preserve">利星辉订,放在8.4的25号框里
</t>
        </r>
      </text>
    </comment>
    <comment ref="D1105" authorId="0">
      <text>
        <r>
          <rPr>
            <sz val="9"/>
            <rFont val="宋体"/>
            <charset val="134"/>
          </rPr>
          <t xml:space="preserve">260731
</t>
        </r>
      </text>
    </comment>
    <comment ref="M1105" authorId="0">
      <text>
        <r>
          <rPr>
            <sz val="9"/>
            <rFont val="宋体"/>
            <charset val="134"/>
          </rPr>
          <t xml:space="preserve">GF-285  3000PCS
</t>
        </r>
      </text>
    </comment>
    <comment ref="M1111" authorId="0">
      <text>
        <r>
          <rPr>
            <sz val="9"/>
            <rFont val="宋体"/>
            <charset val="134"/>
          </rPr>
          <t xml:space="preserve">GF-055 500PCS
</t>
        </r>
      </text>
    </comment>
    <comment ref="D1118" authorId="0">
      <text>
        <r>
          <rPr>
            <sz val="9"/>
            <rFont val="宋体"/>
            <charset val="134"/>
          </rPr>
          <t xml:space="preserve">260731
</t>
        </r>
      </text>
    </comment>
    <comment ref="I1121" authorId="0">
      <text>
        <r>
          <rPr>
            <sz val="9"/>
            <rFont val="宋体"/>
            <charset val="134"/>
          </rPr>
          <t xml:space="preserve">DK-072   11PCS
</t>
        </r>
      </text>
    </comment>
    <comment ref="I1126" authorId="0">
      <text>
        <r>
          <rPr>
            <sz val="9"/>
            <rFont val="宋体"/>
            <charset val="134"/>
          </rPr>
          <t>GF-358 5700PCS
JST-1059  500PCS</t>
        </r>
      </text>
    </comment>
    <comment ref="K1126" authorId="0">
      <text>
        <r>
          <rPr>
            <sz val="9"/>
            <rFont val="宋体"/>
            <charset val="134"/>
          </rPr>
          <t xml:space="preserve">LJ-184  20PCS
</t>
        </r>
      </text>
    </comment>
    <comment ref="I1128" authorId="0">
      <text>
        <r>
          <rPr>
            <sz val="9"/>
            <rFont val="宋体"/>
            <charset val="134"/>
          </rPr>
          <t xml:space="preserve">DK-072   11PCS
</t>
        </r>
      </text>
    </comment>
    <comment ref="D1129" authorId="0">
      <text>
        <r>
          <rPr>
            <sz val="9"/>
            <rFont val="宋体"/>
            <charset val="134"/>
          </rPr>
          <t xml:space="preserve">260731
</t>
        </r>
      </text>
    </comment>
    <comment ref="D1130" authorId="0">
      <text>
        <r>
          <rPr>
            <sz val="9"/>
            <rFont val="宋体"/>
            <charset val="134"/>
          </rPr>
          <t xml:space="preserve">260731
</t>
        </r>
      </text>
    </comment>
    <comment ref="K1134" authorId="0">
      <text>
        <r>
          <rPr>
            <sz val="9"/>
            <rFont val="宋体"/>
            <charset val="134"/>
          </rPr>
          <t xml:space="preserve">JST-822  10400PCS
</t>
        </r>
      </text>
    </comment>
    <comment ref="A1154" authorId="0">
      <text>
        <r>
          <rPr>
            <b/>
            <sz val="9"/>
            <rFont val="宋体"/>
            <charset val="134"/>
          </rPr>
          <t>这款弹片厂商反映旧模问题寿命有影响，厂商已不修模，考虑替代品</t>
        </r>
      </text>
    </comment>
    <comment ref="I1157" authorId="0">
      <text>
        <r>
          <rPr>
            <sz val="9"/>
            <rFont val="宋体"/>
            <charset val="134"/>
          </rPr>
          <t xml:space="preserve">JST-648  250PCS
</t>
        </r>
      </text>
    </comment>
    <comment ref="K1162" authorId="0">
      <text>
        <r>
          <rPr>
            <sz val="9"/>
            <rFont val="宋体"/>
            <charset val="134"/>
          </rPr>
          <t xml:space="preserve">JTT-1034  105PCS
</t>
        </r>
      </text>
    </comment>
    <comment ref="M1162" authorId="0">
      <text>
        <r>
          <rPr>
            <sz val="9"/>
            <rFont val="宋体"/>
            <charset val="134"/>
          </rPr>
          <t xml:space="preserve">JTT-915   51PCS
</t>
        </r>
      </text>
    </comment>
    <comment ref="A11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JST-1011,系列使用
JST-592,
JST-1109/1227 </t>
        </r>
      </text>
    </comment>
    <comment ref="BR11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送货单号：显示15年5月21日 46000，只
26.06.05，收到实际货物
金 记录 </t>
        </r>
      </text>
    </comment>
    <comment ref="A1167" authorId="0">
      <text>
        <r>
          <rPr>
            <b/>
            <sz val="9"/>
            <rFont val="宋体"/>
            <charset val="134"/>
          </rPr>
          <t>win:
常用型号，规格</t>
        </r>
        <r>
          <rPr>
            <sz val="9"/>
            <rFont val="宋体"/>
            <charset val="134"/>
          </rPr>
          <t xml:space="preserve">
记录，目前，余下的
仓库，全部可以，做
，只要，使用台湾PIN
都可以，使用，
26.05.21 记录 金</t>
        </r>
      </text>
    </comment>
    <comment ref="BP116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26.0731日期，开单送货 供应商
产品，26.08.03，收到
品管，检验合格
26.08.03 金  记录
</t>
        </r>
      </text>
    </comment>
    <comment ref="BT116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品管检验合格
26.08.03 
金 记录</t>
        </r>
      </text>
    </comment>
    <comment ref="A11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常用，PIN
右往 左送 料正绕</t>
        </r>
      </text>
    </comment>
    <comment ref="BP11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说明：前批次余=1
      后批次余=3
25.04.11，金</t>
        </r>
      </text>
    </comment>
    <comment ref="A116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JTT-799,目前只有专用它
25.03.26，金
</t>
        </r>
      </text>
    </comment>
    <comment ref="A117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JST-1238,目前只有专用</t>
        </r>
      </text>
    </comment>
    <comment ref="B117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说明;JST-1238,专用
25.02.17，回来
金</t>
        </r>
      </text>
    </comment>
    <comment ref="A11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GF-462, 专用
24.03.17 记录</t>
        </r>
      </text>
    </comment>
    <comment ref="A117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注明： 在 冲型，打PIN 机处 
，有订单，可去，现场评估，24.09*.06
金，</t>
        </r>
      </text>
    </comment>
    <comment ref="A1176" authorId="0">
      <text>
        <r>
          <rPr>
            <b/>
            <sz val="9"/>
            <rFont val="宋体"/>
            <charset val="134"/>
          </rPr>
          <t>法国母PIN，购于亮键，配用于OF/OL连接器</t>
        </r>
      </text>
    </comment>
    <comment ref="B11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特别说明：25.08.20
生产，JST-1238,=112,PCS,用这个
生产，林总，修改，确认， 啊梅：说
因为，打博明，那台，打B-KT 2.54/V ，未调好机  （ 梅 ）
25.08.21，早上，10:00，记录，，金</t>
        </r>
      </text>
    </comment>
    <comment ref="BT11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25.08.20,JST-1238用
金</t>
        </r>
      </text>
    </comment>
    <comment ref="A11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GF-226
GF-570
JTT-833//835、903、904/905
JST-1258,25.06.27</t>
        </r>
      </text>
    </comment>
    <comment ref="BS11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26.04.23,批次
金</t>
        </r>
      </text>
    </comment>
    <comment ref="BT11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JST-1258</t>
        </r>
      </text>
    </comment>
    <comment ref="A1180" authorId="0">
      <text>
        <r>
          <rPr>
            <b/>
            <sz val="9"/>
            <rFont val="宋体"/>
            <charset val="134"/>
          </rPr>
          <t>win:
公PIN型号</t>
        </r>
        <r>
          <rPr>
            <sz val="9"/>
            <rFont val="宋体"/>
            <charset val="134"/>
          </rPr>
          <t xml:space="preserve">
25.01.10,入账
JST-1109/1227.专用 JJX-151
金，记录</t>
        </r>
      </text>
    </comment>
    <comment ref="A1181" authorId="0">
      <text>
        <r>
          <rPr>
            <b/>
            <sz val="9"/>
            <rFont val="宋体"/>
            <charset val="134"/>
          </rPr>
          <t>10号框</t>
        </r>
        <r>
          <rPr>
            <sz val="9"/>
            <rFont val="宋体"/>
            <charset val="134"/>
          </rPr>
          <t xml:space="preserve">
</t>
        </r>
      </text>
    </comment>
    <comment ref="A11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 客供PIN</t>
        </r>
      </text>
    </comment>
    <comment ref="B1183" authorId="0">
      <text>
        <r>
          <rPr>
            <b/>
            <sz val="9"/>
            <rFont val="宋体"/>
            <charset val="134"/>
          </rPr>
          <t>GF客人</t>
        </r>
        <r>
          <rPr>
            <sz val="9"/>
            <rFont val="宋体"/>
            <charset val="134"/>
          </rPr>
          <t xml:space="preserve">
</t>
        </r>
      </text>
    </comment>
    <comment ref="A1186" authorId="0">
      <text>
        <r>
          <rPr>
            <b/>
            <sz val="9"/>
            <rFont val="宋体"/>
            <charset val="134"/>
          </rPr>
          <t>放在玻璃柜第一层</t>
        </r>
      </text>
    </comment>
    <comment ref="A118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放在，玻璃钢，柜子，
最下层，右门处
24.06.14， 记录
金</t>
        </r>
      </text>
    </comment>
    <comment ref="B118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GF-462,专用PIN针
25.03.19.
金</t>
        </r>
      </text>
    </comment>
    <comment ref="A1212" authorId="0">
      <text>
        <r>
          <rPr>
            <b/>
            <sz val="9"/>
            <rFont val="宋体"/>
            <charset val="134"/>
          </rPr>
          <t>9号框</t>
        </r>
        <r>
          <rPr>
            <sz val="9"/>
            <rFont val="宋体"/>
            <charset val="134"/>
          </rPr>
          <t xml:space="preserve">
</t>
        </r>
      </text>
    </comment>
    <comment ref="B1227" authorId="0">
      <text>
        <r>
          <rPr>
            <b/>
            <sz val="9"/>
            <rFont val="宋体"/>
            <charset val="134"/>
          </rPr>
          <t>文虹订侨奕</t>
        </r>
      </text>
    </comment>
    <comment ref="B1229" authorId="0">
      <text>
        <r>
          <rPr>
            <b/>
            <sz val="9"/>
            <rFont val="宋体"/>
            <charset val="134"/>
          </rPr>
          <t>文虹订侨奕</t>
        </r>
      </text>
    </comment>
    <comment ref="B1230" authorId="0">
      <text>
        <r>
          <rPr>
            <b/>
            <sz val="9"/>
            <rFont val="宋体"/>
            <charset val="134"/>
          </rPr>
          <t>文虹订侨奕</t>
        </r>
      </text>
    </comment>
    <comment ref="B1231" authorId="0">
      <text>
        <r>
          <rPr>
            <b/>
            <sz val="9"/>
            <rFont val="宋体"/>
            <charset val="134"/>
          </rPr>
          <t>文虹订侨奕</t>
        </r>
      </text>
    </comment>
    <comment ref="A1233" authorId="0">
      <text>
        <r>
          <rPr>
            <b/>
            <sz val="9"/>
            <rFont val="宋体"/>
            <charset val="134"/>
          </rPr>
          <t>旧版</t>
        </r>
        <r>
          <rPr>
            <sz val="9"/>
            <rFont val="宋体"/>
            <charset val="134"/>
          </rPr>
          <t xml:space="preserve">
</t>
        </r>
      </text>
    </comment>
    <comment ref="B1237" authorId="0">
      <text>
        <r>
          <rPr>
            <b/>
            <sz val="9"/>
            <rFont val="宋体"/>
            <charset val="134"/>
          </rPr>
          <t>无LOGO</t>
        </r>
        <r>
          <rPr>
            <sz val="9"/>
            <rFont val="宋体"/>
            <charset val="134"/>
          </rPr>
          <t xml:space="preserve">
</t>
        </r>
      </text>
    </comment>
    <comment ref="B1241" authorId="0">
      <text>
        <r>
          <rPr>
            <b/>
            <sz val="9"/>
            <rFont val="宋体"/>
            <charset val="134"/>
          </rPr>
          <t xml:space="preserve">无字
</t>
        </r>
        <r>
          <rPr>
            <sz val="9"/>
            <rFont val="宋体"/>
            <charset val="134"/>
          </rPr>
          <t xml:space="preserve">
</t>
        </r>
      </text>
    </comment>
    <comment ref="B1242" authorId="0">
      <text>
        <r>
          <rPr>
            <b/>
            <sz val="9"/>
            <rFont val="宋体"/>
            <charset val="134"/>
          </rPr>
          <t xml:space="preserve">无字
</t>
        </r>
        <r>
          <rPr>
            <sz val="9"/>
            <rFont val="宋体"/>
            <charset val="134"/>
          </rPr>
          <t xml:space="preserve">
</t>
        </r>
      </text>
    </comment>
    <comment ref="I1257" authorId="0">
      <text>
        <r>
          <rPr>
            <sz val="9"/>
            <rFont val="宋体"/>
            <charset val="134"/>
          </rPr>
          <t xml:space="preserve">JST-1363 100PCS
</t>
        </r>
      </text>
    </comment>
    <comment ref="K1265" authorId="0">
      <text>
        <r>
          <rPr>
            <sz val="9"/>
            <rFont val="宋体"/>
            <charset val="134"/>
          </rPr>
          <t xml:space="preserve">LJ-184  20PCS
</t>
        </r>
      </text>
    </comment>
    <comment ref="K1268" authorId="0">
      <text>
        <r>
          <rPr>
            <sz val="9"/>
            <rFont val="宋体"/>
            <charset val="134"/>
          </rPr>
          <t xml:space="preserve">JTT-1034  105PCS
</t>
        </r>
      </text>
    </comment>
    <comment ref="I1298" authorId="0">
      <text>
        <r>
          <rPr>
            <sz val="9"/>
            <rFont val="宋体"/>
            <charset val="134"/>
          </rPr>
          <t xml:space="preserve">JST-648   250PCS
</t>
        </r>
      </text>
    </comment>
    <comment ref="I1300" authorId="0">
      <text>
        <r>
          <rPr>
            <sz val="9"/>
            <rFont val="宋体"/>
            <charset val="134"/>
          </rPr>
          <t xml:space="preserve">JST-648   250PCS
</t>
        </r>
      </text>
    </comment>
    <comment ref="BS1303" authorId="0">
      <text>
        <r>
          <rPr>
            <b/>
            <sz val="9"/>
            <rFont val="宋体"/>
            <charset val="134"/>
          </rPr>
          <t>win:
啊慕，特别，要求</t>
        </r>
        <r>
          <rPr>
            <sz val="9"/>
            <rFont val="宋体"/>
            <charset val="134"/>
          </rPr>
          <t xml:space="preserve">
26.06.05 金，记录</t>
        </r>
      </text>
    </comment>
    <comment ref="A130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JTT+-837
专用，25.08.12，入</t>
        </r>
      </text>
    </comment>
    <comment ref="I1318" authorId="0">
      <text>
        <r>
          <rPr>
            <sz val="9"/>
            <rFont val="宋体"/>
            <charset val="134"/>
          </rPr>
          <t xml:space="preserve">JTT-705/704  合计21250PCS
</t>
        </r>
      </text>
    </comment>
    <comment ref="I1320" authorId="0">
      <text>
        <r>
          <rPr>
            <sz val="9"/>
            <rFont val="宋体"/>
            <charset val="134"/>
          </rPr>
          <t xml:space="preserve">JTT-705/704  合计21250PCS
</t>
        </r>
      </text>
    </comment>
    <comment ref="I1321" authorId="0">
      <text>
        <r>
          <rPr>
            <sz val="9"/>
            <rFont val="宋体"/>
            <charset val="134"/>
          </rPr>
          <t xml:space="preserve">JTT-705/704  合计21250PCS
</t>
        </r>
      </text>
    </comment>
    <comment ref="I1322" authorId="0">
      <text>
        <r>
          <rPr>
            <sz val="9"/>
            <rFont val="宋体"/>
            <charset val="134"/>
          </rPr>
          <t xml:space="preserve">JTT-705/704  合计21250PCS
</t>
        </r>
      </text>
    </comment>
    <comment ref="A1356" authorId="0">
      <text>
        <r>
          <rPr>
            <b/>
            <sz val="9"/>
            <rFont val="宋体"/>
            <charset val="134"/>
          </rPr>
          <t>YUKI电子网代买</t>
        </r>
        <r>
          <rPr>
            <sz val="9"/>
            <rFont val="宋体"/>
            <charset val="134"/>
          </rPr>
          <t xml:space="preserve">
</t>
        </r>
      </text>
    </comment>
    <comment ref="D1356" authorId="0">
      <text>
        <r>
          <rPr>
            <sz val="9"/>
            <rFont val="宋体"/>
            <charset val="134"/>
          </rPr>
          <t xml:space="preserve">91641338
</t>
        </r>
      </text>
    </comment>
    <comment ref="I1365" authorId="0">
      <text>
        <r>
          <rPr>
            <sz val="9"/>
            <rFont val="宋体"/>
            <charset val="134"/>
          </rPr>
          <t xml:space="preserve">gf-358 5700PCS
</t>
        </r>
      </text>
    </comment>
    <comment ref="K1365" authorId="0">
      <text>
        <r>
          <rPr>
            <sz val="9"/>
            <rFont val="宋体"/>
            <charset val="134"/>
          </rPr>
          <t xml:space="preserve">JTT-1034  105PCS
</t>
        </r>
      </text>
    </comment>
    <comment ref="M1365" authorId="0">
      <text>
        <r>
          <rPr>
            <sz val="9"/>
            <rFont val="宋体"/>
            <charset val="134"/>
          </rPr>
          <t xml:space="preserve">JTT-915   51PCS
</t>
        </r>
      </text>
    </comment>
    <comment ref="K1366" authorId="0">
      <text>
        <r>
          <rPr>
            <sz val="9"/>
            <rFont val="宋体"/>
            <charset val="134"/>
          </rPr>
          <t xml:space="preserve">JTT-1034  105PCS
</t>
        </r>
      </text>
    </comment>
    <comment ref="I1367" authorId="0">
      <text>
        <r>
          <rPr>
            <sz val="9"/>
            <rFont val="宋体"/>
            <charset val="134"/>
          </rPr>
          <t xml:space="preserve">JST-1286  100PCS
</t>
        </r>
      </text>
    </comment>
    <comment ref="A1369" authorId="0">
      <text>
        <r>
          <rPr>
            <b/>
            <sz val="9"/>
            <rFont val="宋体"/>
            <charset val="134"/>
          </rPr>
          <t>19-217-GHC-YR1S2-3T 高度为0.4mm 19-213/GHC-YR1S2/3T 高度为0.6mm 可能通用，除有高度有要求之外</t>
        </r>
      </text>
    </comment>
    <comment ref="A1381" authorId="0">
      <text>
        <r>
          <rPr>
            <b/>
            <sz val="9"/>
            <rFont val="宋体"/>
            <charset val="134"/>
          </rPr>
          <t>等同17-21SURC/S530-A2-TR8红（高度1.1）;17-215SURC/S530-A2-TR8(高度0.8）</t>
        </r>
        <r>
          <rPr>
            <sz val="9"/>
            <rFont val="宋体"/>
            <charset val="134"/>
          </rPr>
          <t xml:space="preserve">
</t>
        </r>
      </text>
    </comment>
    <comment ref="A13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5月17日 15-21SURC/S530-A2/TR8 改为15-21SURC/S530-A3/TR8 袁</t>
        </r>
      </text>
    </comment>
    <comment ref="A1401" authorId="0">
      <text>
        <r>
          <rPr>
            <b/>
            <sz val="9"/>
            <rFont val="宋体"/>
            <charset val="134"/>
          </rPr>
          <t>KPHCM-2012SURCK 共用</t>
        </r>
        <r>
          <rPr>
            <sz val="9"/>
            <rFont val="宋体"/>
            <charset val="134"/>
          </rPr>
          <t xml:space="preserve">
</t>
        </r>
      </text>
    </comment>
    <comment ref="I1415" authorId="0">
      <text>
        <r>
          <rPr>
            <sz val="9"/>
            <rFont val="宋体"/>
            <charset val="134"/>
          </rPr>
          <t xml:space="preserve">JST-1325  6000PCS
</t>
        </r>
      </text>
    </comment>
    <comment ref="I1417" authorId="0">
      <text>
        <r>
          <rPr>
            <sz val="9"/>
            <rFont val="宋体"/>
            <charset val="134"/>
          </rPr>
          <t xml:space="preserve">JST-1325  6000PCS
</t>
        </r>
      </text>
    </comment>
    <comment ref="I1419" authorId="0">
      <text>
        <r>
          <rPr>
            <sz val="9"/>
            <rFont val="宋体"/>
            <charset val="134"/>
          </rPr>
          <t xml:space="preserve">JST-1325  6000PCS
</t>
        </r>
      </text>
    </comment>
    <comment ref="A1444" authorId="0">
      <text>
        <r>
          <rPr>
            <sz val="9"/>
            <rFont val="宋体"/>
            <charset val="134"/>
          </rPr>
          <t xml:space="preserve">1608 B 100NF
</t>
        </r>
      </text>
    </comment>
    <comment ref="BR147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B1475" authorId="0">
      <text>
        <r>
          <rPr>
            <b/>
            <sz val="9"/>
            <rFont val="宋体"/>
            <charset val="134"/>
          </rPr>
          <t>win:
大约在</t>
        </r>
        <r>
          <rPr>
            <sz val="9"/>
            <rFont val="宋体"/>
            <charset val="134"/>
          </rPr>
          <t xml:space="preserve">
2016.11.18，入账</t>
        </r>
      </text>
    </comment>
    <comment ref="B1476" authorId="0">
      <text>
        <r>
          <rPr>
            <b/>
            <sz val="9"/>
            <rFont val="宋体"/>
            <charset val="134"/>
          </rPr>
          <t>win:
大约在</t>
        </r>
        <r>
          <rPr>
            <sz val="9"/>
            <rFont val="宋体"/>
            <charset val="134"/>
          </rPr>
          <t xml:space="preserve">
2016.11.17入账</t>
        </r>
      </text>
    </comment>
    <comment ref="A14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具体，得确认，是什么，类型，材料 （ 如）
24.10.09
金</t>
        </r>
      </text>
    </comment>
    <comment ref="B14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22.01..01需要查找正</t>
        </r>
      </text>
    </comment>
    <comment ref="A1478" authorId="0">
      <text>
        <r>
          <rPr>
            <b/>
            <sz val="9"/>
            <rFont val="宋体"/>
            <charset val="134"/>
          </rPr>
          <t>win:具体米数，只是评估=60M,( 不一定正确）</t>
        </r>
        <r>
          <rPr>
            <sz val="9"/>
            <rFont val="宋体"/>
            <charset val="134"/>
          </rPr>
          <t xml:space="preserve">
为盘点入账，使用，得确认日期，得确认 效果
24.10.09
金</t>
        </r>
      </text>
    </comment>
    <comment ref="B147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22.04.25需要查找正</t>
        </r>
      </text>
    </comment>
    <comment ref="A14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放在，3M9495MP ，下层处
24.05.31</t>
        </r>
      </text>
    </comment>
    <comment ref="B14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22.03.29，入账</t>
        </r>
      </text>
    </comment>
    <comment ref="A14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 3M9495MP  下面层
24.05.31
金</t>
        </r>
      </text>
    </comment>
    <comment ref="B14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23.12.29，入账</t>
        </r>
      </text>
    </comment>
    <comment ref="BU148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说明：目前放在，3M9495MP,下面
靠右手边放
24.12.31</t>
        </r>
      </text>
    </comment>
    <comment ref="B14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华天三和 很久了
2019.04.09 
24.12.31，金</t>
        </r>
      </text>
    </comment>
    <comment ref="BU14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说明：目前放在，3M9495MP,下面
靠右手边放
24.12.31</t>
        </r>
      </text>
    </comment>
    <comment ref="B14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2020.09.24</t>
        </r>
      </text>
    </comment>
    <comment ref="BU14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说明：目前放在，3M9495MP,下面
靠右手边放
24.12.31</t>
        </r>
      </text>
    </comment>
    <comment ref="A1484" authorId="0">
      <text>
        <r>
          <rPr>
            <b/>
            <sz val="9"/>
            <rFont val="宋体"/>
            <charset val="134"/>
          </rPr>
          <t>2017/11/15客供
慕，知道，登记
金 记录 26.02.08</t>
        </r>
      </text>
    </comment>
    <comment ref="A14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啊慕，有参与此
材料，处理，了解
25.06.06、金</t>
        </r>
      </text>
    </comment>
    <comment ref="C14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客供=18，PCS
做货=2PCS,,但是，厚度不对，规格书0.5厚
品管测试=1
25.06.06，金</t>
        </r>
      </text>
    </comment>
    <comment ref="BT148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品管，有检查过
25.06.06</t>
        </r>
      </text>
    </comment>
    <comment ref="A1486" authorId="0">
      <text>
        <r>
          <rPr>
            <b/>
            <sz val="9"/>
            <rFont val="宋体"/>
            <charset val="134"/>
          </rPr>
          <t>win:
JST-1258</t>
        </r>
        <r>
          <rPr>
            <sz val="9"/>
            <rFont val="宋体"/>
            <charset val="134"/>
          </rPr>
          <t>打样+第1次量产客供料</t>
        </r>
      </text>
    </comment>
    <comment ref="C148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客观共材料
JST-1258</t>
        </r>
      </text>
    </comment>
    <comment ref="A1487" authorId="0">
      <text>
        <r>
          <rPr>
            <b/>
            <sz val="9"/>
            <rFont val="宋体"/>
            <charset val="134"/>
          </rPr>
          <t>win:
JST-1258 第二次量产500PCS 客供料</t>
        </r>
        <r>
          <rPr>
            <sz val="9"/>
            <rFont val="宋体"/>
            <charset val="134"/>
          </rPr>
          <t xml:space="preserve">
啊慕，有参与此
材料，处理，了解
26.03.14、金</t>
        </r>
      </text>
    </comment>
    <comment ref="C148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客观共材料
JST-1258</t>
        </r>
      </text>
    </comment>
    <comment ref="A1488" authorId="0">
      <text>
        <r>
          <rPr>
            <b/>
            <sz val="9"/>
            <rFont val="宋体"/>
            <charset val="134"/>
          </rPr>
          <t>win:
JST-1258</t>
        </r>
        <r>
          <rPr>
            <sz val="9"/>
            <rFont val="宋体"/>
            <charset val="134"/>
          </rPr>
          <t>切出来的余料</t>
        </r>
      </text>
    </comment>
    <comment ref="BT148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品管，有检查过
25.06.06</t>
        </r>
      </text>
    </comment>
    <comment ref="A149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2019.10.08，后度，要确认
24.12.31.金</t>
        </r>
      </text>
    </comment>
    <comment ref="B149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300、改成=330</t>
        </r>
      </text>
    </comment>
    <comment ref="A149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2019.10.08 年份
24.12.31.评估
金</t>
        </r>
      </text>
    </comment>
    <comment ref="A149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20.06.17 年份
24.12.31，评估，确认</t>
        </r>
      </text>
    </comment>
    <comment ref="I149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JST-1219</t>
        </r>
      </text>
    </comment>
    <comment ref="I149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JST-1219</t>
        </r>
      </text>
    </comment>
    <comment ref="I149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JST-1219</t>
        </r>
      </text>
    </comment>
    <comment ref="M149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LJ-184</t>
        </r>
      </text>
    </comment>
    <comment ref="I15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JTT-987</t>
        </r>
      </text>
    </comment>
    <comment ref="I150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JST-077</t>
        </r>
      </text>
    </comment>
    <comment ref="I150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JST-1363
</t>
        </r>
      </text>
    </comment>
    <comment ref="A150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JTT-036,面板
25.05.29</t>
        </r>
      </text>
    </comment>
    <comment ref="A15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特别说明：26.04.07
慕，告知，
关于，CHL  EBG-180
在使用时
需要，先剪前面=20M,再次查看里面效果，是还有 脏污 然后确认好在使用 ，26.04.07 记录 </t>
        </r>
      </text>
    </comment>
    <comment ref="A15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特别说明：26.04.07
慕，告知，
关于，CHL  EBG-180
在使用时
需要，先剪前面=20M,再次查看里面效果，是还有 脏污 然后确认好在使用 ，26.04.07 记录 </t>
        </r>
      </text>
    </comment>
    <comment ref="I151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JTT-987</t>
        </r>
      </text>
    </comment>
    <comment ref="B152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材料有异常
有合适机种使用
26.04.25 ，慕说明：
26.04.25金</t>
        </r>
      </text>
    </comment>
    <comment ref="B15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材料有异常
有合适机种使用
26.04.25 ，慕说明：
26.04.25金</t>
        </r>
      </text>
    </comment>
    <comment ref="A15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暂时不能，动用
，因为材料，品质，有
不良 做SY-010,</t>
        </r>
      </text>
    </comment>
    <comment ref="BT15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等待，三和，处理</t>
        </r>
      </text>
    </comment>
    <comment ref="A15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特别说明：此材料
有出库，重新检查
要求：不能发，印刷样
窗口的面板， 25.11.18， 15:53，金</t>
        </r>
      </text>
    </comment>
    <comment ref="A153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放在蓝色大框里面，有2卷材料
24.12.31，
外面。小鹏，纸箱盖住 
26.01.08,金 发回架子上 ，D区架三层 一格 </t>
        </r>
      </text>
    </comment>
    <comment ref="BT153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26.03.10，来料单
供应商，说明
26.03.10金</t>
        </r>
      </text>
    </comment>
    <comment ref="BU153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3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3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M154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GF-285</t>
        </r>
      </text>
    </comment>
    <comment ref="BU154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M154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JTT-915</t>
        </r>
      </text>
    </comment>
    <comment ref="BU154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4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4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M15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JST-1034</t>
        </r>
      </text>
    </comment>
    <comment ref="BU154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M15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JTT-296</t>
        </r>
      </text>
    </comment>
    <comment ref="BU154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说明：靠右手边放</t>
        </r>
      </text>
    </comment>
    <comment ref="BU155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说明：靠右手边放</t>
        </r>
      </text>
    </comment>
    <comment ref="B155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JTT-890,使用规格</t>
        </r>
      </text>
    </comment>
    <comment ref="BU155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说明：靠右手边放</t>
        </r>
      </text>
    </comment>
    <comment ref="BU155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A15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材料回来有贴网纹
26.07.11 ，金</t>
        </r>
      </text>
    </comment>
    <comment ref="I15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</t>
        </r>
      </text>
    </comment>
    <comment ref="BU155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15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很久了，目前不能做亮窗口
24.12.31，在次记录</t>
        </r>
      </text>
    </comment>
    <comment ref="BU155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5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5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5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5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6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I15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JTT-705
面板发够数量</t>
        </r>
      </text>
    </comment>
    <comment ref="BP15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特别说明:有=187M
已贴回来，放在，SDT-75处暂放
因为材料太大</t>
        </r>
      </text>
    </comment>
    <comment ref="BU156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6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6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6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6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6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A15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打样材料，未通过
因为，油墨
25.05.29</t>
        </r>
      </text>
    </comment>
    <comment ref="BU156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T1569" authorId="0">
      <text>
        <r>
          <rPr>
            <b/>
            <sz val="9"/>
            <rFont val="宋体"/>
            <charset val="134"/>
          </rPr>
          <t>win:
235宽，F200 成浩林</t>
        </r>
        <r>
          <rPr>
            <sz val="9"/>
            <rFont val="宋体"/>
            <charset val="134"/>
          </rPr>
          <t xml:space="preserve">
25.10.09,测试
亮窗口，效果，OK
金记录</t>
        </r>
      </text>
    </comment>
    <comment ref="BU1569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70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P157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181M 里面样=430*350
有=20，PCS,切片</t>
        </r>
      </text>
    </comment>
    <comment ref="BU1571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72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A157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PY3 材料可以
印刷透明黑
26.07.30 金 记录</t>
        </r>
      </text>
    </comment>
    <comment ref="BT157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26.07.30
金 记录</t>
        </r>
      </text>
    </comment>
    <comment ref="BU1573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74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75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A157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JTT-843/844/845/846
25.12.27 记录  金
鑫信泰 材料</t>
        </r>
      </text>
    </comment>
    <comment ref="BU1576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A157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JTT-843/844/845/846/955  系列
26.06.12 记录 ,检验合格 金
鑫信泰 材料</t>
        </r>
      </text>
    </comment>
    <comment ref="BU1577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78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A15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PY3 材料可以
印刷透明黑
26.07.30 金 记录</t>
        </r>
      </text>
    </comment>
    <comment ref="BT157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26.07.30
金 记录</t>
        </r>
      </text>
    </comment>
    <comment ref="BU1579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A15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深圳四维 
DK-068 JTT-1030
25.11.26 金 记录
放在与F203 防菌材料处 </t>
        </r>
      </text>
    </comment>
    <comment ref="BU158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A1581" authorId="0">
      <text>
        <r>
          <rPr>
            <b/>
            <sz val="9"/>
            <rFont val="宋体"/>
            <charset val="134"/>
          </rPr>
          <t>DK用</t>
        </r>
      </text>
    </comment>
    <comment ref="B158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25.11.12
DK-048,用它切的
印刷=2模
规格237*150
金、记录</t>
        </r>
      </text>
    </comment>
    <comment ref="BU158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A1582" authorId="0">
      <text>
        <r>
          <rPr>
            <b/>
            <sz val="9"/>
            <rFont val="宋体"/>
            <charset val="134"/>
          </rPr>
          <t>DK用</t>
        </r>
      </text>
    </comment>
    <comment ref="I15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DK-077</t>
        </r>
      </text>
    </comment>
    <comment ref="BU158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8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说明：外架子，有黑色，胶袋盖住，
靠左手边放</t>
        </r>
      </text>
    </comment>
    <comment ref="BU1585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86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87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88" authorId="0">
      <text>
        <r>
          <rPr>
            <b/>
            <sz val="9"/>
            <rFont val="宋体"/>
            <charset val="134"/>
          </rPr>
          <t>win:
临时借用，位置</t>
        </r>
        <r>
          <rPr>
            <sz val="9"/>
            <rFont val="宋体"/>
            <charset val="134"/>
          </rPr>
          <t xml:space="preserve">
说明材料太大 ：放外架子下面，地板绿色卡板上，，袋盖住，
靠右手边放</t>
        </r>
      </text>
    </comment>
    <comment ref="BU158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说明：靠右手边放</t>
        </r>
      </text>
    </comment>
    <comment ref="BU159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说明：有黑色，胶袋盖住，
靠左手边放</t>
        </r>
      </text>
    </comment>
    <comment ref="BU159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说明：有黑色，胶袋盖住，
靠左手边放</t>
        </r>
      </text>
    </comment>
    <comment ref="BU159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说明：有黑色，胶袋盖住，
靠左手边放</t>
        </r>
      </text>
    </comment>
    <comment ref="BT1594" authorId="0">
      <text>
        <r>
          <rPr>
            <b/>
            <sz val="9"/>
            <rFont val="宋体"/>
            <charset val="134"/>
          </rPr>
          <t>win:
435宽V 150 成浩林</t>
        </r>
        <r>
          <rPr>
            <sz val="9"/>
            <rFont val="宋体"/>
            <charset val="134"/>
          </rPr>
          <t xml:space="preserve">
25.10.09,测试
亮窗口，效果，OK
金记录</t>
        </r>
      </text>
    </comment>
    <comment ref="BU159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说明：黄色120G,离型纸下面，有黑色，胶袋盖住，
靠左手边放</t>
        </r>
      </text>
    </comment>
    <comment ref="BU159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说明：黄色120G,离型纸下面，有黑色，胶袋盖住，
靠左手边放</t>
        </r>
      </text>
    </comment>
    <comment ref="B1600" authorId="0">
      <text>
        <r>
          <rPr>
            <b/>
            <sz val="9"/>
            <rFont val="宋体"/>
            <charset val="134"/>
          </rPr>
          <t>盘点入帐
此规格，已经很久了 2022.07.16
24.12.31，金、 在次，提示</t>
        </r>
      </text>
    </comment>
    <comment ref="I16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JTT-1033
重新打样</t>
        </r>
      </text>
    </comment>
    <comment ref="BU160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说明：靠左手边放
     中间放</t>
        </r>
      </text>
    </comment>
    <comment ref="BU1602" authorId="0">
      <text>
        <r>
          <rPr>
            <b/>
            <sz val="9"/>
            <rFont val="宋体"/>
            <charset val="134"/>
          </rPr>
          <t>wi
说明：</t>
        </r>
        <r>
          <rPr>
            <sz val="9"/>
            <rFont val="宋体"/>
            <charset val="134"/>
          </rPr>
          <t>有黑色，胶袋盖住，
靠左手边放</t>
        </r>
      </text>
    </comment>
    <comment ref="BU1604" authorId="0">
      <text>
        <r>
          <rPr>
            <b/>
            <sz val="9"/>
            <rFont val="宋体"/>
            <charset val="134"/>
          </rPr>
          <t>wi
说明：</t>
        </r>
        <r>
          <rPr>
            <sz val="9"/>
            <rFont val="宋体"/>
            <charset val="134"/>
          </rPr>
          <t>有黑色，胶袋盖住，
靠左手边放</t>
        </r>
      </text>
    </comment>
    <comment ref="BU1605" authorId="0">
      <text>
        <r>
          <rPr>
            <b/>
            <sz val="9"/>
            <rFont val="宋体"/>
            <charset val="134"/>
          </rPr>
          <t>wi
说明：</t>
        </r>
        <r>
          <rPr>
            <sz val="9"/>
            <rFont val="宋体"/>
            <charset val="134"/>
          </rPr>
          <t>有黑色，胶袋盖住，
靠左手边放</t>
        </r>
      </text>
    </comment>
    <comment ref="M16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JJX-116</t>
        </r>
      </text>
    </comment>
    <comment ref="BU160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说明：黄色120G,离型纸下面，有黑色，胶袋盖住，
靠左手边放</t>
        </r>
      </text>
    </comment>
    <comment ref="A16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材料回来，看不清楚，有多少米
26.03.03
金</t>
        </r>
      </text>
    </comment>
    <comment ref="BU160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说明：黄色120G,离型纸下面，有黑色，胶袋盖住，
靠左手边放</t>
        </r>
      </text>
    </comment>
    <comment ref="BU160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说明：黄色120G,离型纸下面，有黑色，胶袋盖住，
靠左手边放</t>
        </r>
      </text>
    </comment>
    <comment ref="BT161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26.01.31</t>
        </r>
      </text>
    </comment>
    <comment ref="I161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JST-1361</t>
        </r>
      </text>
    </comment>
    <comment ref="I161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JST-1359</t>
        </r>
      </text>
    </comment>
    <comment ref="A1619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  捷昌 
JTT-935/936/937
专用
25.12.02 
金</t>
        </r>
      </text>
    </comment>
    <comment ref="BU1619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说明：半成品=032框，上面放 顶层处
24.12.31</t>
        </r>
      </text>
    </comment>
    <comment ref="A162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供应  捷昌 
JTT-935/936/937
专用
25.12.02 
金</t>
        </r>
      </text>
    </comment>
    <comment ref="BU1620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说明：半成品=032框，上面放 顶层处
24.12.31</t>
        </r>
      </text>
    </comment>
    <comment ref="A16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GF-528,专用
24.08.28-30号，生产
通过，效果确认，（ 啊慕，通知 入库24.09.04）
特别：说明 网购买的
24.09.04
金</t>
        </r>
      </text>
    </comment>
    <comment ref="B162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GF-528,专用泡棉
（EVA)</t>
        </r>
      </text>
    </comment>
    <comment ref="BU1621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说明：半成品=032框，上面放 顶层处
24.12.31</t>
        </r>
      </text>
    </comment>
    <comment ref="A1622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JTT-873/874,专用
25.06.30号，生产
通过，效果确认，（ 通知 入库25.07.05）
特别：说明 网购买的
25.07.05
金</t>
        </r>
      </text>
    </comment>
    <comment ref="BU1622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说明：半成品=032框，上面放 顶层处
24.12.31</t>
        </r>
      </text>
    </comment>
    <comment ref="A162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JST-1286,专用
26.03.11
放在 ( I区 ),大卷泡棉上面 </t>
        </r>
      </text>
    </comment>
    <comment ref="BU1623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说明：半成品=032框，上面放 顶层处
24.12.31</t>
        </r>
      </text>
    </comment>
    <comment ref="A162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JJX-157/158
客供材料，25.08.19
金</t>
        </r>
      </text>
    </comment>
    <comment ref="BU1624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说明：半成品=032框，上面放 顶层处
24.12.31</t>
        </r>
      </text>
    </comment>
    <comment ref="A1625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JST-1173,专用，未经同意，不得用于其他，
24.07.09
金，记录，因为2.0  厚度</t>
        </r>
      </text>
    </comment>
    <comment ref="BU1625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说明：半成品=030框，上面放 顶层处
24.12.31</t>
        </r>
      </text>
    </comment>
    <comment ref="A1626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JST-1173,专用，未经同意，不得用于其他，
24.07.09
金，记录，因为2.0  厚度</t>
        </r>
      </text>
    </comment>
    <comment ref="BU1626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说明：半成品=030框，上面放 顶层处
24.12.31</t>
        </r>
      </text>
    </comment>
    <comment ref="B1627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JST-798/794,黑色泡棉
2022.以前的
24.12.31，金。盘点
</t>
        </r>
      </text>
    </comment>
    <comment ref="BU1627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说明：半成品=032框，上面放 顶层处
24.12.31</t>
        </r>
      </text>
    </comment>
    <comment ref="A16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HZLT-089
24.01.20,入账</t>
        </r>
      </text>
    </comment>
    <comment ref="B1628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HZLT-089,
24.01.20/发放=40M
订单</t>
        </r>
      </text>
    </comment>
    <comment ref="BU1628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说明：半成品=029框，上面放 顶层处
24.12.31</t>
        </r>
      </text>
    </comment>
    <comment ref="BU1629" authorId="0">
      <text>
        <r>
          <rPr>
            <b/>
            <sz val="9"/>
            <rFont val="宋体"/>
            <charset val="134"/>
          </rPr>
          <t>win:
靠进，放半成品架子这边，存放窗户处
24.12.31，金</t>
        </r>
      </text>
    </comment>
    <comment ref="A16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说明：严格说，此项不能计入原料成本，这一块
因为是，余料
25.01.18，金</t>
        </r>
      </text>
    </comment>
    <comment ref="B1630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JST-932,中间余料
可以利用，等待合适机种 24.12.31，
可以用：JST-968 </t>
        </r>
      </text>
    </comment>
    <comment ref="BU1630" authorId="0">
      <text>
        <r>
          <rPr>
            <b/>
            <sz val="9"/>
            <rFont val="宋体"/>
            <charset val="134"/>
          </rPr>
          <t>win:
靠进，放半成品架子这边，存放窗户处
24.12.31，金</t>
        </r>
      </text>
    </comment>
    <comment ref="B1631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JST-932,大垫圈
24.12.07
金</t>
        </r>
      </text>
    </comment>
    <comment ref="BU1631" authorId="0">
      <text>
        <r>
          <rPr>
            <b/>
            <sz val="9"/>
            <rFont val="宋体"/>
            <charset val="134"/>
          </rPr>
          <t>win:
靠进，放半成品架子这边，存放窗户处
24.12.31，金</t>
        </r>
      </text>
    </comment>
    <comment ref="BU1632" authorId="0">
      <text>
        <r>
          <rPr>
            <b/>
            <sz val="9"/>
            <rFont val="宋体"/>
            <charset val="134"/>
          </rPr>
          <t>wi
说明：</t>
        </r>
        <r>
          <rPr>
            <sz val="9"/>
            <rFont val="宋体"/>
            <charset val="134"/>
          </rPr>
          <t>有黑色，胶袋盖住，
靠左手边放</t>
        </r>
      </text>
    </comment>
    <comment ref="BU1633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说明：半成品=030框，上面放 顶层处
24.12.31</t>
        </r>
      </text>
    </comment>
    <comment ref="BU1634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说明：半成品=030框，上面放 顶层处
24.12.31</t>
        </r>
      </text>
    </comment>
    <comment ref="BU1635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说明：半成品=030框，上面放 顶层处
24.12.31</t>
        </r>
      </text>
    </comment>
    <comment ref="BU1636" authorId="0">
      <text>
        <r>
          <rPr>
            <b/>
            <sz val="9"/>
            <rFont val="宋体"/>
            <charset val="134"/>
          </rPr>
          <t>win:
提示</t>
        </r>
        <r>
          <rPr>
            <sz val="9"/>
            <rFont val="宋体"/>
            <charset val="134"/>
          </rPr>
          <t xml:space="preserve">
说明：半成品=030框，上面放 顶层处
24.12.31</t>
        </r>
      </text>
    </comment>
    <comment ref="A1647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648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649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650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651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A1652" authorId="0">
      <text>
        <r>
          <rPr>
            <b/>
            <sz val="9"/>
            <rFont val="宋体"/>
            <charset val="134"/>
          </rPr>
          <t>win:
样品，材料</t>
        </r>
        <r>
          <rPr>
            <sz val="9"/>
            <rFont val="宋体"/>
            <charset val="134"/>
          </rPr>
          <t xml:space="preserve">
特别说明：这是林总，整理他办公室
给我的，具体做什么，？
我 记录25.05.04，金</t>
        </r>
      </text>
    </comment>
    <comment ref="B1652" authorId="0">
      <text>
        <r>
          <rPr>
            <b/>
            <sz val="9"/>
            <rFont val="宋体"/>
            <charset val="134"/>
          </rPr>
          <t>win:
此样品材料，</t>
        </r>
        <r>
          <rPr>
            <sz val="9"/>
            <rFont val="宋体"/>
            <charset val="134"/>
          </rPr>
          <t xml:space="preserve">
我，比对，与
仓库， 效果，大约一致
是否可以，用于生产
25.05.04，记录 金</t>
        </r>
      </text>
    </comment>
    <comment ref="A1653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54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55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56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57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58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59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60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61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62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63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64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66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67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68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70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71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72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73" authorId="0">
      <text>
        <r>
          <rPr>
            <b/>
            <sz val="9"/>
            <rFont val="宋体"/>
            <charset val="134"/>
          </rPr>
          <t>win:
样品，材料   没有单据：</t>
        </r>
        <r>
          <rPr>
            <sz val="9"/>
            <rFont val="宋体"/>
            <charset val="134"/>
          </rPr>
          <t xml:space="preserve">
特别说明：这是啊慕，2025.09.25 上午 口头 交代新亚洲，提供的样品，材料， 临时存放在仓库，后续工程，设计，制作使用，具体做什么，？
金  、  记录25.09.25 入账</t>
        </r>
      </text>
    </comment>
    <comment ref="A16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来料日期：2020.08.19.
24.09.26
金，记录
</t>
        </r>
      </text>
    </comment>
    <comment ref="BR16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  <comment ref="BT1683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26.01.08
材料，报废处理
因为，时间太久，
表面处理，分成
。已，告知，林总、慕， 同意，报废材料
材料，于26.01.08 
转印刷， 佩 
他们 用 试印刷， 金 记录</t>
        </r>
      </text>
    </comment>
    <comment ref="BR1684" authorId="0">
      <text>
        <r>
          <rPr>
            <b/>
            <sz val="9"/>
            <rFont val="宋体"/>
            <charset val="134"/>
          </rPr>
          <t>win:</t>
        </r>
        <r>
          <rPr>
            <sz val="9"/>
            <rFont val="宋体"/>
            <charset val="134"/>
          </rPr>
          <t xml:space="preserve">
待查正，在修改
24.12.27，金</t>
        </r>
      </text>
    </comment>
  </commentList>
</comments>
</file>

<file path=xl/sharedStrings.xml><?xml version="1.0" encoding="utf-8"?>
<sst xmlns="http://schemas.openxmlformats.org/spreadsheetml/2006/main" count="6514" uniqueCount="2707">
  <si>
    <t xml:space="preserve">26-08月 </t>
  </si>
  <si>
    <t>规格</t>
  </si>
  <si>
    <t>上月结存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</si>
  <si>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</si>
  <si>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</si>
  <si>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</si>
  <si>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</si>
  <si>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</si>
  <si>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</si>
  <si>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</si>
  <si>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</si>
  <si>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</si>
  <si>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</si>
  <si>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</si>
  <si>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</si>
  <si>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</si>
  <si>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</si>
  <si>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</si>
  <si>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</si>
  <si>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</si>
  <si>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</si>
  <si>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</si>
  <si>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</si>
  <si>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</si>
  <si>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</si>
  <si>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</si>
  <si>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</si>
  <si>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</si>
  <si>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</si>
  <si>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</si>
  <si>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</si>
  <si>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</si>
  <si>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</si>
  <si>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</si>
  <si>
    <t>本月进仓</t>
  </si>
  <si>
    <t>本月出仓</t>
  </si>
  <si>
    <t>本月结存</t>
  </si>
  <si>
    <t>库存平方</t>
  </si>
  <si>
    <t>原  进 料</t>
  </si>
  <si>
    <t>盘点  日期</t>
  </si>
  <si>
    <t>备注 / 说明</t>
  </si>
  <si>
    <t>摆放 / 区域</t>
  </si>
  <si>
    <t>材料名称</t>
  </si>
  <si>
    <t>进</t>
  </si>
  <si>
    <t>出</t>
  </si>
  <si>
    <t>第一日期</t>
  </si>
  <si>
    <t>含第二批次</t>
  </si>
  <si>
    <t>统一使用8# 字粗</t>
  </si>
  <si>
    <t>正确位置存放</t>
  </si>
  <si>
    <r>
      <t>0.125中砂PC</t>
    </r>
    <r>
      <rPr>
        <sz val="12"/>
        <color indexed="12"/>
        <rFont val="宋体"/>
        <charset val="134"/>
      </rPr>
      <t>(尚昇)</t>
    </r>
  </si>
  <si>
    <t>24.04.15</t>
  </si>
  <si>
    <r>
      <t>24.12.27</t>
    </r>
    <r>
      <rPr>
        <b/>
        <sz val="8"/>
        <color indexed="11"/>
        <rFont val="宋体"/>
        <charset val="134"/>
      </rPr>
      <t>盘点</t>
    </r>
  </si>
  <si>
    <t>后面一批发放AD-155</t>
  </si>
  <si>
    <t xml:space="preserve">A区 卡板 1 </t>
  </si>
  <si>
    <r>
      <t>0.175mm 砂面PC（</t>
    </r>
    <r>
      <rPr>
        <sz val="12"/>
        <color indexed="12"/>
        <rFont val="宋体"/>
        <charset val="134"/>
      </rPr>
      <t>尚昇</t>
    </r>
    <r>
      <rPr>
        <sz val="12"/>
        <rFont val="宋体"/>
        <charset val="134"/>
      </rPr>
      <t>）</t>
    </r>
  </si>
  <si>
    <t>无</t>
  </si>
  <si>
    <r>
      <t>8B35 0.175(</t>
    </r>
    <r>
      <rPr>
        <sz val="12"/>
        <color indexed="12"/>
        <rFont val="宋体"/>
        <charset val="134"/>
      </rPr>
      <t>兴富成</t>
    </r>
    <r>
      <rPr>
        <sz val="12"/>
        <rFont val="宋体"/>
        <charset val="134"/>
      </rPr>
      <t>）</t>
    </r>
    <r>
      <rPr>
        <b/>
        <sz val="12"/>
        <color indexed="10"/>
        <rFont val="宋体"/>
        <charset val="134"/>
      </rPr>
      <t>亮面</t>
    </r>
  </si>
  <si>
    <t>15.01.30</t>
  </si>
  <si>
    <t>IVP专用 25.12.01,  再次盘点入账</t>
  </si>
  <si>
    <t xml:space="preserve">B区 卡板 2 </t>
  </si>
  <si>
    <r>
      <t>0.175中砂面PC</t>
    </r>
    <r>
      <rPr>
        <b/>
        <sz val="12"/>
        <color indexed="12"/>
        <rFont val="宋体"/>
        <charset val="134"/>
      </rPr>
      <t>(1860)</t>
    </r>
  </si>
  <si>
    <t>25.11.06</t>
  </si>
  <si>
    <r>
      <t>25.11.06</t>
    </r>
    <r>
      <rPr>
        <b/>
        <sz val="8"/>
        <color indexed="11"/>
        <rFont val="宋体"/>
        <charset val="134"/>
      </rPr>
      <t>盘点</t>
    </r>
  </si>
  <si>
    <t>JJX-165 样品材料，</t>
  </si>
  <si>
    <r>
      <t>0.175中砂面</t>
    </r>
    <r>
      <rPr>
        <sz val="12"/>
        <rFont val="宋体"/>
        <charset val="134"/>
      </rPr>
      <t>PC-DB6842</t>
    </r>
    <r>
      <rPr>
        <sz val="12"/>
        <color indexed="12"/>
        <rFont val="宋体"/>
        <charset val="134"/>
      </rPr>
      <t>(地博）</t>
    </r>
  </si>
  <si>
    <r>
      <t>3</t>
    </r>
    <r>
      <rPr>
        <sz val="12"/>
        <rFont val="宋体"/>
        <charset val="134"/>
      </rPr>
      <t>00*305</t>
    </r>
  </si>
  <si>
    <t>24.07.10</t>
  </si>
  <si>
    <t>F区 架一，二层</t>
  </si>
  <si>
    <r>
      <t>3</t>
    </r>
    <r>
      <rPr>
        <sz val="12"/>
        <rFont val="宋体"/>
        <charset val="134"/>
      </rPr>
      <t>10*240</t>
    </r>
  </si>
  <si>
    <t>26.04.18</t>
  </si>
  <si>
    <r>
      <t>26.04.18</t>
    </r>
    <r>
      <rPr>
        <b/>
        <sz val="8"/>
        <color indexed="11"/>
        <rFont val="宋体"/>
        <charset val="134"/>
      </rPr>
      <t>盘点</t>
    </r>
  </si>
  <si>
    <t>余料</t>
  </si>
  <si>
    <t>26.06.25</t>
  </si>
  <si>
    <r>
      <t>25.06.25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</si>
  <si>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TT-778,系列</t>
    </r>
  </si>
  <si>
    <t>25.07.16</t>
  </si>
  <si>
    <r>
      <t>25.07.16</t>
    </r>
    <r>
      <rPr>
        <b/>
        <sz val="8"/>
        <color indexed="11"/>
        <rFont val="宋体"/>
        <charset val="134"/>
      </rPr>
      <t>盘点</t>
    </r>
  </si>
  <si>
    <t>25.07.16回来</t>
  </si>
  <si>
    <t>25.11.20</t>
  </si>
  <si>
    <r>
      <t>25.11.20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</si>
  <si>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JX-164,材料规格</t>
    </r>
  </si>
  <si>
    <r>
      <t>0</t>
    </r>
    <r>
      <rPr>
        <sz val="12"/>
        <rFont val="宋体"/>
        <charset val="134"/>
      </rPr>
      <t>.175中砂PC-DB6842(DB6842)地博</t>
    </r>
  </si>
  <si>
    <t>可以切割小孔 26.03.24 记录</t>
  </si>
  <si>
    <r>
      <t>0</t>
    </r>
    <r>
      <rPr>
        <sz val="12"/>
        <rFont val="宋体"/>
        <charset val="134"/>
      </rPr>
      <t>.175中砂PC-安迪PC35(</t>
    </r>
    <r>
      <rPr>
        <sz val="12"/>
        <color indexed="10"/>
        <rFont val="宋体"/>
        <charset val="134"/>
      </rPr>
      <t>暂放鑫信泰</t>
    </r>
    <r>
      <rPr>
        <sz val="12"/>
        <rFont val="宋体"/>
        <charset val="134"/>
      </rPr>
      <t>)金玛莱</t>
    </r>
  </si>
  <si>
    <t>26.08.08.04</t>
  </si>
  <si>
    <r>
      <t>0</t>
    </r>
    <r>
      <rPr>
        <sz val="12"/>
        <rFont val="宋体"/>
        <charset val="134"/>
      </rPr>
      <t>.175中砂PC-GE 8B35(</t>
    </r>
    <r>
      <rPr>
        <sz val="12"/>
        <color indexed="10"/>
        <rFont val="宋体"/>
        <charset val="134"/>
      </rPr>
      <t>暂放鑫信泰</t>
    </r>
    <r>
      <rPr>
        <sz val="12"/>
        <rFont val="宋体"/>
        <charset val="134"/>
      </rPr>
      <t>)金玛莱</t>
    </r>
  </si>
  <si>
    <r>
      <t>0.175mm</t>
    </r>
    <r>
      <rPr>
        <b/>
        <sz val="12"/>
        <color indexed="10"/>
        <rFont val="宋体"/>
        <charset val="134"/>
      </rPr>
      <t>细砂</t>
    </r>
    <r>
      <rPr>
        <b/>
        <sz val="12"/>
        <rFont val="宋体"/>
        <charset val="134"/>
      </rPr>
      <t>PC32 (</t>
    </r>
    <r>
      <rPr>
        <b/>
        <sz val="12"/>
        <color indexed="12"/>
        <rFont val="宋体"/>
        <charset val="134"/>
      </rPr>
      <t>龙跃宇</t>
    </r>
    <r>
      <rPr>
        <b/>
        <sz val="12"/>
        <rFont val="宋体"/>
        <charset val="134"/>
      </rPr>
      <t>）</t>
    </r>
  </si>
  <si>
    <r>
      <t>4</t>
    </r>
    <r>
      <rPr>
        <sz val="12"/>
        <rFont val="宋体"/>
        <charset val="134"/>
      </rPr>
      <t>65*385</t>
    </r>
  </si>
  <si>
    <t>25.10.30</t>
  </si>
  <si>
    <r>
      <t>25.10.30</t>
    </r>
    <r>
      <rPr>
        <b/>
        <sz val="8"/>
        <color indexed="11"/>
        <rFont val="宋体"/>
        <charset val="134"/>
      </rPr>
      <t>盘点</t>
    </r>
  </si>
  <si>
    <t>YL-949/专用规格</t>
  </si>
  <si>
    <t>25.10.30新订材料回来</t>
  </si>
  <si>
    <t>8B35 中砂 0.25PC(鹏沛盈）</t>
  </si>
  <si>
    <t>90*265</t>
  </si>
  <si>
    <t>24.09.26盘点</t>
  </si>
  <si>
    <t xml:space="preserve"> 余料</t>
  </si>
  <si>
    <t>F区架一，二层-2</t>
  </si>
  <si>
    <r>
      <t>0</t>
    </r>
    <r>
      <rPr>
        <sz val="12"/>
        <rFont val="宋体"/>
        <charset val="134"/>
      </rPr>
      <t>.25</t>
    </r>
    <r>
      <rPr>
        <sz val="12"/>
        <rFont val="宋体"/>
        <charset val="134"/>
      </rPr>
      <t xml:space="preserve"> </t>
    </r>
    <r>
      <rPr>
        <b/>
        <sz val="12"/>
        <rFont val="微软雅黑"/>
        <family val="2"/>
        <charset val="134"/>
      </rPr>
      <t>粗砂</t>
    </r>
    <r>
      <rPr>
        <sz val="12"/>
        <rFont val="宋体"/>
        <charset val="134"/>
      </rPr>
      <t>PC(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</si>
  <si>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r>
      <t>4</t>
    </r>
    <r>
      <rPr>
        <sz val="12"/>
        <rFont val="宋体"/>
        <charset val="134"/>
      </rPr>
      <t>25*232</t>
    </r>
  </si>
  <si>
    <t>26.06.18</t>
  </si>
  <si>
    <r>
      <t>26.06.18</t>
    </r>
    <r>
      <rPr>
        <b/>
        <sz val="8"/>
        <color indexed="11"/>
        <rFont val="宋体"/>
        <charset val="134"/>
      </rPr>
      <t>盘点</t>
    </r>
  </si>
  <si>
    <r>
      <t>0.25中砂面</t>
    </r>
    <r>
      <rPr>
        <sz val="12"/>
        <rFont val="宋体"/>
        <charset val="134"/>
      </rPr>
      <t>PC-DB6842 (</t>
    </r>
    <r>
      <rPr>
        <sz val="12"/>
        <color indexed="12"/>
        <rFont val="宋体"/>
        <charset val="134"/>
      </rPr>
      <t>地博</t>
    </r>
    <r>
      <rPr>
        <sz val="12"/>
        <rFont val="宋体"/>
        <charset val="134"/>
      </rPr>
      <t>）</t>
    </r>
  </si>
  <si>
    <t>26.01.22</t>
  </si>
  <si>
    <r>
      <t>26.01.22</t>
    </r>
    <r>
      <rPr>
        <b/>
        <sz val="8"/>
        <color indexed="11"/>
        <rFont val="宋体"/>
        <charset val="134"/>
      </rPr>
      <t>盘点</t>
    </r>
  </si>
  <si>
    <t xml:space="preserve">B区 卡板 1 </t>
  </si>
  <si>
    <t>26.06.12</t>
  </si>
  <si>
    <r>
      <t>26.06.12</t>
    </r>
    <r>
      <rPr>
        <b/>
        <sz val="8"/>
        <color indexed="11"/>
        <rFont val="宋体"/>
        <charset val="134"/>
      </rPr>
      <t>盘点</t>
    </r>
  </si>
  <si>
    <r>
      <t>0</t>
    </r>
    <r>
      <rPr>
        <sz val="12"/>
        <rFont val="宋体"/>
        <charset val="134"/>
      </rPr>
      <t>.25中砂PC-安迪PC35(</t>
    </r>
    <r>
      <rPr>
        <sz val="12"/>
        <color indexed="10"/>
        <rFont val="宋体"/>
        <charset val="134"/>
      </rPr>
      <t>暂放鑫信泰</t>
    </r>
    <r>
      <rPr>
        <sz val="12"/>
        <rFont val="宋体"/>
        <charset val="134"/>
      </rPr>
      <t>)金玛莱</t>
    </r>
  </si>
  <si>
    <r>
      <t>0.25中砂面-835 (</t>
    </r>
    <r>
      <rPr>
        <sz val="12"/>
        <color indexed="10"/>
        <rFont val="宋体"/>
        <charset val="134"/>
      </rPr>
      <t>联金</t>
    </r>
    <r>
      <rPr>
        <sz val="12"/>
        <rFont val="宋体"/>
        <charset val="134"/>
      </rPr>
      <t>）</t>
    </r>
  </si>
  <si>
    <t>24.08.21盘点</t>
  </si>
  <si>
    <t>0.25中砂面PC 1860 (尚昇）</t>
  </si>
  <si>
    <r>
      <t>3</t>
    </r>
    <r>
      <rPr>
        <sz val="12"/>
        <rFont val="宋体"/>
        <charset val="134"/>
      </rPr>
      <t>30*200</t>
    </r>
  </si>
  <si>
    <t>26.06.10</t>
  </si>
  <si>
    <r>
      <t>26.06.10</t>
    </r>
    <r>
      <rPr>
        <b/>
        <sz val="8"/>
        <color indexed="11"/>
        <rFont val="宋体"/>
        <charset val="134"/>
      </rPr>
      <t>盘点</t>
    </r>
  </si>
  <si>
    <r>
      <t>0.375mm细砂PC(PC32V) （</t>
    </r>
    <r>
      <rPr>
        <b/>
        <sz val="12"/>
        <color indexed="12"/>
        <rFont val="微软雅黑"/>
        <family val="2"/>
        <charset val="134"/>
      </rPr>
      <t>尚昇</t>
    </r>
    <r>
      <rPr>
        <b/>
        <sz val="12"/>
        <rFont val="微软雅黑"/>
        <family val="2"/>
        <charset val="134"/>
      </rPr>
      <t>）</t>
    </r>
  </si>
  <si>
    <t>25.08.16</t>
  </si>
  <si>
    <r>
      <t>25.08.16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</si>
  <si>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JX-157/158</t>
    </r>
  </si>
  <si>
    <t>放仓库LED灯   柜子后面</t>
  </si>
  <si>
    <r>
      <t>0.38mm 中砂PC（</t>
    </r>
    <r>
      <rPr>
        <sz val="12"/>
        <color indexed="12"/>
        <rFont val="宋体"/>
        <charset val="134"/>
      </rPr>
      <t>尚昇</t>
    </r>
    <r>
      <rPr>
        <sz val="12"/>
        <rFont val="宋体"/>
        <charset val="134"/>
      </rPr>
      <t>）</t>
    </r>
  </si>
  <si>
    <r>
      <t>0.375中砂面PC-DB6842 (</t>
    </r>
    <r>
      <rPr>
        <b/>
        <sz val="12"/>
        <color indexed="12"/>
        <rFont val="宋体"/>
        <charset val="134"/>
      </rPr>
      <t>地博</t>
    </r>
    <r>
      <rPr>
        <b/>
        <sz val="12"/>
        <rFont val="宋体"/>
        <charset val="134"/>
      </rPr>
      <t>）</t>
    </r>
  </si>
  <si>
    <r>
      <t>5</t>
    </r>
    <r>
      <rPr>
        <sz val="12"/>
        <rFont val="宋体"/>
        <charset val="134"/>
      </rPr>
      <t>35*465</t>
    </r>
  </si>
  <si>
    <t>25.03.26</t>
  </si>
  <si>
    <r>
      <t>25.03.26</t>
    </r>
    <r>
      <rPr>
        <b/>
        <sz val="8"/>
        <color indexed="11"/>
        <rFont val="宋体"/>
        <charset val="134"/>
      </rPr>
      <t>盘点</t>
    </r>
  </si>
  <si>
    <r>
      <t>Y</t>
    </r>
    <r>
      <rPr>
        <sz val="12"/>
        <rFont val="宋体"/>
        <charset val="134"/>
      </rPr>
      <t>L-947,25.03.26</t>
    </r>
  </si>
  <si>
    <r>
      <t>0.38中砂面PC-835(</t>
    </r>
    <r>
      <rPr>
        <sz val="12"/>
        <color indexed="12"/>
        <rFont val="宋体"/>
        <charset val="134"/>
      </rPr>
      <t>天博</t>
    </r>
    <r>
      <rPr>
        <sz val="12"/>
        <rFont val="宋体"/>
        <charset val="134"/>
      </rPr>
      <t>）</t>
    </r>
  </si>
  <si>
    <t>26.03.23</t>
  </si>
  <si>
    <r>
      <t>26.03.23</t>
    </r>
    <r>
      <rPr>
        <b/>
        <sz val="8"/>
        <color indexed="11"/>
        <rFont val="宋体"/>
        <charset val="134"/>
      </rPr>
      <t>盘点</t>
    </r>
  </si>
  <si>
    <t>此材料是，天博材料</t>
  </si>
  <si>
    <r>
      <t>0.5mm中砂8B35 PC(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</si>
  <si>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r>
      <t>0.5中砂面</t>
    </r>
    <r>
      <rPr>
        <sz val="12"/>
        <rFont val="宋体"/>
        <charset val="134"/>
      </rPr>
      <t>PC-DB6842 (</t>
    </r>
    <r>
      <rPr>
        <sz val="12"/>
        <color indexed="12"/>
        <rFont val="宋体"/>
        <charset val="134"/>
      </rPr>
      <t>地博</t>
    </r>
    <r>
      <rPr>
        <sz val="12"/>
        <rFont val="宋体"/>
        <charset val="134"/>
      </rPr>
      <t>）</t>
    </r>
  </si>
  <si>
    <t>26.03.05</t>
  </si>
  <si>
    <r>
      <t>26.03.05</t>
    </r>
    <r>
      <rPr>
        <b/>
        <sz val="8"/>
        <color indexed="11"/>
        <rFont val="宋体"/>
        <charset val="134"/>
      </rPr>
      <t>盘点</t>
    </r>
  </si>
  <si>
    <r>
      <t>3</t>
    </r>
    <r>
      <rPr>
        <sz val="12"/>
        <rFont val="宋体"/>
        <charset val="134"/>
      </rPr>
      <t>90*150</t>
    </r>
  </si>
  <si>
    <t>26.02.05</t>
  </si>
  <si>
    <r>
      <t>26.03.03</t>
    </r>
    <r>
      <rPr>
        <b/>
        <sz val="8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</si>
  <si>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6.03.07</t>
    </r>
  </si>
  <si>
    <r>
      <t>2</t>
    </r>
    <r>
      <rPr>
        <sz val="12"/>
        <rFont val="宋体"/>
        <charset val="134"/>
      </rPr>
      <t>25*261</t>
    </r>
  </si>
  <si>
    <t>26.07.02</t>
  </si>
  <si>
    <r>
      <t>26.07.02</t>
    </r>
    <r>
      <rPr>
        <b/>
        <sz val="8"/>
        <color indexed="11"/>
        <rFont val="宋体"/>
        <charset val="134"/>
      </rPr>
      <t>盘点</t>
    </r>
  </si>
  <si>
    <t>0.5 砂面PC（XBQ)客供</t>
  </si>
  <si>
    <t>下面是：透明PC 材料</t>
  </si>
  <si>
    <r>
      <t>0.125透明PC（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</si>
  <si>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r>
      <t>4</t>
    </r>
    <r>
      <rPr>
        <sz val="12"/>
        <rFont val="宋体"/>
        <charset val="134"/>
      </rPr>
      <t>60*180</t>
    </r>
  </si>
  <si>
    <t>26.06.01</t>
  </si>
  <si>
    <r>
      <t>26.06.01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</si>
  <si>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ST-916,规格使用</t>
    </r>
  </si>
  <si>
    <t xml:space="preserve">C区 卡板 4 </t>
  </si>
  <si>
    <t>26.01.31</t>
  </si>
  <si>
    <r>
      <t>26.01.31</t>
    </r>
    <r>
      <rPr>
        <b/>
        <sz val="8"/>
        <color indexed="11"/>
        <rFont val="宋体"/>
        <charset val="134"/>
      </rPr>
      <t>盘点</t>
    </r>
  </si>
  <si>
    <r>
      <t>F</t>
    </r>
    <r>
      <rPr>
        <sz val="12"/>
        <rFont val="宋体"/>
        <charset val="134"/>
      </rPr>
      <t>LD-084</t>
    </r>
  </si>
  <si>
    <r>
      <t>0.175PC透明PC-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>(地博)</t>
    </r>
  </si>
  <si>
    <t>25.12.09</t>
  </si>
  <si>
    <r>
      <t>25.12.09</t>
    </r>
    <r>
      <rPr>
        <b/>
        <sz val="8"/>
        <color indexed="11"/>
        <rFont val="宋体"/>
        <charset val="134"/>
      </rPr>
      <t>盘点</t>
    </r>
  </si>
  <si>
    <t>外观，异常，沟通合格，</t>
  </si>
  <si>
    <t>26.06.13</t>
  </si>
  <si>
    <r>
      <t>26.06.13</t>
    </r>
    <r>
      <rPr>
        <b/>
        <sz val="8"/>
        <color indexed="11"/>
        <rFont val="宋体"/>
        <charset val="134"/>
      </rPr>
      <t>盘点</t>
    </r>
  </si>
  <si>
    <t>材料检查 防油墨，抗焼合格批次</t>
  </si>
  <si>
    <t>26.07.09</t>
  </si>
  <si>
    <r>
      <t>26.07.09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</si>
  <si>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TT-213/260</t>
    </r>
  </si>
  <si>
    <t>25.01.14</t>
  </si>
  <si>
    <r>
      <t>0.175PC透明PC-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>(尚昇)</t>
    </r>
  </si>
  <si>
    <r>
      <t>3</t>
    </r>
    <r>
      <rPr>
        <sz val="12"/>
        <rFont val="宋体"/>
        <charset val="134"/>
      </rPr>
      <t>80*235</t>
    </r>
  </si>
  <si>
    <t>26.06.22</t>
  </si>
  <si>
    <r>
      <t>26.06.22</t>
    </r>
    <r>
      <rPr>
        <b/>
        <sz val="8"/>
        <color indexed="11"/>
        <rFont val="宋体"/>
        <charset val="134"/>
      </rPr>
      <t>盘点</t>
    </r>
  </si>
  <si>
    <t>特别说明：26.06.月份</t>
  </si>
  <si>
    <r>
      <t>4</t>
    </r>
    <r>
      <rPr>
        <sz val="12"/>
        <rFont val="宋体"/>
        <charset val="134"/>
      </rPr>
      <t>65*250</t>
    </r>
  </si>
  <si>
    <t>26.05.16</t>
  </si>
  <si>
    <r>
      <t>26.05.16</t>
    </r>
    <r>
      <rPr>
        <b/>
        <sz val="8"/>
        <color indexed="11"/>
        <rFont val="宋体"/>
        <charset val="134"/>
      </rPr>
      <t>盘点</t>
    </r>
  </si>
  <si>
    <t>26.07.10</t>
  </si>
  <si>
    <r>
      <t>26.07.10</t>
    </r>
    <r>
      <rPr>
        <b/>
        <sz val="8"/>
        <color indexed="11"/>
        <rFont val="宋体"/>
        <charset val="134"/>
      </rPr>
      <t>盘点</t>
    </r>
  </si>
  <si>
    <t>开头几米有胶带拉纹，用时拉出看一下、</t>
  </si>
  <si>
    <t>注意</t>
  </si>
  <si>
    <t>26.03.21</t>
  </si>
  <si>
    <r>
      <t>26.03.21</t>
    </r>
    <r>
      <rPr>
        <b/>
        <sz val="8"/>
        <color indexed="11"/>
        <rFont val="宋体"/>
        <charset val="134"/>
      </rPr>
      <t>盘点</t>
    </r>
  </si>
  <si>
    <r>
      <t>0.25PC透明PC-印刷级（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</si>
  <si>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t>25.10.17</t>
  </si>
  <si>
    <r>
      <t>25.10.17</t>
    </r>
    <r>
      <rPr>
        <b/>
        <sz val="8"/>
        <color indexed="11"/>
        <rFont val="宋体"/>
        <charset val="134"/>
      </rPr>
      <t>盘点</t>
    </r>
  </si>
  <si>
    <r>
      <t>0.25PC透明PC-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>(地博)</t>
    </r>
  </si>
  <si>
    <r>
      <t>4</t>
    </r>
    <r>
      <rPr>
        <sz val="12"/>
        <rFont val="宋体"/>
        <charset val="134"/>
      </rPr>
      <t>40*220</t>
    </r>
  </si>
  <si>
    <t>25.08.22</t>
  </si>
  <si>
    <r>
      <t>25.08.22</t>
    </r>
    <r>
      <rPr>
        <b/>
        <sz val="8"/>
        <color indexed="11"/>
        <rFont val="宋体"/>
        <charset val="134"/>
      </rPr>
      <t>盘点</t>
    </r>
  </si>
  <si>
    <t>XYX</t>
  </si>
  <si>
    <t>26.06.29</t>
  </si>
  <si>
    <r>
      <t>26.06.29</t>
    </r>
    <r>
      <rPr>
        <b/>
        <sz val="8"/>
        <color indexed="11"/>
        <rFont val="宋体"/>
        <charset val="134"/>
      </rPr>
      <t>盘点</t>
    </r>
  </si>
  <si>
    <t>检验合格，26.07.02</t>
  </si>
  <si>
    <r>
      <t>0.25PC透明PC-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>(尚昇)</t>
    </r>
  </si>
  <si>
    <t>26.05.08</t>
  </si>
  <si>
    <r>
      <t>26.05.08</t>
    </r>
    <r>
      <rPr>
        <b/>
        <sz val="8"/>
        <color indexed="11"/>
        <rFont val="宋体"/>
        <charset val="134"/>
      </rPr>
      <t>盘点</t>
    </r>
  </si>
  <si>
    <t>? 多少米26.05.08</t>
  </si>
  <si>
    <r>
      <t>3</t>
    </r>
    <r>
      <rPr>
        <sz val="12"/>
        <rFont val="宋体"/>
        <charset val="134"/>
      </rPr>
      <t>10*435</t>
    </r>
  </si>
  <si>
    <t>26.04.02</t>
  </si>
  <si>
    <r>
      <t>26.04.02</t>
    </r>
    <r>
      <rPr>
        <b/>
        <sz val="8"/>
        <color indexed="11"/>
        <rFont val="宋体"/>
        <charset val="134"/>
      </rPr>
      <t>盘点</t>
    </r>
  </si>
  <si>
    <r>
      <t>0.3</t>
    </r>
    <r>
      <rPr>
        <sz val="12"/>
        <rFont val="宋体"/>
        <charset val="134"/>
      </rPr>
      <t>75</t>
    </r>
    <r>
      <rPr>
        <sz val="12"/>
        <rFont val="宋体"/>
        <charset val="134"/>
      </rPr>
      <t>PC透明PC-印刷级</t>
    </r>
    <r>
      <rPr>
        <sz val="12"/>
        <color indexed="12"/>
        <rFont val="宋体"/>
        <charset val="134"/>
      </rPr>
      <t>(地博)</t>
    </r>
  </si>
  <si>
    <r>
      <t>4</t>
    </r>
    <r>
      <rPr>
        <sz val="12"/>
        <rFont val="宋体"/>
        <charset val="134"/>
      </rPr>
      <t>15*245</t>
    </r>
  </si>
  <si>
    <t>26.07.22</t>
  </si>
  <si>
    <r>
      <t>26.07.22</t>
    </r>
    <r>
      <rPr>
        <b/>
        <sz val="8"/>
        <color indexed="11"/>
        <rFont val="宋体"/>
        <charset val="134"/>
      </rPr>
      <t>盘点</t>
    </r>
  </si>
  <si>
    <t xml:space="preserve">B区 卡板 3 </t>
  </si>
  <si>
    <t>25.12.22</t>
  </si>
  <si>
    <r>
      <t>26.05.26</t>
    </r>
    <r>
      <rPr>
        <b/>
        <sz val="8"/>
        <color indexed="11"/>
        <rFont val="宋体"/>
        <charset val="134"/>
      </rPr>
      <t>盘点</t>
    </r>
  </si>
  <si>
    <t>26.05.26</t>
  </si>
  <si>
    <r>
      <t>0.38PC透明PC-</t>
    </r>
    <r>
      <rPr>
        <sz val="12"/>
        <color indexed="10"/>
        <rFont val="宋体"/>
        <charset val="134"/>
      </rPr>
      <t>单面加硬</t>
    </r>
    <r>
      <rPr>
        <sz val="12"/>
        <color indexed="12"/>
        <rFont val="宋体"/>
        <charset val="134"/>
      </rPr>
      <t>(尚昇)</t>
    </r>
  </si>
  <si>
    <t>600*730</t>
  </si>
  <si>
    <t xml:space="preserve">HZLT-049,机种可用 </t>
  </si>
  <si>
    <t>H区架一，顶层-1</t>
  </si>
  <si>
    <r>
      <t>0.5PC透明-</t>
    </r>
    <r>
      <rPr>
        <b/>
        <sz val="12"/>
        <color indexed="10"/>
        <rFont val="宋体"/>
        <charset val="134"/>
      </rPr>
      <t>印刷级</t>
    </r>
    <r>
      <rPr>
        <b/>
        <sz val="12"/>
        <color indexed="12"/>
        <rFont val="宋体"/>
        <charset val="134"/>
      </rPr>
      <t>(地博)</t>
    </r>
  </si>
  <si>
    <r>
      <t>3</t>
    </r>
    <r>
      <rPr>
        <sz val="12"/>
        <rFont val="宋体"/>
        <charset val="134"/>
      </rPr>
      <t>90*165</t>
    </r>
  </si>
  <si>
    <t>26.05.20</t>
  </si>
  <si>
    <r>
      <t>26.05.20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</si>
  <si>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ST-709,/JST-1235,使用</t>
    </r>
  </si>
  <si>
    <t>F区架二，二层-2</t>
  </si>
  <si>
    <r>
      <t>2</t>
    </r>
    <r>
      <rPr>
        <sz val="12"/>
        <rFont val="宋体"/>
        <charset val="134"/>
      </rPr>
      <t>30*152</t>
    </r>
  </si>
  <si>
    <t>26.04.10</t>
  </si>
  <si>
    <r>
      <t>26.04.10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</si>
  <si>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TT-704,导光片0.5PC</t>
    </r>
  </si>
  <si>
    <r>
      <t>2</t>
    </r>
    <r>
      <rPr>
        <sz val="12"/>
        <rFont val="宋体"/>
        <charset val="134"/>
      </rPr>
      <t>35*152</t>
    </r>
  </si>
  <si>
    <r>
      <t>J</t>
    </r>
    <r>
      <rPr>
        <sz val="12"/>
        <rFont val="宋体"/>
        <charset val="134"/>
      </rPr>
      <t>TT-705,导光片0.5PC</t>
    </r>
  </si>
  <si>
    <r>
      <t>4</t>
    </r>
    <r>
      <rPr>
        <sz val="12"/>
        <rFont val="宋体"/>
        <charset val="134"/>
      </rPr>
      <t>65*366</t>
    </r>
  </si>
  <si>
    <t>26.03.12</t>
  </si>
  <si>
    <r>
      <t>26.03.12</t>
    </r>
    <r>
      <rPr>
        <b/>
        <sz val="8"/>
        <color indexed="11"/>
        <rFont val="宋体"/>
        <charset val="134"/>
      </rPr>
      <t>盘点</t>
    </r>
  </si>
  <si>
    <r>
      <t>Y</t>
    </r>
    <r>
      <rPr>
        <sz val="12"/>
        <rFont val="宋体"/>
        <charset val="134"/>
      </rPr>
      <t>L-1056/1057系列</t>
    </r>
  </si>
  <si>
    <t>0.5透明PC (凯利）</t>
  </si>
  <si>
    <r>
      <t>3</t>
    </r>
    <r>
      <rPr>
        <sz val="12"/>
        <rFont val="宋体"/>
        <charset val="134"/>
      </rPr>
      <t>66*310</t>
    </r>
  </si>
  <si>
    <t>特别说明：等待合适机种在使用</t>
  </si>
  <si>
    <r>
      <t xml:space="preserve"> 0.5mm透明-防火PC</t>
    </r>
    <r>
      <rPr>
        <sz val="12"/>
        <color indexed="12"/>
        <rFont val="宋体"/>
        <charset val="134"/>
      </rPr>
      <t xml:space="preserve">(尚昇) </t>
    </r>
  </si>
  <si>
    <r>
      <t>4</t>
    </r>
    <r>
      <rPr>
        <sz val="12"/>
        <rFont val="宋体"/>
        <charset val="134"/>
      </rPr>
      <t>05*310</t>
    </r>
  </si>
  <si>
    <t>26.03.28</t>
  </si>
  <si>
    <r>
      <t>26.04.15</t>
    </r>
    <r>
      <rPr>
        <b/>
        <sz val="8"/>
        <color indexed="11"/>
        <rFont val="宋体"/>
        <charset val="134"/>
      </rPr>
      <t>盘点</t>
    </r>
  </si>
  <si>
    <t>防火材料</t>
  </si>
  <si>
    <r>
      <t>3</t>
    </r>
    <r>
      <rPr>
        <sz val="12"/>
        <rFont val="宋体"/>
        <charset val="134"/>
      </rPr>
      <t>10*210</t>
    </r>
  </si>
  <si>
    <t>0.8透明PC</t>
  </si>
  <si>
    <r>
      <t xml:space="preserve"> 0.8mm透明PC</t>
    </r>
    <r>
      <rPr>
        <sz val="12"/>
        <color indexed="12"/>
        <rFont val="宋体"/>
        <charset val="134"/>
      </rPr>
      <t xml:space="preserve">(地博) </t>
    </r>
  </si>
  <si>
    <r>
      <t>2</t>
    </r>
    <r>
      <rPr>
        <sz val="12"/>
        <rFont val="宋体"/>
        <charset val="134"/>
      </rPr>
      <t>32*90</t>
    </r>
  </si>
  <si>
    <t>F区架一，三层-2格</t>
  </si>
  <si>
    <r>
      <t>2</t>
    </r>
    <r>
      <rPr>
        <sz val="12"/>
        <rFont val="宋体"/>
        <charset val="134"/>
      </rPr>
      <t>32*232</t>
    </r>
  </si>
  <si>
    <t>盘点入账26..05.26</t>
  </si>
  <si>
    <r>
      <t>3</t>
    </r>
    <r>
      <rPr>
        <sz val="12"/>
        <rFont val="宋体"/>
        <charset val="134"/>
      </rPr>
      <t>66*141</t>
    </r>
  </si>
  <si>
    <t>25.09.08</t>
  </si>
  <si>
    <r>
      <t>25.09.16</t>
    </r>
    <r>
      <rPr>
        <b/>
        <sz val="8"/>
        <color indexed="11"/>
        <rFont val="宋体"/>
        <charset val="134"/>
      </rPr>
      <t>盘点</t>
    </r>
  </si>
  <si>
    <t>25.11.03，入 批次</t>
  </si>
  <si>
    <r>
      <t>3</t>
    </r>
    <r>
      <rPr>
        <sz val="12"/>
        <rFont val="宋体"/>
        <charset val="134"/>
      </rPr>
      <t>30*185</t>
    </r>
  </si>
  <si>
    <t>25.10.25</t>
  </si>
  <si>
    <r>
      <t>3</t>
    </r>
    <r>
      <rPr>
        <sz val="12"/>
        <rFont val="宋体"/>
        <charset val="134"/>
      </rPr>
      <t>30*186</t>
    </r>
  </si>
  <si>
    <t>26.01.14</t>
  </si>
  <si>
    <r>
      <t>26.05.29</t>
    </r>
    <r>
      <rPr>
        <b/>
        <sz val="8"/>
        <color indexed="11"/>
        <rFont val="宋体"/>
        <charset val="134"/>
      </rPr>
      <t>盘点</t>
    </r>
  </si>
  <si>
    <r>
      <t>4</t>
    </r>
    <r>
      <rPr>
        <sz val="12"/>
        <rFont val="宋体"/>
        <charset val="134"/>
      </rPr>
      <t>65*457</t>
    </r>
  </si>
  <si>
    <t>26.07.11</t>
  </si>
  <si>
    <r>
      <t>26.07.11</t>
    </r>
    <r>
      <rPr>
        <b/>
        <sz val="8"/>
        <color indexed="11"/>
        <rFont val="宋体"/>
        <charset val="134"/>
      </rPr>
      <t>盘点</t>
    </r>
  </si>
  <si>
    <r>
      <t xml:space="preserve"> 0.8mm透明PC</t>
    </r>
    <r>
      <rPr>
        <sz val="12"/>
        <color indexed="12"/>
        <rFont val="宋体"/>
        <charset val="134"/>
      </rPr>
      <t xml:space="preserve">(尚昇) </t>
    </r>
  </si>
  <si>
    <t>185*310</t>
  </si>
  <si>
    <t>26.03.13</t>
  </si>
  <si>
    <r>
      <t>26.03.13</t>
    </r>
    <r>
      <rPr>
        <b/>
        <sz val="8"/>
        <color indexed="11"/>
        <rFont val="宋体"/>
        <charset val="134"/>
      </rPr>
      <t>盘点</t>
    </r>
  </si>
  <si>
    <t>不防火</t>
  </si>
  <si>
    <r>
      <t>2</t>
    </r>
    <r>
      <rPr>
        <sz val="12"/>
        <rFont val="宋体"/>
        <charset val="134"/>
      </rPr>
      <t>35*310</t>
    </r>
  </si>
  <si>
    <r>
      <t xml:space="preserve"> 0.8mm透明-防火PC</t>
    </r>
    <r>
      <rPr>
        <sz val="12"/>
        <color indexed="12"/>
        <rFont val="宋体"/>
        <charset val="134"/>
      </rPr>
      <t xml:space="preserve">(尚昇) </t>
    </r>
  </si>
  <si>
    <t>310*166</t>
  </si>
  <si>
    <t>26.0.721</t>
  </si>
  <si>
    <r>
      <t>26.07.21</t>
    </r>
    <r>
      <rPr>
        <b/>
        <sz val="8"/>
        <color indexed="11"/>
        <rFont val="宋体"/>
        <charset val="134"/>
      </rPr>
      <t>盘点</t>
    </r>
  </si>
  <si>
    <r>
      <t xml:space="preserve"> 0.8mm透明PC单面加硬</t>
    </r>
    <r>
      <rPr>
        <sz val="12"/>
        <color indexed="12"/>
        <rFont val="宋体"/>
        <charset val="134"/>
      </rPr>
      <t xml:space="preserve">(尚昇) </t>
    </r>
  </si>
  <si>
    <t>258*240</t>
  </si>
  <si>
    <t>26.04.07</t>
  </si>
  <si>
    <r>
      <t>26.04.07</t>
    </r>
    <r>
      <rPr>
        <b/>
        <sz val="8"/>
        <color indexed="11"/>
        <rFont val="宋体"/>
        <charset val="134"/>
      </rPr>
      <t>盘点</t>
    </r>
  </si>
  <si>
    <r>
      <t xml:space="preserve"> 0.8mm透明PC单面加硬化</t>
    </r>
    <r>
      <rPr>
        <sz val="12"/>
        <color indexed="12"/>
        <rFont val="宋体"/>
        <charset val="134"/>
      </rPr>
      <t xml:space="preserve">(贯昌) </t>
    </r>
  </si>
  <si>
    <r>
      <t>2</t>
    </r>
    <r>
      <rPr>
        <sz val="12"/>
        <rFont val="宋体"/>
        <charset val="134"/>
      </rPr>
      <t>28*203</t>
    </r>
  </si>
  <si>
    <t>25.11.08</t>
  </si>
  <si>
    <r>
      <t>26.03.26</t>
    </r>
    <r>
      <rPr>
        <b/>
        <sz val="8"/>
        <color indexed="11"/>
        <rFont val="宋体"/>
        <charset val="134"/>
      </rPr>
      <t>盘点</t>
    </r>
  </si>
  <si>
    <t>JST-1254</t>
  </si>
  <si>
    <r>
      <t xml:space="preserve"> 0.8mm</t>
    </r>
    <r>
      <rPr>
        <b/>
        <sz val="12"/>
        <color indexed="12"/>
        <rFont val="宋体"/>
        <charset val="134"/>
      </rPr>
      <t xml:space="preserve">AG9.6% </t>
    </r>
    <r>
      <rPr>
        <b/>
        <sz val="12"/>
        <rFont val="宋体"/>
        <charset val="134"/>
      </rPr>
      <t>PC</t>
    </r>
    <r>
      <rPr>
        <b/>
        <sz val="12"/>
        <color indexed="12"/>
        <rFont val="宋体"/>
        <charset val="134"/>
      </rPr>
      <t xml:space="preserve">(钜成隆) </t>
    </r>
  </si>
  <si>
    <t>315*250</t>
  </si>
  <si>
    <t>23.06.09</t>
  </si>
  <si>
    <r>
      <t>ITO膜-0.175</t>
    </r>
    <r>
      <rPr>
        <b/>
        <sz val="12"/>
        <color indexed="12"/>
        <rFont val="宋体"/>
        <charset val="134"/>
      </rPr>
      <t>（KB500NS3-175-UH/P）</t>
    </r>
  </si>
  <si>
    <t>2012.11.05</t>
  </si>
  <si>
    <t>F区架一，三层-1格</t>
  </si>
  <si>
    <r>
      <t>1.0PC透明-印刷级(</t>
    </r>
    <r>
      <rPr>
        <sz val="12"/>
        <color indexed="12"/>
        <rFont val="宋体"/>
        <charset val="134"/>
      </rPr>
      <t>尚昇)</t>
    </r>
  </si>
  <si>
    <r>
      <t>4</t>
    </r>
    <r>
      <rPr>
        <sz val="12"/>
        <rFont val="宋体"/>
        <charset val="134"/>
      </rPr>
      <t>8*354</t>
    </r>
  </si>
  <si>
    <t>切出来的余料，</t>
  </si>
  <si>
    <r>
      <t>1.0PC透明-印刷级</t>
    </r>
    <r>
      <rPr>
        <sz val="12"/>
        <color indexed="12"/>
        <rFont val="宋体"/>
        <charset val="134"/>
      </rPr>
      <t>(尚昇)</t>
    </r>
  </si>
  <si>
    <r>
      <t>4</t>
    </r>
    <r>
      <rPr>
        <sz val="12"/>
        <rFont val="宋体"/>
        <charset val="134"/>
      </rPr>
      <t>7*366</t>
    </r>
  </si>
  <si>
    <r>
      <t>2</t>
    </r>
    <r>
      <rPr>
        <sz val="12"/>
        <rFont val="宋体"/>
        <charset val="134"/>
      </rPr>
      <t>70*140</t>
    </r>
  </si>
  <si>
    <t>26.04.16</t>
  </si>
  <si>
    <r>
      <t>26.04.16</t>
    </r>
    <r>
      <rPr>
        <b/>
        <sz val="8"/>
        <color indexed="11"/>
        <rFont val="宋体"/>
        <charset val="134"/>
      </rPr>
      <t>盘点</t>
    </r>
  </si>
  <si>
    <r>
      <t>3</t>
    </r>
    <r>
      <rPr>
        <sz val="12"/>
        <rFont val="宋体"/>
        <charset val="134"/>
      </rPr>
      <t>65*210</t>
    </r>
  </si>
  <si>
    <r>
      <t>3</t>
    </r>
    <r>
      <rPr>
        <sz val="12"/>
        <rFont val="宋体"/>
        <charset val="134"/>
      </rPr>
      <t>00*200</t>
    </r>
  </si>
  <si>
    <t>ZQ-147</t>
  </si>
  <si>
    <r>
      <t>2</t>
    </r>
    <r>
      <rPr>
        <sz val="12"/>
        <rFont val="宋体"/>
        <charset val="134"/>
      </rPr>
      <t>70*366</t>
    </r>
  </si>
  <si>
    <t>ZQ.专用材料，/087/088</t>
  </si>
  <si>
    <t>261*105</t>
  </si>
  <si>
    <t>26.03.24</t>
  </si>
  <si>
    <r>
      <t>26.03.24</t>
    </r>
    <r>
      <rPr>
        <b/>
        <sz val="8"/>
        <color indexed="11"/>
        <rFont val="宋体"/>
        <charset val="134"/>
      </rPr>
      <t>盘点</t>
    </r>
  </si>
  <si>
    <t>特别说明：不可以做窗口</t>
  </si>
  <si>
    <t>310*261</t>
  </si>
  <si>
    <t>120*366</t>
  </si>
  <si>
    <r>
      <t>1.0PC透明-印刷级</t>
    </r>
    <r>
      <rPr>
        <sz val="12"/>
        <color indexed="12"/>
        <rFont val="宋体"/>
        <charset val="134"/>
      </rPr>
      <t xml:space="preserve">(地博) </t>
    </r>
  </si>
  <si>
    <r>
      <t>1</t>
    </r>
    <r>
      <rPr>
        <sz val="12"/>
        <rFont val="宋体"/>
        <charset val="134"/>
      </rPr>
      <t>20*366</t>
    </r>
  </si>
  <si>
    <t>25.07.23</t>
  </si>
  <si>
    <r>
      <t>25.08.14</t>
    </r>
    <r>
      <rPr>
        <b/>
        <sz val="8"/>
        <color indexed="11"/>
        <rFont val="宋体"/>
        <charset val="134"/>
      </rPr>
      <t>盘点</t>
    </r>
  </si>
  <si>
    <t>232*180</t>
  </si>
  <si>
    <t>26.03.25</t>
  </si>
  <si>
    <r>
      <t>26.03.25</t>
    </r>
    <r>
      <rPr>
        <b/>
        <sz val="8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</si>
  <si>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61*232</t>
    </r>
  </si>
  <si>
    <t>310*457</t>
  </si>
  <si>
    <t>25.03.03</t>
  </si>
  <si>
    <r>
      <t>25.03.03</t>
    </r>
    <r>
      <rPr>
        <b/>
        <sz val="8"/>
        <color indexed="11"/>
        <rFont val="宋体"/>
        <charset val="134"/>
      </rPr>
      <t>盘点</t>
    </r>
  </si>
  <si>
    <r>
      <t>1.0生板PC透明-</t>
    </r>
    <r>
      <rPr>
        <b/>
        <sz val="12"/>
        <color indexed="12"/>
        <rFont val="微软雅黑"/>
        <family val="2"/>
        <charset val="134"/>
      </rPr>
      <t xml:space="preserve">(鑫信泰) </t>
    </r>
  </si>
  <si>
    <t>26.02..28</t>
  </si>
  <si>
    <r>
      <t>26.02.28</t>
    </r>
    <r>
      <rPr>
        <b/>
        <sz val="8"/>
        <color indexed="11"/>
        <rFont val="宋体"/>
        <charset val="134"/>
      </rPr>
      <t>盘点</t>
    </r>
  </si>
  <si>
    <t>余料,有颜色不一样</t>
  </si>
  <si>
    <r>
      <t>1</t>
    </r>
    <r>
      <rPr>
        <sz val="12"/>
        <rFont val="宋体"/>
        <charset val="134"/>
      </rPr>
      <t>55*600</t>
    </r>
  </si>
  <si>
    <t>25.10.14</t>
  </si>
  <si>
    <r>
      <t>25.10.14</t>
    </r>
    <r>
      <rPr>
        <b/>
        <sz val="8"/>
        <color indexed="11"/>
        <rFont val="宋体"/>
        <charset val="134"/>
      </rPr>
      <t>盘点</t>
    </r>
  </si>
  <si>
    <r>
      <t>1.0PC黑色-印刷级</t>
    </r>
    <r>
      <rPr>
        <b/>
        <sz val="12"/>
        <color indexed="12"/>
        <rFont val="宋体"/>
        <charset val="134"/>
      </rPr>
      <t xml:space="preserve">(贯昌) </t>
    </r>
  </si>
  <si>
    <t>25.05.24</t>
  </si>
  <si>
    <r>
      <t>25.04.19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</si>
  <si>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TT-813样品</t>
    </r>
  </si>
  <si>
    <r>
      <t>3</t>
    </r>
    <r>
      <rPr>
        <sz val="12"/>
        <rFont val="宋体"/>
        <charset val="134"/>
      </rPr>
      <t>03*230</t>
    </r>
  </si>
  <si>
    <t>25.07.14</t>
  </si>
  <si>
    <r>
      <t>25.07.14</t>
    </r>
    <r>
      <rPr>
        <b/>
        <sz val="8"/>
        <color indexed="11"/>
        <rFont val="宋体"/>
        <charset val="134"/>
      </rPr>
      <t>盘点</t>
    </r>
  </si>
  <si>
    <r>
      <t>1.5PC透明-</t>
    </r>
    <r>
      <rPr>
        <b/>
        <sz val="12"/>
        <color indexed="10"/>
        <rFont val="宋体"/>
        <charset val="134"/>
      </rPr>
      <t>隔片级</t>
    </r>
    <r>
      <rPr>
        <sz val="12"/>
        <color indexed="12"/>
        <rFont val="宋体"/>
        <charset val="134"/>
      </rPr>
      <t>(尚昇)</t>
    </r>
  </si>
  <si>
    <r>
      <t>4</t>
    </r>
    <r>
      <rPr>
        <sz val="12"/>
        <rFont val="宋体"/>
        <charset val="134"/>
      </rPr>
      <t>57*150</t>
    </r>
  </si>
  <si>
    <r>
      <t>26.03.28</t>
    </r>
    <r>
      <rPr>
        <b/>
        <sz val="8"/>
        <color indexed="11"/>
        <rFont val="宋体"/>
        <charset val="134"/>
      </rPr>
      <t>盘点</t>
    </r>
  </si>
  <si>
    <r>
      <t>3</t>
    </r>
    <r>
      <rPr>
        <sz val="12"/>
        <rFont val="宋体"/>
        <charset val="134"/>
      </rPr>
      <t>10*261</t>
    </r>
  </si>
  <si>
    <r>
      <t>1.5PC透明-印刷级</t>
    </r>
    <r>
      <rPr>
        <b/>
        <sz val="12"/>
        <color indexed="12"/>
        <rFont val="宋体"/>
        <charset val="134"/>
      </rPr>
      <t xml:space="preserve">(地博)DB6811 </t>
    </r>
  </si>
  <si>
    <r>
      <t>1</t>
    </r>
    <r>
      <rPr>
        <sz val="12"/>
        <rFont val="宋体"/>
        <charset val="134"/>
      </rPr>
      <t>92*457</t>
    </r>
  </si>
  <si>
    <t>24.05.14</t>
  </si>
  <si>
    <r>
      <t>25.05.14</t>
    </r>
    <r>
      <rPr>
        <b/>
        <sz val="8"/>
        <color indexed="11"/>
        <rFont val="宋体"/>
        <charset val="134"/>
      </rPr>
      <t>盘点</t>
    </r>
  </si>
  <si>
    <t>F区架二，三层-1格</t>
  </si>
  <si>
    <r>
      <t>1.5PC透明-印刷</t>
    </r>
    <r>
      <rPr>
        <b/>
        <sz val="12"/>
        <color indexed="10"/>
        <rFont val="宋体"/>
        <charset val="134"/>
      </rPr>
      <t>级</t>
    </r>
    <r>
      <rPr>
        <sz val="12"/>
        <color indexed="12"/>
        <rFont val="宋体"/>
        <charset val="134"/>
      </rPr>
      <t>(尚昇)</t>
    </r>
  </si>
  <si>
    <r>
      <t>232</t>
    </r>
    <r>
      <rPr>
        <sz val="12"/>
        <rFont val="宋体"/>
        <charset val="134"/>
      </rPr>
      <t>*228</t>
    </r>
  </si>
  <si>
    <r>
      <t>J</t>
    </r>
    <r>
      <rPr>
        <sz val="12"/>
        <rFont val="宋体"/>
        <charset val="134"/>
      </rPr>
      <t>ST-1027</t>
    </r>
  </si>
  <si>
    <r>
      <t>2.0</t>
    </r>
    <r>
      <rPr>
        <sz val="12"/>
        <rFont val="宋体"/>
        <charset val="134"/>
      </rPr>
      <t>mm</t>
    </r>
    <r>
      <rPr>
        <sz val="12"/>
        <rFont val="宋体"/>
        <charset val="134"/>
      </rPr>
      <t>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 xml:space="preserve">(贯昌) </t>
    </r>
  </si>
  <si>
    <r>
      <t>3</t>
    </r>
    <r>
      <rPr>
        <sz val="12"/>
        <rFont val="宋体"/>
        <charset val="134"/>
      </rPr>
      <t>64*308</t>
    </r>
  </si>
  <si>
    <t>26.07.31</t>
  </si>
  <si>
    <r>
      <t>26.07.31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</si>
  <si>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ST-803</t>
    </r>
  </si>
  <si>
    <r>
      <t>2.0</t>
    </r>
    <r>
      <rPr>
        <sz val="12"/>
        <rFont val="宋体"/>
        <charset val="134"/>
      </rPr>
      <t>mm单面加硬</t>
    </r>
    <r>
      <rPr>
        <sz val="12"/>
        <rFont val="宋体"/>
        <charset val="134"/>
      </rPr>
      <t>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 xml:space="preserve">(尚昇) </t>
    </r>
  </si>
  <si>
    <r>
      <t>C</t>
    </r>
    <r>
      <rPr>
        <sz val="12"/>
        <rFont val="宋体"/>
        <charset val="134"/>
      </rPr>
      <t>F-035/036</t>
    </r>
  </si>
  <si>
    <r>
      <t>2.5mm面</t>
    </r>
    <r>
      <rPr>
        <sz val="12"/>
        <color indexed="10"/>
        <rFont val="宋体"/>
        <charset val="134"/>
      </rPr>
      <t>加硬</t>
    </r>
    <r>
      <rPr>
        <sz val="12"/>
        <rFont val="宋体"/>
        <charset val="134"/>
      </rPr>
      <t>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 xml:space="preserve">(贯昌) </t>
    </r>
  </si>
  <si>
    <r>
      <t>3</t>
    </r>
    <r>
      <rPr>
        <sz val="12"/>
        <rFont val="宋体"/>
        <charset val="134"/>
      </rPr>
      <t>25*225</t>
    </r>
  </si>
  <si>
    <t>25.05.26</t>
  </si>
  <si>
    <r>
      <t>25.05.26</t>
    </r>
    <r>
      <rPr>
        <b/>
        <sz val="8"/>
        <color indexed="11"/>
        <rFont val="宋体"/>
        <charset val="134"/>
      </rPr>
      <t>盘点</t>
    </r>
  </si>
  <si>
    <r>
      <t>C</t>
    </r>
    <r>
      <rPr>
        <sz val="12"/>
        <rFont val="宋体"/>
        <charset val="134"/>
      </rPr>
      <t>F-019/020</t>
    </r>
  </si>
  <si>
    <t>F区架二，一层-1格</t>
  </si>
  <si>
    <r>
      <t>2.5mm透明PC-</t>
    </r>
    <r>
      <rPr>
        <sz val="12"/>
        <color indexed="10"/>
        <rFont val="宋体"/>
        <charset val="134"/>
      </rPr>
      <t>印刷级</t>
    </r>
    <r>
      <rPr>
        <sz val="12"/>
        <color indexed="12"/>
        <rFont val="宋体"/>
        <charset val="134"/>
      </rPr>
      <t xml:space="preserve">(尚昇) </t>
    </r>
  </si>
  <si>
    <t>248*366</t>
  </si>
  <si>
    <t>23.09.04</t>
  </si>
  <si>
    <r>
      <t>3.0mm透明PC(</t>
    </r>
    <r>
      <rPr>
        <sz val="12"/>
        <rFont val="宋体"/>
        <charset val="134"/>
      </rPr>
      <t>贯昌</t>
    </r>
    <r>
      <rPr>
        <sz val="12"/>
        <color indexed="12"/>
        <rFont val="宋体"/>
        <charset val="134"/>
      </rPr>
      <t>）</t>
    </r>
  </si>
  <si>
    <r>
      <t>3</t>
    </r>
    <r>
      <rPr>
        <sz val="12"/>
        <rFont val="宋体"/>
        <charset val="134"/>
      </rPr>
      <t>05*280</t>
    </r>
  </si>
  <si>
    <t>26.05.30</t>
  </si>
  <si>
    <r>
      <t>26.05.30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</si>
  <si>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TT-986.</t>
    </r>
  </si>
  <si>
    <r>
      <t>3</t>
    </r>
    <r>
      <rPr>
        <sz val="12"/>
        <rFont val="宋体"/>
        <charset val="134"/>
      </rPr>
      <t>65*270</t>
    </r>
  </si>
  <si>
    <t>26.01.07</t>
  </si>
  <si>
    <r>
      <t>26.01.07</t>
    </r>
    <r>
      <rPr>
        <b/>
        <sz val="8"/>
        <color indexed="11"/>
        <rFont val="宋体"/>
        <charset val="134"/>
      </rPr>
      <t>盘点</t>
    </r>
  </si>
  <si>
    <r>
      <t>4</t>
    </r>
    <r>
      <rPr>
        <sz val="12"/>
        <rFont val="宋体"/>
        <charset val="134"/>
      </rPr>
      <t>10*236</t>
    </r>
  </si>
  <si>
    <t>25.07.18</t>
  </si>
  <si>
    <r>
      <t>25.07.18</t>
    </r>
    <r>
      <rPr>
        <b/>
        <sz val="8"/>
        <color indexed="11"/>
        <rFont val="宋体"/>
        <charset val="134"/>
      </rPr>
      <t>盘点</t>
    </r>
  </si>
  <si>
    <r>
      <t>4</t>
    </r>
    <r>
      <rPr>
        <sz val="12"/>
        <rFont val="宋体"/>
        <charset val="134"/>
      </rPr>
      <t>10*335</t>
    </r>
  </si>
  <si>
    <r>
      <t>AG2%-3.0mmPC透明PC(钜成隆</t>
    </r>
    <r>
      <rPr>
        <sz val="12"/>
        <color indexed="12"/>
        <rFont val="宋体"/>
        <charset val="134"/>
      </rPr>
      <t>）</t>
    </r>
  </si>
  <si>
    <t>250*260</t>
  </si>
  <si>
    <t>24.11.29</t>
  </si>
  <si>
    <r>
      <t>4</t>
    </r>
    <r>
      <rPr>
        <sz val="12"/>
        <rFont val="宋体"/>
        <charset val="134"/>
      </rPr>
      <t xml:space="preserve">.0mm透明PC </t>
    </r>
    <r>
      <rPr>
        <sz val="12"/>
        <color indexed="12"/>
        <rFont val="宋体"/>
        <charset val="134"/>
      </rPr>
      <t>(共耘)</t>
    </r>
  </si>
  <si>
    <t>240*380</t>
  </si>
  <si>
    <t>F区架二，三层-2格</t>
  </si>
  <si>
    <r>
      <t xml:space="preserve">5.0mm透明PC </t>
    </r>
    <r>
      <rPr>
        <sz val="12"/>
        <color indexed="12"/>
        <rFont val="宋体"/>
        <charset val="134"/>
      </rPr>
      <t>(共耘)</t>
    </r>
  </si>
  <si>
    <t>120*410</t>
  </si>
  <si>
    <r>
      <t xml:space="preserve">5.0mm透明PC </t>
    </r>
    <r>
      <rPr>
        <sz val="12"/>
        <color indexed="12"/>
        <rFont val="宋体"/>
        <charset val="134"/>
      </rPr>
      <t>(鑫旗舰)</t>
    </r>
  </si>
  <si>
    <t>200*240</t>
  </si>
  <si>
    <t>下面是; 压克力 材料</t>
  </si>
  <si>
    <r>
      <t>0.5</t>
    </r>
    <r>
      <rPr>
        <sz val="12"/>
        <rFont val="宋体"/>
        <charset val="134"/>
      </rPr>
      <t>mm</t>
    </r>
    <r>
      <rPr>
        <sz val="12"/>
        <rFont val="宋体"/>
        <charset val="134"/>
      </rPr>
      <t>YG</t>
    </r>
    <r>
      <rPr>
        <sz val="12"/>
        <rFont val="宋体"/>
        <charset val="134"/>
      </rPr>
      <t>透明双面压克力板</t>
    </r>
  </si>
  <si>
    <r>
      <t>2</t>
    </r>
    <r>
      <rPr>
        <sz val="12"/>
        <rFont val="宋体"/>
        <charset val="134"/>
      </rPr>
      <t>80*210</t>
    </r>
  </si>
  <si>
    <r>
      <t>J</t>
    </r>
    <r>
      <rPr>
        <sz val="12"/>
        <rFont val="宋体"/>
        <charset val="134"/>
      </rPr>
      <t>JX-174</t>
    </r>
  </si>
  <si>
    <t>F区架一，一层-2格</t>
  </si>
  <si>
    <t>0.8mm透明双面加硬压克力板（贯昌）</t>
  </si>
  <si>
    <t>298*188</t>
  </si>
  <si>
    <t>23.08.23</t>
  </si>
  <si>
    <r>
      <t>24.12.31</t>
    </r>
    <r>
      <rPr>
        <b/>
        <sz val="8"/>
        <color indexed="11"/>
        <rFont val="宋体"/>
        <charset val="134"/>
      </rPr>
      <t>盘点</t>
    </r>
  </si>
  <si>
    <t>0.8mm透明双面加硬压克力板</t>
  </si>
  <si>
    <t>298*364</t>
  </si>
  <si>
    <r>
      <t>1.0mm透明压克力板（</t>
    </r>
    <r>
      <rPr>
        <sz val="12"/>
        <color indexed="12"/>
        <rFont val="宋体"/>
        <charset val="134"/>
      </rPr>
      <t>贯昌</t>
    </r>
    <r>
      <rPr>
        <sz val="12"/>
        <rFont val="宋体"/>
        <charset val="134"/>
      </rPr>
      <t>）</t>
    </r>
  </si>
  <si>
    <t>240*238</t>
  </si>
  <si>
    <t>24.01.17</t>
  </si>
  <si>
    <r>
      <t>1.0mm</t>
    </r>
    <r>
      <rPr>
        <b/>
        <sz val="12"/>
        <rFont val="微软雅黑"/>
        <family val="2"/>
        <charset val="134"/>
      </rPr>
      <t>OYG</t>
    </r>
    <r>
      <rPr>
        <sz val="12"/>
        <rFont val="宋体"/>
        <charset val="134"/>
      </rPr>
      <t>透明压克力板（</t>
    </r>
    <r>
      <rPr>
        <sz val="12"/>
        <color indexed="12"/>
        <rFont val="宋体"/>
        <charset val="134"/>
      </rPr>
      <t>贯昌</t>
    </r>
    <r>
      <rPr>
        <sz val="12"/>
        <rFont val="宋体"/>
        <charset val="134"/>
      </rPr>
      <t>）</t>
    </r>
  </si>
  <si>
    <r>
      <t>2</t>
    </r>
    <r>
      <rPr>
        <sz val="12"/>
        <rFont val="宋体"/>
        <charset val="134"/>
      </rPr>
      <t>78*154</t>
    </r>
  </si>
  <si>
    <t>26.08.04</t>
  </si>
  <si>
    <r>
      <t>26.08.04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</si>
  <si>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TT-968,隔片</t>
    </r>
  </si>
  <si>
    <r>
      <t>3</t>
    </r>
    <r>
      <rPr>
        <sz val="12"/>
        <rFont val="宋体"/>
        <charset val="134"/>
      </rPr>
      <t>10*278</t>
    </r>
  </si>
  <si>
    <r>
      <t>1.5mm透明双面</t>
    </r>
    <r>
      <rPr>
        <b/>
        <sz val="12"/>
        <color indexed="10"/>
        <rFont val="宋体"/>
        <charset val="134"/>
      </rPr>
      <t>加硬</t>
    </r>
    <r>
      <rPr>
        <sz val="12"/>
        <rFont val="宋体"/>
        <charset val="134"/>
      </rPr>
      <t>压克力板</t>
    </r>
  </si>
  <si>
    <t>273*195</t>
  </si>
  <si>
    <t>24.12.11</t>
  </si>
  <si>
    <t>JST-1014</t>
  </si>
  <si>
    <r>
      <t>1.5mm</t>
    </r>
    <r>
      <rPr>
        <sz val="12"/>
        <rFont val="宋体"/>
        <charset val="134"/>
      </rPr>
      <t>YSB</t>
    </r>
    <r>
      <rPr>
        <sz val="12"/>
        <rFont val="宋体"/>
        <charset val="134"/>
      </rPr>
      <t>透明双面压克力板</t>
    </r>
  </si>
  <si>
    <r>
      <t>2</t>
    </r>
    <r>
      <rPr>
        <sz val="12"/>
        <rFont val="宋体"/>
        <charset val="134"/>
      </rPr>
      <t>95*278</t>
    </r>
  </si>
  <si>
    <t>26.06.26</t>
  </si>
  <si>
    <r>
      <t>26.06.26</t>
    </r>
    <r>
      <rPr>
        <b/>
        <sz val="8"/>
        <color indexed="11"/>
        <rFont val="宋体"/>
        <charset val="134"/>
      </rPr>
      <t>盘点</t>
    </r>
  </si>
  <si>
    <r>
      <t>1.5mm</t>
    </r>
    <r>
      <rPr>
        <sz val="12"/>
        <rFont val="宋体"/>
        <charset val="134"/>
      </rPr>
      <t>HSY透明双面压克力板</t>
    </r>
  </si>
  <si>
    <r>
      <t>3</t>
    </r>
    <r>
      <rPr>
        <sz val="12"/>
        <rFont val="宋体"/>
        <charset val="134"/>
      </rPr>
      <t>00*260</t>
    </r>
  </si>
  <si>
    <t>26.05.19</t>
  </si>
  <si>
    <r>
      <t>26.05.19</t>
    </r>
    <r>
      <rPr>
        <b/>
        <sz val="8"/>
        <color indexed="11"/>
        <rFont val="宋体"/>
        <charset val="134"/>
      </rPr>
      <t>盘点</t>
    </r>
  </si>
  <si>
    <r>
      <t>2.0</t>
    </r>
    <r>
      <rPr>
        <sz val="12"/>
        <rFont val="宋体"/>
        <charset val="134"/>
      </rPr>
      <t>mm</t>
    </r>
    <r>
      <rPr>
        <sz val="12"/>
        <rFont val="宋体"/>
        <charset val="134"/>
      </rPr>
      <t>OF</t>
    </r>
    <r>
      <rPr>
        <sz val="12"/>
        <rFont val="宋体"/>
        <charset val="134"/>
      </rPr>
      <t>HSY透明双面压克力板</t>
    </r>
  </si>
  <si>
    <r>
      <t>3</t>
    </r>
    <r>
      <rPr>
        <sz val="12"/>
        <rFont val="宋体"/>
        <charset val="134"/>
      </rPr>
      <t>02*195</t>
    </r>
  </si>
  <si>
    <t>JST-1363</t>
  </si>
  <si>
    <r>
      <t>2</t>
    </r>
    <r>
      <rPr>
        <sz val="12"/>
        <rFont val="宋体"/>
        <charset val="134"/>
      </rPr>
      <t>80*240</t>
    </r>
  </si>
  <si>
    <t>26.07.21</t>
  </si>
  <si>
    <t>特别说明：表面不能印刷消光</t>
  </si>
  <si>
    <r>
      <t>2</t>
    </r>
    <r>
      <rPr>
        <sz val="12"/>
        <rFont val="宋体"/>
        <charset val="134"/>
      </rPr>
      <t>40*135</t>
    </r>
  </si>
  <si>
    <r>
      <t>2</t>
    </r>
    <r>
      <rPr>
        <sz val="12"/>
        <rFont val="宋体"/>
        <charset val="134"/>
      </rPr>
      <t>.0mm透明压克力</t>
    </r>
    <r>
      <rPr>
        <sz val="12"/>
        <rFont val="宋体"/>
        <charset val="134"/>
      </rPr>
      <t>(</t>
    </r>
    <r>
      <rPr>
        <sz val="12"/>
        <color indexed="12"/>
        <rFont val="宋体"/>
        <charset val="134"/>
      </rPr>
      <t>贯昌</t>
    </r>
    <r>
      <rPr>
        <sz val="12"/>
        <rFont val="宋体"/>
        <charset val="134"/>
      </rPr>
      <t>)</t>
    </r>
  </si>
  <si>
    <r>
      <t>2</t>
    </r>
    <r>
      <rPr>
        <sz val="12"/>
        <rFont val="宋体"/>
        <charset val="134"/>
      </rPr>
      <t>0</t>
    </r>
    <r>
      <rPr>
        <sz val="12"/>
        <rFont val="宋体"/>
        <charset val="134"/>
      </rPr>
      <t>0*226</t>
    </r>
  </si>
  <si>
    <t>24.09.28</t>
  </si>
  <si>
    <r>
      <t>3</t>
    </r>
    <r>
      <rPr>
        <sz val="12"/>
        <rFont val="宋体"/>
        <charset val="134"/>
      </rPr>
      <t>02*210</t>
    </r>
  </si>
  <si>
    <r>
      <t>2</t>
    </r>
    <r>
      <rPr>
        <sz val="12"/>
        <rFont val="宋体"/>
        <charset val="134"/>
      </rPr>
      <t>.0</t>
    </r>
    <r>
      <rPr>
        <sz val="12"/>
        <rFont val="宋体"/>
        <charset val="134"/>
      </rPr>
      <t>mm透明双面</t>
    </r>
    <r>
      <rPr>
        <b/>
        <sz val="12"/>
        <color indexed="10"/>
        <rFont val="宋体"/>
        <charset val="134"/>
      </rPr>
      <t>加硬</t>
    </r>
    <r>
      <rPr>
        <sz val="12"/>
        <rFont val="宋体"/>
        <charset val="134"/>
      </rPr>
      <t>压克力板</t>
    </r>
  </si>
  <si>
    <r>
      <t>2</t>
    </r>
    <r>
      <rPr>
        <sz val="12"/>
        <rFont val="宋体"/>
        <charset val="134"/>
      </rPr>
      <t>38*204</t>
    </r>
  </si>
  <si>
    <t>JTT-567</t>
  </si>
  <si>
    <r>
      <t>2.0mm东宇黑色</t>
    </r>
    <r>
      <rPr>
        <b/>
        <sz val="12"/>
        <color indexed="10"/>
        <rFont val="宋体"/>
        <charset val="134"/>
      </rPr>
      <t>压克力板</t>
    </r>
    <r>
      <rPr>
        <b/>
        <sz val="12"/>
        <rFont val="宋体"/>
        <charset val="134"/>
      </rPr>
      <t xml:space="preserve"> </t>
    </r>
    <r>
      <rPr>
        <b/>
        <sz val="12"/>
        <color indexed="12"/>
        <rFont val="宋体"/>
        <charset val="134"/>
      </rPr>
      <t>(贯昌</t>
    </r>
    <r>
      <rPr>
        <b/>
        <sz val="12"/>
        <rFont val="宋体"/>
        <charset val="134"/>
      </rPr>
      <t>）</t>
    </r>
  </si>
  <si>
    <r>
      <t>5</t>
    </r>
    <r>
      <rPr>
        <sz val="12"/>
        <rFont val="宋体"/>
        <charset val="134"/>
      </rPr>
      <t>38*398</t>
    </r>
  </si>
  <si>
    <t>25.03.20</t>
  </si>
  <si>
    <r>
      <t>25.03.20</t>
    </r>
    <r>
      <rPr>
        <b/>
        <sz val="8"/>
        <color indexed="11"/>
        <rFont val="宋体"/>
        <charset val="134"/>
      </rPr>
      <t>盘点</t>
    </r>
  </si>
  <si>
    <t>2.5mm双面加硬压克力板</t>
  </si>
  <si>
    <r>
      <t>2</t>
    </r>
    <r>
      <rPr>
        <sz val="12"/>
        <rFont val="宋体"/>
        <charset val="134"/>
      </rPr>
      <t>97*215</t>
    </r>
  </si>
  <si>
    <t>25.12.27</t>
  </si>
  <si>
    <t>295*225</t>
  </si>
  <si>
    <t>23.05.18</t>
  </si>
  <si>
    <t>327*397</t>
  </si>
  <si>
    <t>22.12.06</t>
  </si>
  <si>
    <r>
      <t>3.0mm透明压克力</t>
    </r>
    <r>
      <rPr>
        <sz val="12"/>
        <rFont val="宋体"/>
        <charset val="134"/>
      </rPr>
      <t>(</t>
    </r>
    <r>
      <rPr>
        <sz val="12"/>
        <color indexed="12"/>
        <rFont val="宋体"/>
        <charset val="134"/>
      </rPr>
      <t>贯昌</t>
    </r>
    <r>
      <rPr>
        <sz val="12"/>
        <rFont val="宋体"/>
        <charset val="134"/>
      </rPr>
      <t>)</t>
    </r>
  </si>
  <si>
    <t>78*270</t>
  </si>
  <si>
    <t>24.06.26</t>
  </si>
  <si>
    <r>
      <t>3</t>
    </r>
    <r>
      <rPr>
        <sz val="12"/>
        <rFont val="宋体"/>
        <charset val="134"/>
      </rPr>
      <t>02*180</t>
    </r>
  </si>
  <si>
    <t>26.07.27</t>
  </si>
  <si>
    <r>
      <t>26.07.27</t>
    </r>
    <r>
      <rPr>
        <b/>
        <sz val="8"/>
        <color indexed="11"/>
        <rFont val="宋体"/>
        <charset val="134"/>
      </rPr>
      <t>盘点</t>
    </r>
  </si>
  <si>
    <t>JJX-180</t>
  </si>
  <si>
    <r>
      <t>2</t>
    </r>
    <r>
      <rPr>
        <sz val="12"/>
        <rFont val="宋体"/>
        <charset val="134"/>
      </rPr>
      <t>90*270</t>
    </r>
  </si>
  <si>
    <r>
      <t>2</t>
    </r>
    <r>
      <rPr>
        <sz val="12"/>
        <rFont val="宋体"/>
        <charset val="134"/>
      </rPr>
      <t>01*180</t>
    </r>
  </si>
  <si>
    <t>3.0mm黑色压克力( 贯昌 ）</t>
  </si>
  <si>
    <r>
      <t>2</t>
    </r>
    <r>
      <rPr>
        <sz val="12"/>
        <rFont val="宋体"/>
        <charset val="134"/>
      </rPr>
      <t>69*201</t>
    </r>
  </si>
  <si>
    <t>25.09.11</t>
  </si>
  <si>
    <r>
      <t>25.09.11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</si>
  <si>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TT-876，窗口垫片</t>
    </r>
  </si>
  <si>
    <t>3.0mm黑色压克力(贯昌)</t>
  </si>
  <si>
    <t>500*400</t>
  </si>
  <si>
    <t>23.09.28</t>
  </si>
  <si>
    <t>4.0mm黑色压克力(贯昌)</t>
  </si>
  <si>
    <r>
      <t>3</t>
    </r>
    <r>
      <rPr>
        <sz val="12"/>
        <rFont val="宋体"/>
        <charset val="134"/>
      </rPr>
      <t>43*172</t>
    </r>
  </si>
  <si>
    <t>25.06.20</t>
  </si>
  <si>
    <r>
      <t>25.06.20</t>
    </r>
    <r>
      <rPr>
        <b/>
        <sz val="8"/>
        <color indexed="11"/>
        <rFont val="宋体"/>
        <charset val="134"/>
      </rPr>
      <t>盘点</t>
    </r>
  </si>
  <si>
    <t>4.0mm透明压克力板</t>
  </si>
  <si>
    <t>242*364</t>
  </si>
  <si>
    <t>22.04.26</t>
  </si>
  <si>
    <t>KC-219/224/217/240背胶</t>
  </si>
  <si>
    <t>F区架二，一层-2格</t>
  </si>
  <si>
    <t>5.0mm透明压克力板</t>
  </si>
  <si>
    <t>130*205</t>
  </si>
  <si>
    <t>17.12.21</t>
  </si>
  <si>
    <t>220*302</t>
  </si>
  <si>
    <t>20.12.15</t>
  </si>
  <si>
    <t>6.0mm透明压克力板</t>
  </si>
  <si>
    <t>305*440</t>
  </si>
  <si>
    <t>0.175 茶色电镀PC（鑫悦云）</t>
  </si>
  <si>
    <t>180*300</t>
  </si>
  <si>
    <t>21.06.22</t>
  </si>
  <si>
    <t xml:space="preserve">      好久了，材料</t>
  </si>
  <si>
    <t>G区架二，一层-1格</t>
  </si>
  <si>
    <r>
      <t>0.2mm PET静电膜（</t>
    </r>
    <r>
      <rPr>
        <b/>
        <sz val="12"/>
        <color indexed="12"/>
        <rFont val="宋体"/>
        <charset val="134"/>
      </rPr>
      <t>金地鑫</t>
    </r>
    <r>
      <rPr>
        <b/>
        <sz val="12"/>
        <rFont val="宋体"/>
        <charset val="134"/>
      </rPr>
      <t>）</t>
    </r>
  </si>
  <si>
    <r>
      <t>175*</t>
    </r>
    <r>
      <rPr>
        <sz val="12"/>
        <rFont val="宋体"/>
        <charset val="134"/>
      </rPr>
      <t>3</t>
    </r>
    <r>
      <rPr>
        <sz val="12"/>
        <rFont val="宋体"/>
        <charset val="134"/>
      </rPr>
      <t>25</t>
    </r>
  </si>
  <si>
    <t>YL-1088</t>
  </si>
  <si>
    <r>
      <t>0.175 12%茶色PC(</t>
    </r>
    <r>
      <rPr>
        <b/>
        <sz val="12"/>
        <color indexed="12"/>
        <rFont val="宋体"/>
        <charset val="134"/>
      </rPr>
      <t>京科</t>
    </r>
    <r>
      <rPr>
        <b/>
        <sz val="12"/>
        <rFont val="宋体"/>
        <charset val="134"/>
      </rPr>
      <t>）</t>
    </r>
  </si>
  <si>
    <t>25.12.10</t>
  </si>
  <si>
    <r>
      <t>25.12.10</t>
    </r>
    <r>
      <rPr>
        <b/>
        <sz val="8"/>
        <color indexed="11"/>
        <rFont val="宋体"/>
        <charset val="134"/>
      </rPr>
      <t>盘点</t>
    </r>
  </si>
  <si>
    <t xml:space="preserve">JJXM-001  25.12.10 </t>
  </si>
  <si>
    <t>25.12.25</t>
  </si>
  <si>
    <r>
      <t>25.12.25</t>
    </r>
    <r>
      <rPr>
        <b/>
        <sz val="8"/>
        <color indexed="11"/>
        <rFont val="宋体"/>
        <charset val="134"/>
      </rPr>
      <t>盘点</t>
    </r>
  </si>
  <si>
    <t>JJXM-001  25.12.25</t>
  </si>
  <si>
    <r>
      <t>茶色（XFC-PC11C-0.8mmT）（</t>
    </r>
    <r>
      <rPr>
        <b/>
        <sz val="12"/>
        <color indexed="10"/>
        <rFont val="宋体"/>
        <charset val="134"/>
      </rPr>
      <t>兴富城</t>
    </r>
    <r>
      <rPr>
        <b/>
        <sz val="12"/>
        <rFont val="宋体"/>
        <charset val="134"/>
      </rPr>
      <t>）</t>
    </r>
  </si>
  <si>
    <t>260*305</t>
  </si>
  <si>
    <t>24.10.22</t>
  </si>
  <si>
    <t>YL-905</t>
  </si>
  <si>
    <r>
      <t>0.8mm 茶色PC</t>
    </r>
    <r>
      <rPr>
        <b/>
        <sz val="12"/>
        <color indexed="12"/>
        <rFont val="宋体"/>
        <charset val="134"/>
      </rPr>
      <t>（DB11008）（</t>
    </r>
    <r>
      <rPr>
        <b/>
        <sz val="12"/>
        <color indexed="10"/>
        <rFont val="宋体"/>
        <charset val="134"/>
      </rPr>
      <t>地博</t>
    </r>
    <r>
      <rPr>
        <b/>
        <sz val="12"/>
        <color indexed="12"/>
        <rFont val="宋体"/>
        <charset val="134"/>
      </rPr>
      <t>）</t>
    </r>
  </si>
  <si>
    <r>
      <t>3</t>
    </r>
    <r>
      <rPr>
        <sz val="12"/>
        <rFont val="宋体"/>
        <charset val="134"/>
      </rPr>
      <t>60*457</t>
    </r>
  </si>
  <si>
    <t>24.12.07</t>
  </si>
  <si>
    <r>
      <t>2</t>
    </r>
    <r>
      <rPr>
        <sz val="12"/>
        <rFont val="宋体"/>
        <charset val="134"/>
      </rPr>
      <t>32*210</t>
    </r>
  </si>
  <si>
    <t>25.03.10</t>
  </si>
  <si>
    <r>
      <t>25.03.10</t>
    </r>
    <r>
      <rPr>
        <b/>
        <sz val="8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</si>
  <si>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32*166</t>
    </r>
  </si>
  <si>
    <t>25.08.18</t>
  </si>
  <si>
    <r>
      <t>25.08.18</t>
    </r>
    <r>
      <rPr>
        <b/>
        <sz val="8"/>
        <color indexed="11"/>
        <rFont val="宋体"/>
        <charset val="134"/>
      </rPr>
      <t>盘点</t>
    </r>
  </si>
  <si>
    <r>
      <t>0.8mm 茶色PC</t>
    </r>
    <r>
      <rPr>
        <b/>
        <sz val="12"/>
        <color indexed="12"/>
        <rFont val="宋体"/>
        <charset val="134"/>
      </rPr>
      <t>（金地鑫）</t>
    </r>
  </si>
  <si>
    <r>
      <t>2</t>
    </r>
    <r>
      <rPr>
        <sz val="12"/>
        <rFont val="宋体"/>
        <charset val="134"/>
      </rPr>
      <t>50*235</t>
    </r>
  </si>
  <si>
    <t>26.01.15</t>
  </si>
  <si>
    <r>
      <t>26.01.15</t>
    </r>
    <r>
      <rPr>
        <b/>
        <sz val="8"/>
        <color indexed="11"/>
        <rFont val="宋体"/>
        <charset val="134"/>
      </rPr>
      <t>盘点</t>
    </r>
  </si>
  <si>
    <r>
      <t>0.8mm</t>
    </r>
    <r>
      <rPr>
        <b/>
        <sz val="12"/>
        <color indexed="12"/>
        <rFont val="宋体"/>
        <charset val="134"/>
      </rPr>
      <t>加硬</t>
    </r>
    <r>
      <rPr>
        <b/>
        <sz val="12"/>
        <color indexed="8"/>
        <rFont val="宋体"/>
        <charset val="134"/>
      </rPr>
      <t>茶色PC</t>
    </r>
    <r>
      <rPr>
        <b/>
        <sz val="12"/>
        <color indexed="12"/>
        <rFont val="宋体"/>
        <charset val="134"/>
      </rPr>
      <t>（博恒）</t>
    </r>
  </si>
  <si>
    <r>
      <t>4</t>
    </r>
    <r>
      <rPr>
        <sz val="12"/>
        <rFont val="宋体"/>
        <charset val="134"/>
      </rPr>
      <t>53*228</t>
    </r>
  </si>
  <si>
    <r>
      <t>26.07.28</t>
    </r>
    <r>
      <rPr>
        <b/>
        <sz val="8"/>
        <color indexed="11"/>
        <rFont val="宋体"/>
        <charset val="134"/>
      </rPr>
      <t>盘点</t>
    </r>
  </si>
  <si>
    <t>YL-1025 用它，椭圆</t>
  </si>
  <si>
    <r>
      <t>2.0mm 展示宇色PC</t>
    </r>
    <r>
      <rPr>
        <b/>
        <sz val="12"/>
        <color indexed="12"/>
        <rFont val="宋体"/>
        <charset val="134"/>
      </rPr>
      <t>（贯昌）</t>
    </r>
  </si>
  <si>
    <r>
      <t>3</t>
    </r>
    <r>
      <rPr>
        <sz val="12"/>
        <rFont val="宋体"/>
        <charset val="134"/>
      </rPr>
      <t>05*162</t>
    </r>
  </si>
  <si>
    <t>CF-037</t>
  </si>
  <si>
    <r>
      <t>3</t>
    </r>
    <r>
      <rPr>
        <sz val="12"/>
        <rFont val="宋体"/>
        <charset val="134"/>
      </rPr>
      <t>05*324</t>
    </r>
  </si>
  <si>
    <r>
      <t>25#黑色麦拉（</t>
    </r>
    <r>
      <rPr>
        <b/>
        <sz val="12"/>
        <color indexed="12"/>
        <rFont val="宋体"/>
        <charset val="134"/>
      </rPr>
      <t>网购</t>
    </r>
    <r>
      <rPr>
        <b/>
        <sz val="12"/>
        <rFont val="宋体"/>
        <charset val="134"/>
      </rPr>
      <t>）</t>
    </r>
  </si>
  <si>
    <t>24.05.23</t>
  </si>
  <si>
    <t>放在，茶色PC,片材处</t>
  </si>
  <si>
    <t>G区架二，二层-1格</t>
  </si>
  <si>
    <r>
      <t>0.05mm</t>
    </r>
    <r>
      <rPr>
        <sz val="12"/>
        <rFont val="宋体"/>
        <charset val="134"/>
      </rPr>
      <t>砂面阻燃黑色PC(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</si>
  <si>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t>20.10.28</t>
  </si>
  <si>
    <t>此规格，材料有多的</t>
  </si>
  <si>
    <r>
      <t>0.25mm砂面阻燃黑色PC</t>
    </r>
    <r>
      <rPr>
        <sz val="12"/>
        <color indexed="12"/>
        <rFont val="宋体"/>
        <charset val="134"/>
      </rPr>
      <t>（DB9842B）(地博)</t>
    </r>
  </si>
  <si>
    <t>24.05.21</t>
  </si>
  <si>
    <r>
      <t>0.25mm砂面阻燃PC</t>
    </r>
    <r>
      <rPr>
        <sz val="12"/>
        <color indexed="12"/>
        <rFont val="宋体"/>
        <charset val="134"/>
      </rPr>
      <t>(尚升)</t>
    </r>
  </si>
  <si>
    <t>26.01.12</t>
  </si>
  <si>
    <r>
      <t>26.01.12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</si>
  <si>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JXM-003,样品材料</t>
    </r>
  </si>
  <si>
    <r>
      <t>0.5mm砂面阻燃黑色PC</t>
    </r>
    <r>
      <rPr>
        <sz val="12"/>
        <color indexed="12"/>
        <rFont val="宋体"/>
        <charset val="134"/>
      </rPr>
      <t>（DB9842B）（地博)</t>
    </r>
  </si>
  <si>
    <r>
      <t>215</t>
    </r>
    <r>
      <rPr>
        <sz val="12"/>
        <rFont val="宋体"/>
        <charset val="134"/>
      </rPr>
      <t>*130</t>
    </r>
  </si>
  <si>
    <t>24.05.30</t>
  </si>
  <si>
    <t>中间，框余料</t>
  </si>
  <si>
    <t>G区架二，二层-2格</t>
  </si>
  <si>
    <r>
      <t>3</t>
    </r>
    <r>
      <rPr>
        <sz val="12"/>
        <rFont val="宋体"/>
        <charset val="134"/>
      </rPr>
      <t>10*150</t>
    </r>
  </si>
  <si>
    <t>25.02.14</t>
  </si>
  <si>
    <r>
      <t>25.04.21</t>
    </r>
    <r>
      <rPr>
        <b/>
        <sz val="8"/>
        <color indexed="11"/>
        <rFont val="宋体"/>
        <charset val="134"/>
      </rPr>
      <t>盘点</t>
    </r>
  </si>
  <si>
    <t>切回来 余料</t>
  </si>
  <si>
    <r>
      <t>3</t>
    </r>
    <r>
      <rPr>
        <sz val="12"/>
        <rFont val="宋体"/>
        <charset val="134"/>
      </rPr>
      <t>10*162</t>
    </r>
  </si>
  <si>
    <r>
      <t>3</t>
    </r>
    <r>
      <rPr>
        <sz val="12"/>
        <rFont val="宋体"/>
        <charset val="134"/>
      </rPr>
      <t>32*180</t>
    </r>
  </si>
  <si>
    <t>26.01.30</t>
  </si>
  <si>
    <r>
      <t>26.01.30</t>
    </r>
    <r>
      <rPr>
        <b/>
        <sz val="8"/>
        <color indexed="11"/>
        <rFont val="宋体"/>
        <charset val="134"/>
      </rPr>
      <t>盘点</t>
    </r>
  </si>
  <si>
    <r>
      <t>3</t>
    </r>
    <r>
      <rPr>
        <sz val="12"/>
        <rFont val="宋体"/>
        <charset val="134"/>
      </rPr>
      <t>30*232</t>
    </r>
  </si>
  <si>
    <r>
      <t>0.5mm砂面阻燃黑色PC</t>
    </r>
    <r>
      <rPr>
        <sz val="12"/>
        <color indexed="12"/>
        <rFont val="宋体"/>
        <charset val="134"/>
      </rPr>
      <t>（DB98KJ）（地博)</t>
    </r>
  </si>
  <si>
    <r>
      <t>3</t>
    </r>
    <r>
      <rPr>
        <sz val="12"/>
        <rFont val="宋体"/>
        <charset val="134"/>
      </rPr>
      <t>10*305</t>
    </r>
  </si>
  <si>
    <r>
      <t>2</t>
    </r>
    <r>
      <rPr>
        <sz val="12"/>
        <rFont val="宋体"/>
        <charset val="134"/>
      </rPr>
      <t>6.06.03，盘点过</t>
    </r>
  </si>
  <si>
    <r>
      <t>3</t>
    </r>
    <r>
      <rPr>
        <sz val="12"/>
        <rFont val="宋体"/>
        <charset val="134"/>
      </rPr>
      <t>10*400</t>
    </r>
  </si>
  <si>
    <t>25.01.17</t>
  </si>
  <si>
    <r>
      <t>25.01.17</t>
    </r>
    <r>
      <rPr>
        <b/>
        <sz val="8"/>
        <color indexed="11"/>
        <rFont val="宋体"/>
        <charset val="134"/>
      </rPr>
      <t>盘点</t>
    </r>
  </si>
  <si>
    <t>JTT-705</t>
  </si>
  <si>
    <r>
      <t>0.5mm</t>
    </r>
    <r>
      <rPr>
        <b/>
        <sz val="12"/>
        <rFont val="微软雅黑"/>
        <family val="2"/>
        <charset val="134"/>
      </rPr>
      <t>哑面</t>
    </r>
    <r>
      <rPr>
        <sz val="12"/>
        <rFont val="宋体"/>
        <charset val="134"/>
      </rPr>
      <t>黑色PC(DB9832B)</t>
    </r>
  </si>
  <si>
    <t>25.09.19</t>
  </si>
  <si>
    <r>
      <t>25.09.19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</si>
  <si>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JX-150</t>
    </r>
  </si>
  <si>
    <r>
      <t>1.0</t>
    </r>
    <r>
      <rPr>
        <sz val="12"/>
        <color indexed="8"/>
        <rFont val="宋体"/>
        <charset val="134"/>
      </rPr>
      <t>mm砂面阻燃黑色PC</t>
    </r>
    <r>
      <rPr>
        <sz val="12"/>
        <color indexed="12"/>
        <rFont val="宋体"/>
        <charset val="134"/>
      </rPr>
      <t>（DB98KJ）（地博)</t>
    </r>
  </si>
  <si>
    <r>
      <t>2</t>
    </r>
    <r>
      <rPr>
        <sz val="12"/>
        <rFont val="宋体"/>
        <charset val="134"/>
      </rPr>
      <t>60*1</t>
    </r>
    <r>
      <rPr>
        <sz val="12"/>
        <rFont val="宋体"/>
        <charset val="134"/>
      </rPr>
      <t>83</t>
    </r>
  </si>
  <si>
    <t>26.04.21</t>
  </si>
  <si>
    <r>
      <t>29.04.21</t>
    </r>
    <r>
      <rPr>
        <b/>
        <sz val="8"/>
        <color indexed="11"/>
        <rFont val="宋体"/>
        <charset val="134"/>
      </rPr>
      <t>盘点</t>
    </r>
  </si>
  <si>
    <t>JST-1253</t>
  </si>
  <si>
    <r>
      <t>0.38mm</t>
    </r>
    <r>
      <rPr>
        <b/>
        <sz val="12"/>
        <color indexed="12"/>
        <rFont val="微软雅黑"/>
        <family val="2"/>
        <charset val="134"/>
      </rPr>
      <t>无卤阻燃砂</t>
    </r>
    <r>
      <rPr>
        <b/>
        <sz val="12"/>
        <color indexed="10"/>
        <rFont val="宋体"/>
        <charset val="134"/>
      </rPr>
      <t>黑色PC</t>
    </r>
  </si>
  <si>
    <t>有卤0.43mm黑色PC</t>
  </si>
  <si>
    <t>17.10.20</t>
  </si>
  <si>
    <t>用此材料，出库，得确认好</t>
  </si>
  <si>
    <t>0.43mm黑色PC（FR35F）雾</t>
  </si>
  <si>
    <t>17.02.09</t>
  </si>
  <si>
    <r>
      <t>不能做，L</t>
    </r>
    <r>
      <rPr>
        <sz val="12"/>
        <rFont val="宋体"/>
        <charset val="134"/>
      </rPr>
      <t>J-081用</t>
    </r>
  </si>
  <si>
    <t>0.2哑黑PVC</t>
  </si>
  <si>
    <t>228*305</t>
  </si>
  <si>
    <t>21.10.12</t>
  </si>
  <si>
    <r>
      <t>0.</t>
    </r>
    <r>
      <rPr>
        <sz val="12"/>
        <rFont val="宋体"/>
        <charset val="134"/>
      </rPr>
      <t>3PVC (哑面粗砂）</t>
    </r>
  </si>
  <si>
    <r>
      <t>4</t>
    </r>
    <r>
      <rPr>
        <sz val="12"/>
        <rFont val="宋体"/>
        <charset val="134"/>
      </rPr>
      <t>57*400</t>
    </r>
  </si>
  <si>
    <t>用时 要点数量</t>
  </si>
  <si>
    <r>
      <t>0.5白色PVC</t>
    </r>
    <r>
      <rPr>
        <sz val="12"/>
        <rFont val="宋体"/>
        <charset val="134"/>
      </rPr>
      <t>(粗砂）</t>
    </r>
  </si>
  <si>
    <t>0.8透明PVC</t>
  </si>
  <si>
    <t>152*335</t>
  </si>
  <si>
    <t>17.09.21</t>
  </si>
  <si>
    <t>1.0透明PVC</t>
  </si>
  <si>
    <t>457*260</t>
  </si>
  <si>
    <t>17.12.28</t>
  </si>
  <si>
    <t>1.0哑白PVC</t>
  </si>
  <si>
    <t>457*457</t>
  </si>
  <si>
    <t>19.06.25</t>
  </si>
  <si>
    <t>2019，年份</t>
  </si>
  <si>
    <t>100#透明PVC</t>
  </si>
  <si>
    <t>20.01.01</t>
  </si>
  <si>
    <t>如果没有什么用，拿来利用</t>
  </si>
  <si>
    <t>下面是; PET50# 白色 材料</t>
  </si>
  <si>
    <t>白色PET50#</t>
  </si>
  <si>
    <r>
      <t>26.07.10</t>
    </r>
    <r>
      <rPr>
        <b/>
        <sz val="10"/>
        <color indexed="11"/>
        <rFont val="宋体"/>
        <charset val="134"/>
      </rPr>
      <t>盘点</t>
    </r>
  </si>
  <si>
    <t>H区架一，二层-2格</t>
  </si>
  <si>
    <r>
      <t>25.11.08</t>
    </r>
    <r>
      <rPr>
        <b/>
        <sz val="10"/>
        <color indexed="11"/>
        <rFont val="宋体"/>
        <charset val="134"/>
      </rPr>
      <t>盘点</t>
    </r>
  </si>
  <si>
    <r>
      <t>25.01.21</t>
    </r>
    <r>
      <rPr>
        <b/>
        <sz val="10"/>
        <color indexed="11"/>
        <rFont val="宋体"/>
        <charset val="134"/>
      </rPr>
      <t>盘点</t>
    </r>
  </si>
  <si>
    <t>25.12.19</t>
  </si>
  <si>
    <r>
      <t>25.12.19</t>
    </r>
    <r>
      <rPr>
        <b/>
        <sz val="10"/>
        <color indexed="11"/>
        <rFont val="宋体"/>
        <charset val="134"/>
      </rPr>
      <t>盘点</t>
    </r>
  </si>
  <si>
    <r>
      <t>说明;来料</t>
    </r>
    <r>
      <rPr>
        <sz val="12"/>
        <rFont val="宋体"/>
        <charset val="134"/>
      </rPr>
      <t>=290宽</t>
    </r>
  </si>
  <si>
    <r>
      <t>25.08.18</t>
    </r>
    <r>
      <rPr>
        <b/>
        <sz val="10"/>
        <color indexed="11"/>
        <rFont val="宋体"/>
        <charset val="134"/>
      </rPr>
      <t>盘点</t>
    </r>
  </si>
  <si>
    <r>
      <t>26.04.16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</si>
  <si>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TT-705</t>
    </r>
  </si>
  <si>
    <t>下面是; PET75# 白色 材料</t>
  </si>
  <si>
    <t>白色PET75#</t>
  </si>
  <si>
    <t>25.05.06</t>
  </si>
  <si>
    <r>
      <t>25.05.06</t>
    </r>
    <r>
      <rPr>
        <b/>
        <sz val="10"/>
        <color indexed="11"/>
        <rFont val="宋体"/>
        <charset val="134"/>
      </rPr>
      <t>盘点</t>
    </r>
  </si>
  <si>
    <t>下面是; PET100# 白色 材料</t>
  </si>
  <si>
    <t>白色PET100#</t>
  </si>
  <si>
    <r>
      <t>26.07.02</t>
    </r>
    <r>
      <rPr>
        <b/>
        <sz val="10"/>
        <color indexed="11"/>
        <rFont val="宋体"/>
        <charset val="134"/>
      </rPr>
      <t>盘点</t>
    </r>
  </si>
  <si>
    <r>
      <t>H区架二</t>
    </r>
    <r>
      <rPr>
        <b/>
        <sz val="9"/>
        <color indexed="12"/>
        <rFont val="宋体"/>
        <charset val="134"/>
      </rPr>
      <t>，二层-1格</t>
    </r>
  </si>
  <si>
    <t>25.09.13</t>
  </si>
  <si>
    <r>
      <t>25.09.13</t>
    </r>
    <r>
      <rPr>
        <b/>
        <sz val="10"/>
        <color indexed="11"/>
        <rFont val="宋体"/>
        <charset val="134"/>
      </rPr>
      <t>盘点</t>
    </r>
  </si>
  <si>
    <t>特别注明：内侧为印刷面</t>
  </si>
  <si>
    <t>26.04.03</t>
  </si>
  <si>
    <r>
      <t>26.04.03</t>
    </r>
    <r>
      <rPr>
        <b/>
        <sz val="10"/>
        <color indexed="11"/>
        <rFont val="宋体"/>
        <charset val="134"/>
      </rPr>
      <t>盘点</t>
    </r>
  </si>
  <si>
    <t>24.09.14</t>
  </si>
  <si>
    <t>特别说明;厂商放在这里，</t>
  </si>
  <si>
    <r>
      <t>H区架一</t>
    </r>
    <r>
      <rPr>
        <b/>
        <sz val="9"/>
        <rFont val="宋体"/>
        <charset val="134"/>
      </rPr>
      <t>，二层-2格</t>
    </r>
  </si>
  <si>
    <t>YL-926 YL-947</t>
  </si>
  <si>
    <t>下面是; PET125# 白色 材料</t>
  </si>
  <si>
    <t>白色PET125#</t>
  </si>
  <si>
    <t>H区架二，二层-1格</t>
  </si>
  <si>
    <t>下面是; PET188# 白色 材料</t>
  </si>
  <si>
    <t>白色PET188#</t>
  </si>
  <si>
    <t>H区架二，二层-2格</t>
  </si>
  <si>
    <t>下面是; PET250# 白色 材料</t>
  </si>
  <si>
    <t>白色PET250</t>
  </si>
  <si>
    <t>下面是; PET350# 白色 材料</t>
  </si>
  <si>
    <r>
      <t>白色PET350</t>
    </r>
    <r>
      <rPr>
        <sz val="12"/>
        <rFont val="宋体"/>
        <charset val="134"/>
      </rPr>
      <t>(FF-SS-12)</t>
    </r>
  </si>
  <si>
    <t>此材料 实间，有点久了</t>
  </si>
  <si>
    <r>
      <t xml:space="preserve">下面是; </t>
    </r>
    <r>
      <rPr>
        <b/>
        <sz val="12"/>
        <rFont val="宋体"/>
        <charset val="134"/>
      </rPr>
      <t>PET50 #  黑色</t>
    </r>
    <r>
      <rPr>
        <b/>
        <sz val="12"/>
        <color indexed="12"/>
        <rFont val="宋体"/>
        <charset val="134"/>
      </rPr>
      <t>材料</t>
    </r>
  </si>
  <si>
    <r>
      <t>黑色PET</t>
    </r>
    <r>
      <rPr>
        <sz val="12"/>
        <rFont val="宋体"/>
        <charset val="134"/>
      </rPr>
      <t>50#</t>
    </r>
  </si>
  <si>
    <t>24.09.29</t>
  </si>
  <si>
    <r>
      <t>H区架二，一层-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</si>
  <si>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r>
      <t xml:space="preserve">下面是; </t>
    </r>
    <r>
      <rPr>
        <b/>
        <sz val="12"/>
        <rFont val="宋体"/>
        <charset val="134"/>
      </rPr>
      <t>PET125#  黑色</t>
    </r>
    <r>
      <rPr>
        <b/>
        <sz val="12"/>
        <color indexed="12"/>
        <rFont val="宋体"/>
        <charset val="134"/>
      </rPr>
      <t>材料</t>
    </r>
  </si>
  <si>
    <t>黑色PET125#</t>
  </si>
  <si>
    <r>
      <t xml:space="preserve">下面是; </t>
    </r>
    <r>
      <rPr>
        <b/>
        <sz val="12"/>
        <rFont val="宋体"/>
        <charset val="134"/>
      </rPr>
      <t>PET188#  黑色</t>
    </r>
    <r>
      <rPr>
        <b/>
        <sz val="12"/>
        <color indexed="12"/>
        <rFont val="宋体"/>
        <charset val="134"/>
      </rPr>
      <t>材料</t>
    </r>
  </si>
  <si>
    <r>
      <t>黑色</t>
    </r>
    <r>
      <rPr>
        <sz val="12"/>
        <rFont val="宋体"/>
        <charset val="134"/>
      </rPr>
      <t>PET188#(永安）</t>
    </r>
  </si>
  <si>
    <t>25.01.21</t>
  </si>
  <si>
    <t>H区架二，一层-2格</t>
  </si>
  <si>
    <t>25.02.18</t>
  </si>
  <si>
    <r>
      <t>25.02.18</t>
    </r>
    <r>
      <rPr>
        <b/>
        <sz val="10"/>
        <color indexed="11"/>
        <rFont val="宋体"/>
        <charset val="134"/>
      </rPr>
      <t>盘点</t>
    </r>
  </si>
  <si>
    <t>JTT-704</t>
  </si>
  <si>
    <r>
      <t>25.07.10</t>
    </r>
    <r>
      <rPr>
        <b/>
        <sz val="10"/>
        <color indexed="11"/>
        <rFont val="宋体"/>
        <charset val="134"/>
      </rPr>
      <t>盘点</t>
    </r>
  </si>
  <si>
    <r>
      <t xml:space="preserve">下面是; </t>
    </r>
    <r>
      <rPr>
        <b/>
        <sz val="12"/>
        <rFont val="宋体"/>
        <charset val="134"/>
      </rPr>
      <t>PET250#  黑色</t>
    </r>
    <r>
      <rPr>
        <b/>
        <sz val="12"/>
        <color indexed="12"/>
        <rFont val="宋体"/>
        <charset val="134"/>
      </rPr>
      <t>材料</t>
    </r>
  </si>
  <si>
    <t>黑色PET250#(永安）</t>
  </si>
  <si>
    <t>0.5白色 PC</t>
  </si>
  <si>
    <t>23.01.01</t>
  </si>
  <si>
    <t>盘点入账，24.09.29数量待确认</t>
  </si>
  <si>
    <r>
      <t>F区架一，一层-</t>
    </r>
    <r>
      <rPr>
        <b/>
        <sz val="9"/>
        <color indexed="11"/>
        <rFont val="宋体"/>
        <charset val="134"/>
      </rPr>
      <t>1</t>
    </r>
    <r>
      <rPr>
        <b/>
        <sz val="9"/>
        <rFont val="宋体"/>
        <charset val="134"/>
      </rPr>
      <t>格</t>
    </r>
  </si>
  <si>
    <t>下面是; HZLT,专用 材料</t>
  </si>
  <si>
    <r>
      <t xml:space="preserve">AG50-300U-3H </t>
    </r>
    <r>
      <rPr>
        <b/>
        <sz val="12"/>
        <rFont val="宋体"/>
        <charset val="134"/>
      </rPr>
      <t>磨砂PET</t>
    </r>
    <r>
      <rPr>
        <b/>
        <sz val="12"/>
        <color indexed="12"/>
        <rFont val="宋体"/>
        <charset val="134"/>
      </rPr>
      <t>(鑫信泰)</t>
    </r>
  </si>
  <si>
    <r>
      <t>4</t>
    </r>
    <r>
      <rPr>
        <sz val="12"/>
        <rFont val="宋体"/>
        <charset val="134"/>
      </rPr>
      <t>40*390</t>
    </r>
  </si>
  <si>
    <t>25.12.08</t>
  </si>
  <si>
    <r>
      <t>26.01.30</t>
    </r>
    <r>
      <rPr>
        <b/>
        <sz val="10"/>
        <color indexed="11"/>
        <rFont val="宋体"/>
        <charset val="134"/>
      </rPr>
      <t>盘点</t>
    </r>
  </si>
  <si>
    <t>材料记录，在8号，合格使用</t>
  </si>
  <si>
    <r>
      <t>F区架一，三层-</t>
    </r>
    <r>
      <rPr>
        <b/>
        <sz val="9"/>
        <color indexed="11"/>
        <rFont val="宋体"/>
        <charset val="134"/>
      </rPr>
      <t>1</t>
    </r>
    <r>
      <rPr>
        <b/>
        <sz val="9"/>
        <rFont val="宋体"/>
        <charset val="134"/>
      </rPr>
      <t>格</t>
    </r>
  </si>
  <si>
    <r>
      <t>0.25-AG</t>
    </r>
    <r>
      <rPr>
        <b/>
        <sz val="12"/>
        <color indexed="12"/>
        <rFont val="宋体"/>
        <charset val="134"/>
      </rPr>
      <t>30</t>
    </r>
    <r>
      <rPr>
        <b/>
        <sz val="12"/>
        <rFont val="宋体"/>
        <charset val="134"/>
      </rPr>
      <t>磨砂PET(臻艺)</t>
    </r>
  </si>
  <si>
    <t>315*430</t>
  </si>
  <si>
    <t>24.12.12</t>
  </si>
  <si>
    <t>HZLT-069</t>
  </si>
  <si>
    <r>
      <t>0.3-AG30</t>
    </r>
    <r>
      <rPr>
        <b/>
        <sz val="12"/>
        <rFont val="宋体"/>
        <charset val="134"/>
      </rPr>
      <t>磨砂PET(臻艺)</t>
    </r>
  </si>
  <si>
    <t>24.11.09</t>
  </si>
  <si>
    <t>HZLT-091</t>
  </si>
  <si>
    <t>390*185</t>
  </si>
  <si>
    <t>25.02.21</t>
  </si>
  <si>
    <r>
      <t>25.08.13</t>
    </r>
    <r>
      <rPr>
        <b/>
        <sz val="10"/>
        <color indexed="11"/>
        <rFont val="宋体"/>
        <charset val="134"/>
      </rPr>
      <t>盘点</t>
    </r>
  </si>
  <si>
    <t>余料25.02.21，切</t>
  </si>
  <si>
    <r>
      <t>F区架一，二层-</t>
    </r>
    <r>
      <rPr>
        <b/>
        <sz val="9"/>
        <color indexed="11"/>
        <rFont val="宋体"/>
        <charset val="134"/>
      </rPr>
      <t>1</t>
    </r>
    <r>
      <rPr>
        <b/>
        <sz val="9"/>
        <rFont val="宋体"/>
        <charset val="134"/>
      </rPr>
      <t>格</t>
    </r>
  </si>
  <si>
    <r>
      <t>AG2%-0.25PC</t>
    </r>
    <r>
      <rPr>
        <b/>
        <sz val="12"/>
        <rFont val="宋体"/>
        <charset val="134"/>
      </rPr>
      <t>(钜成隆)</t>
    </r>
  </si>
  <si>
    <r>
      <t>4</t>
    </r>
    <r>
      <rPr>
        <sz val="12"/>
        <rFont val="宋体"/>
        <charset val="134"/>
      </rPr>
      <t>20*225</t>
    </r>
  </si>
  <si>
    <t>25.07.12</t>
  </si>
  <si>
    <r>
      <t>25.07.12</t>
    </r>
    <r>
      <rPr>
        <b/>
        <sz val="10"/>
        <color indexed="11"/>
        <rFont val="宋体"/>
        <charset val="134"/>
      </rPr>
      <t>盘点</t>
    </r>
  </si>
  <si>
    <r>
      <t>K</t>
    </r>
    <r>
      <rPr>
        <sz val="12"/>
        <rFont val="宋体"/>
        <charset val="134"/>
      </rPr>
      <t>C-227,专用</t>
    </r>
  </si>
  <si>
    <t>下面是; PET 25# 材料</t>
  </si>
  <si>
    <t>PET25#</t>
  </si>
  <si>
    <t>很久了，材料</t>
  </si>
  <si>
    <r>
      <t>D区架二，四层-</t>
    </r>
    <r>
      <rPr>
        <b/>
        <sz val="9"/>
        <color indexed="11"/>
        <rFont val="宋体"/>
        <charset val="134"/>
      </rPr>
      <t>1</t>
    </r>
    <r>
      <rPr>
        <b/>
        <sz val="9"/>
        <rFont val="宋体"/>
        <charset val="134"/>
      </rPr>
      <t>格</t>
    </r>
  </si>
  <si>
    <t>现场.有材料已确认</t>
  </si>
  <si>
    <t>下面是; PET50 材料</t>
  </si>
  <si>
    <t>PET50#</t>
  </si>
  <si>
    <t>26.03.04</t>
  </si>
  <si>
    <r>
      <t>J</t>
    </r>
    <r>
      <rPr>
        <sz val="12"/>
        <rFont val="宋体"/>
        <charset val="134"/>
      </rPr>
      <t>TT-517</t>
    </r>
  </si>
  <si>
    <t>有几米，355宽的</t>
  </si>
  <si>
    <t>下面是; PET75 材料</t>
  </si>
  <si>
    <t>PET75#</t>
  </si>
  <si>
    <r>
      <t>D区架二，三层-</t>
    </r>
    <r>
      <rPr>
        <b/>
        <sz val="9"/>
        <color indexed="11"/>
        <rFont val="宋体"/>
        <charset val="134"/>
      </rPr>
      <t>1</t>
    </r>
    <r>
      <rPr>
        <b/>
        <sz val="9"/>
        <rFont val="宋体"/>
        <charset val="134"/>
      </rPr>
      <t>格</t>
    </r>
  </si>
  <si>
    <t>25.04.07</t>
  </si>
  <si>
    <r>
      <t>25.10.27</t>
    </r>
    <r>
      <rPr>
        <b/>
        <sz val="10"/>
        <color indexed="11"/>
        <rFont val="宋体"/>
        <charset val="134"/>
      </rPr>
      <t>盘点</t>
    </r>
  </si>
  <si>
    <t>25.11.19</t>
  </si>
  <si>
    <r>
      <t>25.11.19</t>
    </r>
    <r>
      <rPr>
        <b/>
        <sz val="10"/>
        <color indexed="11"/>
        <rFont val="宋体"/>
        <charset val="134"/>
      </rPr>
      <t>盘点</t>
    </r>
  </si>
  <si>
    <t>JST-646</t>
  </si>
  <si>
    <t>下面是; PET100 材料</t>
  </si>
  <si>
    <t>PET100#</t>
  </si>
  <si>
    <r>
      <t>6</t>
    </r>
    <r>
      <rPr>
        <sz val="12"/>
        <rFont val="宋体"/>
        <charset val="134"/>
      </rPr>
      <t>70*440</t>
    </r>
  </si>
  <si>
    <t>26.06.05</t>
  </si>
  <si>
    <r>
      <t>E区架二，四层-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</si>
  <si>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r>
      <t>4</t>
    </r>
    <r>
      <rPr>
        <sz val="12"/>
        <rFont val="宋体"/>
        <charset val="134"/>
      </rPr>
      <t>75*365</t>
    </r>
  </si>
  <si>
    <t>26.07.13</t>
  </si>
  <si>
    <r>
      <t>26.07..13</t>
    </r>
    <r>
      <rPr>
        <b/>
        <sz val="10"/>
        <color indexed="11"/>
        <rFont val="宋体"/>
        <charset val="134"/>
      </rPr>
      <t>盘点</t>
    </r>
  </si>
  <si>
    <r>
      <t>D区架二，二层-</t>
    </r>
    <r>
      <rPr>
        <b/>
        <sz val="9"/>
        <color indexed="11"/>
        <rFont val="宋体"/>
        <charset val="134"/>
      </rPr>
      <t>1</t>
    </r>
    <r>
      <rPr>
        <b/>
        <sz val="9"/>
        <rFont val="宋体"/>
        <charset val="134"/>
      </rPr>
      <t>格</t>
    </r>
  </si>
  <si>
    <t>26.05.25</t>
  </si>
  <si>
    <r>
      <t>26.05.25</t>
    </r>
    <r>
      <rPr>
        <b/>
        <sz val="10"/>
        <color indexed="11"/>
        <rFont val="宋体"/>
        <charset val="134"/>
      </rPr>
      <t>盘点</t>
    </r>
  </si>
  <si>
    <t>26.07.30</t>
  </si>
  <si>
    <r>
      <t>26.07.30</t>
    </r>
    <r>
      <rPr>
        <b/>
        <sz val="10"/>
        <color indexed="11"/>
        <rFont val="宋体"/>
        <charset val="134"/>
      </rPr>
      <t>盘点</t>
    </r>
  </si>
  <si>
    <t>26.06.23</t>
  </si>
  <si>
    <r>
      <t>26.06.23</t>
    </r>
    <r>
      <rPr>
        <b/>
        <sz val="10"/>
        <color indexed="11"/>
        <rFont val="宋体"/>
        <charset val="134"/>
      </rPr>
      <t>盘点</t>
    </r>
  </si>
  <si>
    <t>25.10.27</t>
  </si>
  <si>
    <r>
      <t>26.06.05</t>
    </r>
    <r>
      <rPr>
        <b/>
        <sz val="10"/>
        <color indexed="11"/>
        <rFont val="宋体"/>
        <charset val="134"/>
      </rPr>
      <t>盘点</t>
    </r>
  </si>
  <si>
    <t>JTT-373,弹片胶带有库存</t>
  </si>
  <si>
    <t>26.03.26</t>
  </si>
  <si>
    <t>JST-822/823,</t>
  </si>
  <si>
    <t>25.03.22</t>
  </si>
  <si>
    <t>JST-501</t>
  </si>
  <si>
    <t>25.07.07</t>
  </si>
  <si>
    <r>
      <t>25.09.06</t>
    </r>
    <r>
      <rPr>
        <b/>
        <sz val="10"/>
        <color indexed="11"/>
        <rFont val="宋体"/>
        <charset val="134"/>
      </rPr>
      <t>盘点</t>
    </r>
  </si>
  <si>
    <t>26.03.04人</t>
  </si>
  <si>
    <t>D区架二，二层-2格</t>
  </si>
  <si>
    <r>
      <t>25.03.26</t>
    </r>
    <r>
      <rPr>
        <b/>
        <sz val="10"/>
        <color indexed="11"/>
        <rFont val="宋体"/>
        <charset val="134"/>
      </rPr>
      <t>盘点</t>
    </r>
  </si>
  <si>
    <t>24.12.02</t>
  </si>
  <si>
    <r>
      <t>25.04.07</t>
    </r>
    <r>
      <rPr>
        <b/>
        <sz val="10"/>
        <color indexed="11"/>
        <rFont val="宋体"/>
        <charset val="134"/>
      </rPr>
      <t>盘点</t>
    </r>
  </si>
  <si>
    <t>下面是; PET125 材料</t>
  </si>
  <si>
    <t>PET125#</t>
  </si>
  <si>
    <r>
      <t>3</t>
    </r>
    <r>
      <rPr>
        <sz val="12"/>
        <rFont val="宋体"/>
        <charset val="134"/>
      </rPr>
      <t>90*265</t>
    </r>
  </si>
  <si>
    <t>E区架二，四层-2格</t>
  </si>
  <si>
    <t>330*220</t>
  </si>
  <si>
    <r>
      <t>26.03.26</t>
    </r>
    <r>
      <rPr>
        <b/>
        <sz val="10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</si>
  <si>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80*255</t>
    </r>
  </si>
  <si>
    <t>26.08.01</t>
  </si>
  <si>
    <r>
      <t>26.08.01</t>
    </r>
    <r>
      <rPr>
        <b/>
        <sz val="10"/>
        <color indexed="11"/>
        <rFont val="宋体"/>
        <charset val="134"/>
      </rPr>
      <t>盘点</t>
    </r>
  </si>
  <si>
    <r>
      <t>3</t>
    </r>
    <r>
      <rPr>
        <sz val="12"/>
        <rFont val="宋体"/>
        <charset val="134"/>
      </rPr>
      <t>30*250</t>
    </r>
  </si>
  <si>
    <t>330*280</t>
  </si>
  <si>
    <t>25.11.26</t>
  </si>
  <si>
    <r>
      <t>3</t>
    </r>
    <r>
      <rPr>
        <sz val="12"/>
        <rFont val="宋体"/>
        <charset val="134"/>
      </rPr>
      <t>40*340</t>
    </r>
  </si>
  <si>
    <r>
      <t>4</t>
    </r>
    <r>
      <rPr>
        <sz val="12"/>
        <rFont val="宋体"/>
        <charset val="134"/>
      </rPr>
      <t>10*210</t>
    </r>
  </si>
  <si>
    <t>26.01.01</t>
  </si>
  <si>
    <r>
      <t>26.01.01</t>
    </r>
    <r>
      <rPr>
        <b/>
        <sz val="10"/>
        <color indexed="11"/>
        <rFont val="宋体"/>
        <charset val="134"/>
      </rPr>
      <t>盘点</t>
    </r>
  </si>
  <si>
    <r>
      <t>5</t>
    </r>
    <r>
      <rPr>
        <sz val="12"/>
        <rFont val="宋体"/>
        <charset val="134"/>
      </rPr>
      <t>00*160</t>
    </r>
  </si>
  <si>
    <t>25.10.16</t>
  </si>
  <si>
    <r>
      <t>25.10.16</t>
    </r>
    <r>
      <rPr>
        <b/>
        <sz val="10"/>
        <color indexed="11"/>
        <rFont val="宋体"/>
        <charset val="134"/>
      </rPr>
      <t>盘点</t>
    </r>
  </si>
  <si>
    <r>
      <t>4</t>
    </r>
    <r>
      <rPr>
        <sz val="12"/>
        <rFont val="宋体"/>
        <charset val="134"/>
      </rPr>
      <t>80*280</t>
    </r>
  </si>
  <si>
    <t>26.05.11</t>
  </si>
  <si>
    <r>
      <t>26.05.11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</si>
  <si>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ST-822/823,下线</t>
    </r>
  </si>
  <si>
    <r>
      <t>4</t>
    </r>
    <r>
      <rPr>
        <sz val="12"/>
        <rFont val="宋体"/>
        <charset val="134"/>
      </rPr>
      <t>80*310</t>
    </r>
  </si>
  <si>
    <r>
      <t>4</t>
    </r>
    <r>
      <rPr>
        <sz val="12"/>
        <rFont val="宋体"/>
        <charset val="134"/>
      </rPr>
      <t>35*435</t>
    </r>
  </si>
  <si>
    <r>
      <t>T</t>
    </r>
    <r>
      <rPr>
        <sz val="12"/>
        <rFont val="宋体"/>
        <charset val="134"/>
      </rPr>
      <t>F-062</t>
    </r>
  </si>
  <si>
    <r>
      <t>5</t>
    </r>
    <r>
      <rPr>
        <sz val="12"/>
        <rFont val="宋体"/>
        <charset val="134"/>
      </rPr>
      <t>45*340</t>
    </r>
  </si>
  <si>
    <t>25.08.25</t>
  </si>
  <si>
    <r>
      <t>25.08.25</t>
    </r>
    <r>
      <rPr>
        <b/>
        <sz val="10"/>
        <color indexed="11"/>
        <rFont val="宋体"/>
        <charset val="134"/>
      </rPr>
      <t>盘点</t>
    </r>
  </si>
  <si>
    <r>
      <t>之前J</t>
    </r>
    <r>
      <rPr>
        <sz val="12"/>
        <rFont val="宋体"/>
        <charset val="134"/>
      </rPr>
      <t>ST-321/303,线路，</t>
    </r>
  </si>
  <si>
    <r>
      <t>5</t>
    </r>
    <r>
      <rPr>
        <sz val="12"/>
        <rFont val="宋体"/>
        <charset val="134"/>
      </rPr>
      <t>70*320</t>
    </r>
  </si>
  <si>
    <r>
      <t>26.01.22</t>
    </r>
    <r>
      <rPr>
        <b/>
        <sz val="10"/>
        <color indexed="11"/>
        <rFont val="宋体"/>
        <charset val="134"/>
      </rPr>
      <t>盘点</t>
    </r>
  </si>
  <si>
    <r>
      <t>5</t>
    </r>
    <r>
      <rPr>
        <sz val="12"/>
        <rFont val="宋体"/>
        <charset val="134"/>
      </rPr>
      <t>85*320</t>
    </r>
  </si>
  <si>
    <t>25.01.20</t>
  </si>
  <si>
    <r>
      <t>D区架一，一层-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</si>
  <si>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r>
      <t>26.03.12</t>
    </r>
    <r>
      <rPr>
        <b/>
        <sz val="10"/>
        <color indexed="11"/>
        <rFont val="宋体"/>
        <charset val="134"/>
      </rPr>
      <t>盘点</t>
    </r>
  </si>
  <si>
    <r>
      <t>G</t>
    </r>
    <r>
      <rPr>
        <sz val="12"/>
        <rFont val="宋体"/>
        <charset val="134"/>
      </rPr>
      <t>F-冲防水框</t>
    </r>
  </si>
  <si>
    <r>
      <t>26.08.04</t>
    </r>
    <r>
      <rPr>
        <b/>
        <sz val="10"/>
        <color indexed="11"/>
        <rFont val="宋体"/>
        <charset val="134"/>
      </rPr>
      <t>盘点</t>
    </r>
  </si>
  <si>
    <t>25.09.06</t>
  </si>
  <si>
    <r>
      <t>2</t>
    </r>
    <r>
      <rPr>
        <sz val="12"/>
        <rFont val="宋体"/>
        <charset val="134"/>
      </rPr>
      <t>5.10.27,一批次</t>
    </r>
  </si>
  <si>
    <t>25.03.08</t>
  </si>
  <si>
    <r>
      <t>25.05.27</t>
    </r>
    <r>
      <rPr>
        <b/>
        <sz val="10"/>
        <color indexed="11"/>
        <rFont val="宋体"/>
        <charset val="134"/>
      </rPr>
      <t>盘点</t>
    </r>
  </si>
  <si>
    <t>25.05.11</t>
  </si>
  <si>
    <t>提供米数</t>
  </si>
  <si>
    <r>
      <t>3</t>
    </r>
    <r>
      <rPr>
        <sz val="12"/>
        <rFont val="宋体"/>
        <charset val="134"/>
      </rPr>
      <t>00米，1卷</t>
    </r>
  </si>
  <si>
    <r>
      <t>25.03.22</t>
    </r>
    <r>
      <rPr>
        <b/>
        <sz val="10"/>
        <color indexed="11"/>
        <rFont val="宋体"/>
        <charset val="134"/>
      </rPr>
      <t>盘点</t>
    </r>
  </si>
  <si>
    <r>
      <t>26.07.11</t>
    </r>
    <r>
      <rPr>
        <b/>
        <sz val="10"/>
        <color indexed="11"/>
        <rFont val="宋体"/>
        <charset val="134"/>
      </rPr>
      <t>盘点</t>
    </r>
  </si>
  <si>
    <t>材料来料，没有标注是、米数， 所以入1米，先占用 米数宽度 格式</t>
  </si>
  <si>
    <t>25.04.22</t>
  </si>
  <si>
    <r>
      <t>25.04.22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</si>
  <si>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TT-829</t>
    </r>
  </si>
  <si>
    <r>
      <t>D</t>
    </r>
    <r>
      <rPr>
        <sz val="12"/>
        <rFont val="宋体"/>
        <charset val="134"/>
      </rPr>
      <t>K11PET125</t>
    </r>
  </si>
  <si>
    <t>下面是; PET188 材料</t>
  </si>
  <si>
    <t>PET188#</t>
  </si>
  <si>
    <r>
      <t>26.07.31</t>
    </r>
    <r>
      <rPr>
        <b/>
        <sz val="10"/>
        <color indexed="11"/>
        <rFont val="宋体"/>
        <charset val="134"/>
      </rPr>
      <t>盘点</t>
    </r>
  </si>
  <si>
    <t>D区架二，一层-2格</t>
  </si>
  <si>
    <r>
      <t>26.03.04</t>
    </r>
    <r>
      <rPr>
        <b/>
        <sz val="10"/>
        <color indexed="11"/>
        <rFont val="宋体"/>
        <charset val="134"/>
      </rPr>
      <t>盘点</t>
    </r>
  </si>
  <si>
    <t>放在退货区</t>
  </si>
  <si>
    <t>可能米数量不足?</t>
  </si>
  <si>
    <t>500*530</t>
  </si>
  <si>
    <t>24.09.11</t>
  </si>
  <si>
    <r>
      <t>25.01.20</t>
    </r>
    <r>
      <rPr>
        <b/>
        <sz val="10"/>
        <color indexed="11"/>
        <rFont val="宋体"/>
        <charset val="134"/>
      </rPr>
      <t>盘点</t>
    </r>
  </si>
  <si>
    <t>E区架二，四层-1格</t>
  </si>
  <si>
    <r>
      <t>下面是; PET</t>
    </r>
    <r>
      <rPr>
        <b/>
        <sz val="12"/>
        <color indexed="61"/>
        <rFont val="宋体"/>
        <charset val="134"/>
      </rPr>
      <t>250</t>
    </r>
    <r>
      <rPr>
        <b/>
        <sz val="12"/>
        <color indexed="12"/>
        <rFont val="宋体"/>
        <charset val="134"/>
      </rPr>
      <t xml:space="preserve"> 材料</t>
    </r>
  </si>
  <si>
    <t>PET250#（永安）</t>
  </si>
  <si>
    <t>24.08.07</t>
  </si>
  <si>
    <t>D区架一，一层-2格</t>
  </si>
  <si>
    <t>放 仓库</t>
  </si>
  <si>
    <t>放在走廊</t>
  </si>
  <si>
    <t>下面是; PET350 材料</t>
  </si>
  <si>
    <t>PET350#（成浩林）</t>
  </si>
  <si>
    <t>PET350#（永安）</t>
  </si>
  <si>
    <t>下面是; 离型膜  材料</t>
  </si>
  <si>
    <t>50#单面离型膜</t>
  </si>
  <si>
    <t>材料有多</t>
  </si>
  <si>
    <t>24.09.29盘点</t>
  </si>
  <si>
    <t>放在走廊印刷窗户旁边 卡板上</t>
  </si>
  <si>
    <t>24.08.07盘点</t>
  </si>
  <si>
    <r>
      <t>25.04.03</t>
    </r>
    <r>
      <rPr>
        <b/>
        <sz val="10"/>
        <color indexed="11"/>
        <rFont val="宋体"/>
        <charset val="134"/>
      </rPr>
      <t>盘点</t>
    </r>
  </si>
  <si>
    <r>
      <t>25.01.19</t>
    </r>
    <r>
      <rPr>
        <b/>
        <sz val="10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</si>
  <si>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10*160</t>
    </r>
  </si>
  <si>
    <r>
      <t>26.01.31</t>
    </r>
    <r>
      <rPr>
        <b/>
        <sz val="10"/>
        <color indexed="11"/>
        <rFont val="宋体"/>
        <charset val="134"/>
      </rPr>
      <t>盘点</t>
    </r>
  </si>
  <si>
    <r>
      <t>H</t>
    </r>
    <r>
      <rPr>
        <sz val="12"/>
        <rFont val="宋体"/>
        <charset val="134"/>
      </rPr>
      <t>ZLT-049/面板1</t>
    </r>
  </si>
  <si>
    <r>
      <t>G区架二，一层</t>
    </r>
    <r>
      <rPr>
        <b/>
        <sz val="9"/>
        <color indexed="12"/>
        <rFont val="宋体"/>
        <charset val="134"/>
      </rPr>
      <t>-</t>
    </r>
    <r>
      <rPr>
        <b/>
        <sz val="9"/>
        <rFont val="宋体"/>
        <charset val="134"/>
      </rPr>
      <t>格地板</t>
    </r>
  </si>
  <si>
    <r>
      <t>2</t>
    </r>
    <r>
      <rPr>
        <sz val="12"/>
        <rFont val="宋体"/>
        <charset val="134"/>
      </rPr>
      <t>70*258</t>
    </r>
  </si>
  <si>
    <t>410*305</t>
  </si>
  <si>
    <t>425*425</t>
  </si>
  <si>
    <t>现场数量，不足</t>
  </si>
  <si>
    <t>25.04.22盘点</t>
  </si>
  <si>
    <r>
      <t>J</t>
    </r>
    <r>
      <rPr>
        <sz val="12"/>
        <rFont val="宋体"/>
        <charset val="134"/>
      </rPr>
      <t xml:space="preserve">TT-829 </t>
    </r>
  </si>
  <si>
    <r>
      <t>26.07.09</t>
    </r>
    <r>
      <rPr>
        <b/>
        <sz val="10"/>
        <color indexed="11"/>
        <rFont val="宋体"/>
        <charset val="134"/>
      </rPr>
      <t>盘点</t>
    </r>
  </si>
  <si>
    <t>放在F区架一，一层一格</t>
  </si>
  <si>
    <r>
      <t>100#</t>
    </r>
    <r>
      <rPr>
        <sz val="12"/>
        <rFont val="宋体"/>
        <charset val="134"/>
      </rPr>
      <t>单面离型膜</t>
    </r>
  </si>
  <si>
    <r>
      <t>J</t>
    </r>
    <r>
      <rPr>
        <sz val="12"/>
        <rFont val="宋体"/>
        <charset val="134"/>
      </rPr>
      <t>TT-705,小边*1车</t>
    </r>
  </si>
  <si>
    <t>25.11.27</t>
  </si>
  <si>
    <r>
      <t>25.11.27</t>
    </r>
    <r>
      <rPr>
        <b/>
        <sz val="10"/>
        <color indexed="11"/>
        <rFont val="宋体"/>
        <charset val="134"/>
      </rPr>
      <t>盘点</t>
    </r>
  </si>
  <si>
    <r>
      <t>26.04.10</t>
    </r>
    <r>
      <rPr>
        <b/>
        <sz val="10"/>
        <color indexed="11"/>
        <rFont val="宋体"/>
        <charset val="134"/>
      </rPr>
      <t>盘点</t>
    </r>
  </si>
  <si>
    <t>25.10.20</t>
  </si>
  <si>
    <r>
      <t>25.10.20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</si>
  <si>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JX-162</t>
    </r>
  </si>
  <si>
    <r>
      <t>2</t>
    </r>
    <r>
      <rPr>
        <sz val="12"/>
        <rFont val="宋体"/>
        <charset val="134"/>
      </rPr>
      <t>6.07.09</t>
    </r>
  </si>
  <si>
    <r>
      <t>说明:材料切成</t>
    </r>
    <r>
      <rPr>
        <sz val="12"/>
        <rFont val="宋体"/>
        <charset val="134"/>
      </rPr>
      <t>=340宽</t>
    </r>
  </si>
  <si>
    <t>下面是; PET125/100 双面膜 材料</t>
  </si>
  <si>
    <r>
      <t>XT-125-2H</t>
    </r>
    <r>
      <rPr>
        <b/>
        <sz val="12"/>
        <color indexed="12"/>
        <rFont val="宋体"/>
        <charset val="134"/>
      </rPr>
      <t>(鑫信泰）</t>
    </r>
  </si>
  <si>
    <t>26.06.11</t>
  </si>
  <si>
    <r>
      <t>26.06.11</t>
    </r>
    <r>
      <rPr>
        <b/>
        <sz val="10"/>
        <color indexed="11"/>
        <rFont val="宋体"/>
        <charset val="134"/>
      </rPr>
      <t>盘点</t>
    </r>
  </si>
  <si>
    <r>
      <t>H区架一，一层</t>
    </r>
    <r>
      <rPr>
        <b/>
        <sz val="9"/>
        <color indexed="12"/>
        <rFont val="宋体"/>
        <charset val="134"/>
      </rPr>
      <t>-</t>
    </r>
    <r>
      <rPr>
        <b/>
        <sz val="9"/>
        <rFont val="宋体"/>
        <charset val="134"/>
      </rPr>
      <t>2格</t>
    </r>
  </si>
  <si>
    <r>
      <t>材料不足 ，大约-</t>
    </r>
    <r>
      <rPr>
        <sz val="12"/>
        <rFont val="宋体"/>
        <charset val="134"/>
      </rPr>
      <t>20</t>
    </r>
    <r>
      <rPr>
        <sz val="12"/>
        <rFont val="宋体"/>
        <charset val="134"/>
      </rPr>
      <t>M 左右</t>
    </r>
  </si>
  <si>
    <t>25.05.22</t>
  </si>
  <si>
    <r>
      <t>25.05.22</t>
    </r>
    <r>
      <rPr>
        <b/>
        <sz val="10"/>
        <color indexed="11"/>
        <rFont val="宋体"/>
        <charset val="134"/>
      </rPr>
      <t>盘点</t>
    </r>
  </si>
  <si>
    <t>JST-788 ,记录合格</t>
  </si>
  <si>
    <t>JST-737 ,记录合格</t>
  </si>
  <si>
    <t>25.09.12</t>
  </si>
  <si>
    <r>
      <t>25.12.06</t>
    </r>
    <r>
      <rPr>
        <b/>
        <sz val="10"/>
        <color indexed="11"/>
        <rFont val="宋体"/>
        <charset val="134"/>
      </rPr>
      <t>盘点</t>
    </r>
  </si>
  <si>
    <r>
      <t>PET</t>
    </r>
    <r>
      <rPr>
        <b/>
        <sz val="14"/>
        <color indexed="12"/>
        <rFont val="微软雅黑"/>
        <family val="2"/>
        <charset val="134"/>
      </rPr>
      <t>188</t>
    </r>
    <r>
      <rPr>
        <b/>
        <sz val="12"/>
        <color indexed="12"/>
        <rFont val="微软雅黑"/>
        <family val="2"/>
        <charset val="134"/>
      </rPr>
      <t>#单面加硬</t>
    </r>
    <r>
      <rPr>
        <b/>
        <sz val="12"/>
        <rFont val="宋体"/>
        <charset val="134"/>
      </rPr>
      <t xml:space="preserve"> 双面复膜(拓图电子）</t>
    </r>
    <r>
      <rPr>
        <b/>
        <sz val="12"/>
        <color indexed="16"/>
        <rFont val="宋体"/>
        <charset val="134"/>
      </rPr>
      <t>）</t>
    </r>
  </si>
  <si>
    <r>
      <t>3</t>
    </r>
    <r>
      <rPr>
        <sz val="12"/>
        <rFont val="宋体"/>
        <charset val="134"/>
      </rPr>
      <t>75*260</t>
    </r>
  </si>
  <si>
    <t>26.05.12</t>
  </si>
  <si>
    <r>
      <t>26.05.12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</si>
  <si>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JX-159</t>
    </r>
  </si>
  <si>
    <r>
      <t>H区架一，三层</t>
    </r>
    <r>
      <rPr>
        <b/>
        <sz val="9"/>
        <color indexed="12"/>
        <rFont val="宋体"/>
        <charset val="134"/>
      </rPr>
      <t>-2</t>
    </r>
    <r>
      <rPr>
        <b/>
        <sz val="9"/>
        <rFont val="宋体"/>
        <charset val="134"/>
      </rPr>
      <t>格</t>
    </r>
  </si>
  <si>
    <r>
      <t>PET100#双面复膜(</t>
    </r>
    <r>
      <rPr>
        <b/>
        <sz val="12"/>
        <color indexed="16"/>
        <rFont val="宋体"/>
        <charset val="134"/>
      </rPr>
      <t>成浩林）</t>
    </r>
  </si>
  <si>
    <t>26.03.10</t>
  </si>
  <si>
    <r>
      <t>26.03.10</t>
    </r>
    <r>
      <rPr>
        <b/>
        <sz val="10"/>
        <color indexed="11"/>
        <rFont val="宋体"/>
        <charset val="134"/>
      </rPr>
      <t>盘点</t>
    </r>
  </si>
  <si>
    <r>
      <t>PET125#双面复膜(</t>
    </r>
    <r>
      <rPr>
        <b/>
        <sz val="12"/>
        <color indexed="16"/>
        <rFont val="宋体"/>
        <charset val="134"/>
      </rPr>
      <t>成浩林）</t>
    </r>
  </si>
  <si>
    <r>
      <t>4</t>
    </r>
    <r>
      <rPr>
        <sz val="12"/>
        <rFont val="宋体"/>
        <charset val="134"/>
      </rPr>
      <t>45*305</t>
    </r>
  </si>
  <si>
    <r>
      <t>26.06.12</t>
    </r>
    <r>
      <rPr>
        <b/>
        <sz val="10"/>
        <color indexed="11"/>
        <rFont val="宋体"/>
        <charset val="134"/>
      </rPr>
      <t>盘点</t>
    </r>
  </si>
  <si>
    <r>
      <t>PET125-PY3M 没有保护膜</t>
    </r>
    <r>
      <rPr>
        <b/>
        <sz val="12"/>
        <color indexed="12"/>
        <rFont val="宋体"/>
        <charset val="134"/>
      </rPr>
      <t>(暂放</t>
    </r>
    <r>
      <rPr>
        <b/>
        <sz val="12"/>
        <color indexed="10"/>
        <rFont val="宋体"/>
        <charset val="134"/>
      </rPr>
      <t>鑫信泰</t>
    </r>
    <r>
      <rPr>
        <b/>
        <sz val="12"/>
        <color indexed="12"/>
        <rFont val="宋体"/>
        <charset val="134"/>
      </rPr>
      <t>）</t>
    </r>
  </si>
  <si>
    <t>可以用于面板，隔片，不能用印线路</t>
  </si>
  <si>
    <t>下面是; PET188双面膜 材料</t>
  </si>
  <si>
    <t>PET188双面复膜(XXT)</t>
  </si>
  <si>
    <r>
      <t>340*</t>
    </r>
    <r>
      <rPr>
        <sz val="12"/>
        <rFont val="宋体"/>
        <charset val="134"/>
      </rPr>
      <t>4</t>
    </r>
    <r>
      <rPr>
        <sz val="12"/>
        <rFont val="宋体"/>
        <charset val="134"/>
      </rPr>
      <t>65</t>
    </r>
  </si>
  <si>
    <r>
      <t>26.01.27</t>
    </r>
    <r>
      <rPr>
        <b/>
        <sz val="10"/>
        <color indexed="11"/>
        <rFont val="宋体"/>
        <charset val="134"/>
      </rPr>
      <t>盘点</t>
    </r>
  </si>
  <si>
    <r>
      <t>H区架一，三层</t>
    </r>
    <r>
      <rPr>
        <b/>
        <sz val="9"/>
        <color indexed="12"/>
        <rFont val="宋体"/>
        <charset val="134"/>
      </rPr>
      <t>-1</t>
    </r>
    <r>
      <rPr>
        <b/>
        <sz val="9"/>
        <rFont val="宋体"/>
        <charset val="134"/>
      </rPr>
      <t>格</t>
    </r>
  </si>
  <si>
    <r>
      <t>335*</t>
    </r>
    <r>
      <rPr>
        <sz val="12"/>
        <rFont val="宋体"/>
        <charset val="134"/>
      </rPr>
      <t>4</t>
    </r>
    <r>
      <rPr>
        <sz val="12"/>
        <rFont val="宋体"/>
        <charset val="134"/>
      </rPr>
      <t>65</t>
    </r>
  </si>
  <si>
    <t>26.04.01</t>
  </si>
  <si>
    <r>
      <t>26.04.01</t>
    </r>
    <r>
      <rPr>
        <b/>
        <sz val="10"/>
        <color indexed="11"/>
        <rFont val="宋体"/>
        <charset val="134"/>
      </rPr>
      <t>盘点</t>
    </r>
  </si>
  <si>
    <r>
      <t>338*</t>
    </r>
    <r>
      <rPr>
        <sz val="12"/>
        <rFont val="宋体"/>
        <charset val="134"/>
      </rPr>
      <t>4</t>
    </r>
    <r>
      <rPr>
        <sz val="12"/>
        <rFont val="宋体"/>
        <charset val="134"/>
      </rPr>
      <t>65</t>
    </r>
  </si>
  <si>
    <t>26.03.18</t>
  </si>
  <si>
    <r>
      <t>26.03.18</t>
    </r>
    <r>
      <rPr>
        <b/>
        <sz val="10"/>
        <color indexed="11"/>
        <rFont val="宋体"/>
        <charset val="134"/>
      </rPr>
      <t>盘点</t>
    </r>
  </si>
  <si>
    <t>265*370</t>
  </si>
  <si>
    <r>
      <t>26.04.02</t>
    </r>
    <r>
      <rPr>
        <b/>
        <sz val="10"/>
        <color indexed="11"/>
        <rFont val="宋体"/>
        <charset val="134"/>
      </rPr>
      <t>盘点</t>
    </r>
  </si>
  <si>
    <r>
      <t>348*</t>
    </r>
    <r>
      <rPr>
        <sz val="12"/>
        <rFont val="宋体"/>
        <charset val="134"/>
      </rPr>
      <t>3</t>
    </r>
    <r>
      <rPr>
        <sz val="12"/>
        <rFont val="宋体"/>
        <charset val="134"/>
      </rPr>
      <t>80</t>
    </r>
  </si>
  <si>
    <t>350*380</t>
  </si>
  <si>
    <r>
      <t>3</t>
    </r>
    <r>
      <rPr>
        <sz val="12"/>
        <rFont val="宋体"/>
        <charset val="134"/>
      </rPr>
      <t>54*435</t>
    </r>
  </si>
  <si>
    <r>
      <t>2</t>
    </r>
    <r>
      <rPr>
        <sz val="12"/>
        <rFont val="宋体"/>
        <charset val="134"/>
      </rPr>
      <t>58*445</t>
    </r>
  </si>
  <si>
    <r>
      <t>260*</t>
    </r>
    <r>
      <rPr>
        <sz val="12"/>
        <rFont val="宋体"/>
        <charset val="134"/>
      </rPr>
      <t>4</t>
    </r>
    <r>
      <rPr>
        <sz val="12"/>
        <rFont val="宋体"/>
        <charset val="134"/>
      </rPr>
      <t>55</t>
    </r>
  </si>
  <si>
    <r>
      <t>PET188#双面复膜</t>
    </r>
    <r>
      <rPr>
        <b/>
        <sz val="12"/>
        <color indexed="12"/>
        <rFont val="宋体"/>
        <charset val="134"/>
      </rPr>
      <t>(CHL）</t>
    </r>
  </si>
  <si>
    <r>
      <t>26.03.13</t>
    </r>
    <r>
      <rPr>
        <b/>
        <sz val="10"/>
        <color indexed="11"/>
        <rFont val="宋体"/>
        <charset val="134"/>
      </rPr>
      <t>盘点</t>
    </r>
  </si>
  <si>
    <t>26.07.08</t>
  </si>
  <si>
    <r>
      <t>26.07.08</t>
    </r>
    <r>
      <rPr>
        <b/>
        <sz val="10"/>
        <color indexed="11"/>
        <rFont val="宋体"/>
        <charset val="134"/>
      </rPr>
      <t>盘点</t>
    </r>
  </si>
  <si>
    <t>26.07.29</t>
  </si>
  <si>
    <r>
      <t>26.07.29</t>
    </r>
    <r>
      <rPr>
        <b/>
        <sz val="10"/>
        <color indexed="11"/>
        <rFont val="宋体"/>
        <charset val="134"/>
      </rPr>
      <t>盘点</t>
    </r>
  </si>
  <si>
    <t>26.01.17</t>
  </si>
  <si>
    <r>
      <t>26.01.17</t>
    </r>
    <r>
      <rPr>
        <b/>
        <sz val="10"/>
        <color indexed="11"/>
        <rFont val="宋体"/>
        <charset val="134"/>
      </rPr>
      <t>盘点</t>
    </r>
  </si>
  <si>
    <r>
      <t>26.01.12</t>
    </r>
    <r>
      <rPr>
        <b/>
        <sz val="10"/>
        <color indexed="11"/>
        <rFont val="宋体"/>
        <charset val="134"/>
      </rPr>
      <t>盘点</t>
    </r>
  </si>
  <si>
    <t>26.01.27</t>
  </si>
  <si>
    <r>
      <t>5</t>
    </r>
    <r>
      <rPr>
        <sz val="12"/>
        <rFont val="宋体"/>
        <charset val="134"/>
      </rPr>
      <t>35*385</t>
    </r>
  </si>
  <si>
    <r>
      <t>PET188#双面复膜-</t>
    </r>
    <r>
      <rPr>
        <b/>
        <sz val="12"/>
        <color indexed="12"/>
        <rFont val="宋体"/>
        <charset val="134"/>
      </rPr>
      <t>PY3</t>
    </r>
    <r>
      <rPr>
        <b/>
        <sz val="12"/>
        <rFont val="宋体"/>
        <charset val="134"/>
      </rPr>
      <t>(</t>
    </r>
    <r>
      <rPr>
        <b/>
        <sz val="12"/>
        <color indexed="12"/>
        <rFont val="宋体"/>
        <charset val="134"/>
      </rPr>
      <t>CHL</t>
    </r>
    <r>
      <rPr>
        <b/>
        <sz val="12"/>
        <rFont val="宋体"/>
        <charset val="134"/>
      </rPr>
      <t>）</t>
    </r>
  </si>
  <si>
    <t>23.07.08</t>
  </si>
  <si>
    <r>
      <t>25.06.23</t>
    </r>
    <r>
      <rPr>
        <b/>
        <sz val="10"/>
        <color indexed="11"/>
        <rFont val="宋体"/>
        <charset val="134"/>
      </rPr>
      <t>盘点</t>
    </r>
  </si>
  <si>
    <r>
      <t>PET188#</t>
    </r>
    <r>
      <rPr>
        <b/>
        <sz val="12"/>
        <color indexed="10"/>
        <rFont val="宋体"/>
        <charset val="134"/>
      </rPr>
      <t>防雾</t>
    </r>
    <r>
      <rPr>
        <b/>
        <sz val="12"/>
        <rFont val="宋体"/>
        <charset val="134"/>
      </rPr>
      <t>双面复膜(</t>
    </r>
    <r>
      <rPr>
        <b/>
        <sz val="12"/>
        <color indexed="16"/>
        <rFont val="宋体"/>
        <charset val="134"/>
      </rPr>
      <t>成浩林）</t>
    </r>
  </si>
  <si>
    <t>25.05.28</t>
  </si>
  <si>
    <r>
      <t>25.05.28</t>
    </r>
    <r>
      <rPr>
        <b/>
        <sz val="10"/>
        <color indexed="11"/>
        <rFont val="宋体"/>
        <charset val="134"/>
      </rPr>
      <t>盘点</t>
    </r>
  </si>
  <si>
    <r>
      <t>H区架一，一层</t>
    </r>
    <r>
      <rPr>
        <b/>
        <sz val="9"/>
        <color indexed="12"/>
        <rFont val="宋体"/>
        <charset val="134"/>
      </rPr>
      <t>-1</t>
    </r>
    <r>
      <rPr>
        <b/>
        <sz val="9"/>
        <rFont val="宋体"/>
        <charset val="134"/>
      </rPr>
      <t>格</t>
    </r>
  </si>
  <si>
    <t>下面是; PET250双面膜 材料</t>
  </si>
  <si>
    <t>PET250双面复膜(XXT)</t>
  </si>
  <si>
    <r>
      <t>26.07.13</t>
    </r>
    <r>
      <rPr>
        <b/>
        <sz val="10"/>
        <color indexed="11"/>
        <rFont val="宋体"/>
        <charset val="134"/>
      </rPr>
      <t>盘点</t>
    </r>
  </si>
  <si>
    <t>26.03.19</t>
  </si>
  <si>
    <r>
      <t>PET250#双面复膜(</t>
    </r>
    <r>
      <rPr>
        <b/>
        <sz val="12"/>
        <color indexed="16"/>
        <rFont val="微软雅黑"/>
        <family val="2"/>
        <charset val="134"/>
      </rPr>
      <t>CHL）</t>
    </r>
  </si>
  <si>
    <t>25.11.28</t>
  </si>
  <si>
    <r>
      <t>25.11.28</t>
    </r>
    <r>
      <rPr>
        <b/>
        <sz val="10"/>
        <color indexed="11"/>
        <rFont val="宋体"/>
        <charset val="134"/>
      </rPr>
      <t>盘点</t>
    </r>
  </si>
  <si>
    <t>0.254mm青稞纸(固邦)</t>
  </si>
  <si>
    <t>23.07.07</t>
  </si>
  <si>
    <t>H区架二，一层-1格</t>
  </si>
  <si>
    <r>
      <t>下面是; PET250</t>
    </r>
    <r>
      <rPr>
        <b/>
        <sz val="12"/>
        <color indexed="14"/>
        <rFont val="宋体"/>
        <charset val="134"/>
      </rPr>
      <t>单面膜</t>
    </r>
    <r>
      <rPr>
        <b/>
        <sz val="12"/>
        <color indexed="12"/>
        <rFont val="宋体"/>
        <charset val="134"/>
      </rPr>
      <t xml:space="preserve"> 材料</t>
    </r>
  </si>
  <si>
    <r>
      <t>PET250#</t>
    </r>
    <r>
      <rPr>
        <b/>
        <sz val="12"/>
        <color indexed="10"/>
        <rFont val="宋体"/>
        <charset val="134"/>
      </rPr>
      <t>单</t>
    </r>
    <r>
      <rPr>
        <b/>
        <sz val="12"/>
        <rFont val="宋体"/>
        <charset val="134"/>
      </rPr>
      <t>面加硬（</t>
    </r>
    <r>
      <rPr>
        <b/>
        <sz val="12"/>
        <color indexed="20"/>
        <rFont val="宋体"/>
        <charset val="134"/>
      </rPr>
      <t>永安</t>
    </r>
    <r>
      <rPr>
        <b/>
        <sz val="12"/>
        <rFont val="宋体"/>
        <charset val="134"/>
      </rPr>
      <t>)</t>
    </r>
  </si>
  <si>
    <t>JST-800/,调机料</t>
  </si>
  <si>
    <r>
      <t>PET250#</t>
    </r>
    <r>
      <rPr>
        <b/>
        <sz val="12"/>
        <color indexed="10"/>
        <rFont val="宋体"/>
        <charset val="134"/>
      </rPr>
      <t>单</t>
    </r>
    <r>
      <rPr>
        <b/>
        <sz val="12"/>
        <rFont val="宋体"/>
        <charset val="134"/>
      </rPr>
      <t>面复膜(</t>
    </r>
    <r>
      <rPr>
        <b/>
        <sz val="12"/>
        <color indexed="16"/>
        <rFont val="宋体"/>
        <charset val="134"/>
      </rPr>
      <t>成浩林）</t>
    </r>
  </si>
  <si>
    <r>
      <t>4</t>
    </r>
    <r>
      <rPr>
        <sz val="12"/>
        <rFont val="宋体"/>
        <charset val="134"/>
      </rPr>
      <t>60*480</t>
    </r>
  </si>
  <si>
    <t>JJX-013,隔片</t>
  </si>
  <si>
    <t>PET250#复单膜</t>
  </si>
  <si>
    <t>460*190</t>
  </si>
  <si>
    <t>下面是：各型号 离型纸  材料</t>
  </si>
  <si>
    <t>160g白色离型纸</t>
  </si>
  <si>
    <t>26.04.22</t>
  </si>
  <si>
    <r>
      <t>J</t>
    </r>
    <r>
      <rPr>
        <sz val="12"/>
        <rFont val="宋体"/>
        <charset val="134"/>
      </rPr>
      <t>ST-501,正面用</t>
    </r>
  </si>
  <si>
    <r>
      <t>D区架一，二层-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</si>
  <si>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r>
      <t>26.07.27</t>
    </r>
    <r>
      <rPr>
        <b/>
        <sz val="10"/>
        <color indexed="11"/>
        <rFont val="宋体"/>
        <charset val="134"/>
      </rPr>
      <t>盘点</t>
    </r>
  </si>
  <si>
    <r>
      <t>F</t>
    </r>
    <r>
      <rPr>
        <sz val="12"/>
        <rFont val="宋体"/>
        <charset val="134"/>
      </rPr>
      <t>LD-086</t>
    </r>
  </si>
  <si>
    <r>
      <t>26.06.18</t>
    </r>
    <r>
      <rPr>
        <b/>
        <sz val="10"/>
        <color indexed="11"/>
        <rFont val="宋体"/>
        <charset val="134"/>
      </rPr>
      <t>盘点</t>
    </r>
  </si>
  <si>
    <r>
      <t>Y</t>
    </r>
    <r>
      <rPr>
        <sz val="12"/>
        <rFont val="宋体"/>
        <charset val="134"/>
      </rPr>
      <t>L-871</t>
    </r>
  </si>
  <si>
    <t>26.01.13</t>
  </si>
  <si>
    <r>
      <t>26.04.22</t>
    </r>
    <r>
      <rPr>
        <b/>
        <sz val="10"/>
        <color indexed="11"/>
        <rFont val="宋体"/>
        <charset val="134"/>
      </rPr>
      <t>盘点</t>
    </r>
  </si>
  <si>
    <t>187*490</t>
  </si>
  <si>
    <r>
      <t>赶紧利用，X</t>
    </r>
    <r>
      <rPr>
        <sz val="12"/>
        <rFont val="宋体"/>
        <charset val="134"/>
      </rPr>
      <t>BQ</t>
    </r>
  </si>
  <si>
    <t>G区架二，一层-2格</t>
  </si>
  <si>
    <t>350*415</t>
  </si>
  <si>
    <t>120g进口黄色离型纸</t>
  </si>
  <si>
    <r>
      <t>4</t>
    </r>
    <r>
      <rPr>
        <sz val="12"/>
        <rFont val="宋体"/>
        <charset val="134"/>
      </rPr>
      <t>15*560</t>
    </r>
  </si>
  <si>
    <r>
      <t>25.09.29</t>
    </r>
    <r>
      <rPr>
        <b/>
        <sz val="10"/>
        <color indexed="11"/>
        <rFont val="宋体"/>
        <charset val="134"/>
      </rPr>
      <t>盘点</t>
    </r>
  </si>
  <si>
    <t>余下材料在加工</t>
  </si>
  <si>
    <t>25.07.22</t>
  </si>
  <si>
    <r>
      <t>25.07.22</t>
    </r>
    <r>
      <rPr>
        <b/>
        <sz val="10"/>
        <color indexed="11"/>
        <rFont val="宋体"/>
        <charset val="134"/>
      </rPr>
      <t>盘点</t>
    </r>
  </si>
  <si>
    <r>
      <t>26.03.17</t>
    </r>
    <r>
      <rPr>
        <b/>
        <sz val="10"/>
        <color indexed="11"/>
        <rFont val="宋体"/>
        <charset val="134"/>
      </rPr>
      <t>盘点</t>
    </r>
  </si>
  <si>
    <t>26.07.07</t>
  </si>
  <si>
    <r>
      <t>K</t>
    </r>
    <r>
      <rPr>
        <sz val="12"/>
        <rFont val="宋体"/>
        <charset val="134"/>
      </rPr>
      <t>C-199/256</t>
    </r>
  </si>
  <si>
    <t>26.05.27</t>
  </si>
  <si>
    <r>
      <t>26.05.27</t>
    </r>
    <r>
      <rPr>
        <b/>
        <sz val="10"/>
        <color indexed="11"/>
        <rFont val="宋体"/>
        <charset val="134"/>
      </rPr>
      <t>盘点</t>
    </r>
  </si>
  <si>
    <t>26.06.06</t>
  </si>
  <si>
    <t>26.06.30</t>
  </si>
  <si>
    <r>
      <t>26.06.30</t>
    </r>
    <r>
      <rPr>
        <b/>
        <sz val="10"/>
        <color indexed="11"/>
        <rFont val="宋体"/>
        <charset val="134"/>
      </rPr>
      <t>盘点</t>
    </r>
  </si>
  <si>
    <r>
      <t>26.07.15</t>
    </r>
    <r>
      <rPr>
        <b/>
        <sz val="10"/>
        <color indexed="11"/>
        <rFont val="宋体"/>
        <charset val="134"/>
      </rPr>
      <t>盘点</t>
    </r>
  </si>
  <si>
    <t>D区架一，二层-2格</t>
  </si>
  <si>
    <t>25.11.13</t>
  </si>
  <si>
    <r>
      <t>25.11.13</t>
    </r>
    <r>
      <rPr>
        <b/>
        <sz val="10"/>
        <color indexed="11"/>
        <rFont val="宋体"/>
        <charset val="134"/>
      </rPr>
      <t>盘点</t>
    </r>
  </si>
  <si>
    <r>
      <t>26.07.07</t>
    </r>
    <r>
      <rPr>
        <b/>
        <sz val="10"/>
        <color indexed="11"/>
        <rFont val="宋体"/>
        <charset val="134"/>
      </rPr>
      <t>盘点</t>
    </r>
  </si>
  <si>
    <t>26.05.21</t>
  </si>
  <si>
    <r>
      <t>26.04.14</t>
    </r>
    <r>
      <rPr>
        <b/>
        <sz val="10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</si>
  <si>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6.07.07</t>
    </r>
  </si>
  <si>
    <r>
      <t>26.06.06</t>
    </r>
    <r>
      <rPr>
        <b/>
        <sz val="10"/>
        <color indexed="11"/>
        <rFont val="宋体"/>
        <charset val="134"/>
      </rPr>
      <t>盘点</t>
    </r>
  </si>
  <si>
    <t>26.07.17</t>
  </si>
  <si>
    <r>
      <t>2</t>
    </r>
    <r>
      <rPr>
        <sz val="12"/>
        <rFont val="宋体"/>
        <charset val="134"/>
      </rPr>
      <t>6.07.31</t>
    </r>
  </si>
  <si>
    <t>26.03.17</t>
  </si>
  <si>
    <t>26.07.15</t>
  </si>
  <si>
    <r>
      <t>26.07.17</t>
    </r>
    <r>
      <rPr>
        <b/>
        <sz val="10"/>
        <color indexed="11"/>
        <rFont val="宋体"/>
        <charset val="134"/>
      </rPr>
      <t>盘点</t>
    </r>
  </si>
  <si>
    <r>
      <t>26.03.19</t>
    </r>
    <r>
      <rPr>
        <b/>
        <sz val="10"/>
        <color indexed="11"/>
        <rFont val="宋体"/>
        <charset val="134"/>
      </rPr>
      <t>盘点</t>
    </r>
  </si>
  <si>
    <t>架子 位置放满</t>
  </si>
  <si>
    <t xml:space="preserve"> </t>
  </si>
  <si>
    <r>
      <t>120g进口黄色离型纸</t>
    </r>
    <r>
      <rPr>
        <sz val="12"/>
        <rFont val="宋体"/>
        <charset val="134"/>
      </rPr>
      <t xml:space="preserve"> </t>
    </r>
  </si>
  <si>
    <t>贴箱书写标签纸黄底</t>
  </si>
  <si>
    <r>
      <t>4</t>
    </r>
    <r>
      <rPr>
        <sz val="12"/>
        <rFont val="宋体"/>
        <charset val="134"/>
      </rPr>
      <t>00*2卷</t>
    </r>
  </si>
  <si>
    <r>
      <t>90g</t>
    </r>
    <r>
      <rPr>
        <b/>
        <sz val="12"/>
        <color indexed="8"/>
        <rFont val="宋体"/>
        <charset val="134"/>
      </rPr>
      <t>进口黄色离型纸</t>
    </r>
  </si>
  <si>
    <t>24.07.29</t>
  </si>
  <si>
    <r>
      <t>IYHG95-15/90g国产</t>
    </r>
    <r>
      <rPr>
        <b/>
        <sz val="12"/>
        <color indexed="8"/>
        <rFont val="宋体"/>
        <charset val="134"/>
      </rPr>
      <t>黄色离型纸</t>
    </r>
    <r>
      <rPr>
        <b/>
        <sz val="12"/>
        <color indexed="12"/>
        <rFont val="宋体"/>
        <charset val="134"/>
      </rPr>
      <t>10-15g</t>
    </r>
  </si>
  <si>
    <r>
      <t>25.06.20</t>
    </r>
    <r>
      <rPr>
        <b/>
        <sz val="10"/>
        <color indexed="11"/>
        <rFont val="宋体"/>
        <charset val="134"/>
      </rPr>
      <t>盘点</t>
    </r>
  </si>
  <si>
    <r>
      <t>25.11.20</t>
    </r>
    <r>
      <rPr>
        <b/>
        <sz val="10"/>
        <color indexed="11"/>
        <rFont val="宋体"/>
        <charset val="134"/>
      </rPr>
      <t>盘点</t>
    </r>
  </si>
  <si>
    <r>
      <t>有=</t>
    </r>
    <r>
      <rPr>
        <sz val="12"/>
        <rFont val="宋体"/>
        <charset val="134"/>
      </rPr>
      <t>440*8，在印刷</t>
    </r>
  </si>
  <si>
    <t>80*360</t>
  </si>
  <si>
    <t>420*560</t>
  </si>
  <si>
    <t>TOBB-295,线路用</t>
  </si>
  <si>
    <t>560*415</t>
  </si>
  <si>
    <t>157g双铜纸（西卡纸）</t>
  </si>
  <si>
    <t>205*280</t>
  </si>
  <si>
    <t>24.08.21</t>
  </si>
  <si>
    <t>要确认数量,总共看见一包</t>
  </si>
  <si>
    <r>
      <t>G区架二，</t>
    </r>
    <r>
      <rPr>
        <b/>
        <sz val="9"/>
        <color indexed="12"/>
        <rFont val="宋体"/>
        <charset val="134"/>
      </rPr>
      <t>顶层</t>
    </r>
    <r>
      <rPr>
        <b/>
        <sz val="9"/>
        <rFont val="宋体"/>
        <charset val="134"/>
      </rPr>
      <t>-1格</t>
    </r>
  </si>
  <si>
    <t>190*250</t>
  </si>
  <si>
    <t>下面是：各型号 保护膜  材料</t>
  </si>
  <si>
    <t>下面是; 15C 保护膜 材料</t>
  </si>
  <si>
    <r>
      <t>15C PE保护膜</t>
    </r>
    <r>
      <rPr>
        <sz val="12"/>
        <color indexed="12"/>
        <rFont val="宋体"/>
        <charset val="134"/>
      </rPr>
      <t>(</t>
    </r>
    <r>
      <rPr>
        <sz val="12"/>
        <color indexed="10"/>
        <rFont val="宋体"/>
        <charset val="134"/>
      </rPr>
      <t>宏裕</t>
    </r>
    <r>
      <rPr>
        <sz val="12"/>
        <color indexed="12"/>
        <rFont val="宋体"/>
        <charset val="134"/>
      </rPr>
      <t>)</t>
    </r>
  </si>
  <si>
    <r>
      <t>26.04.09</t>
    </r>
    <r>
      <rPr>
        <b/>
        <sz val="10"/>
        <color indexed="11"/>
        <rFont val="宋体"/>
        <charset val="134"/>
      </rPr>
      <t>盘点</t>
    </r>
  </si>
  <si>
    <t>D区架二，三层-2格</t>
  </si>
  <si>
    <t>25.10.21</t>
  </si>
  <si>
    <r>
      <t xml:space="preserve"> </t>
    </r>
    <r>
      <rPr>
        <sz val="8"/>
        <rFont val="宋体"/>
        <charset val="134"/>
      </rPr>
      <t>15C 按照=100M 1 卷结算</t>
    </r>
  </si>
  <si>
    <t>25.10.13</t>
  </si>
  <si>
    <t>26.04.09</t>
  </si>
  <si>
    <t>25.06.10</t>
  </si>
  <si>
    <r>
      <t>25.06.10</t>
    </r>
    <r>
      <rPr>
        <b/>
        <sz val="10"/>
        <color indexed="11"/>
        <rFont val="宋体"/>
        <charset val="134"/>
      </rPr>
      <t>盘点</t>
    </r>
  </si>
  <si>
    <t>下面是; 1010 保护膜 材料</t>
  </si>
  <si>
    <r>
      <t>1010#中粘PE保护膜</t>
    </r>
    <r>
      <rPr>
        <sz val="12"/>
        <color indexed="12"/>
        <rFont val="宋体"/>
        <charset val="134"/>
      </rPr>
      <t>(</t>
    </r>
    <r>
      <rPr>
        <sz val="12"/>
        <color indexed="10"/>
        <rFont val="宋体"/>
        <charset val="134"/>
      </rPr>
      <t>宏裕</t>
    </r>
    <r>
      <rPr>
        <sz val="12"/>
        <color indexed="12"/>
        <rFont val="宋体"/>
        <charset val="134"/>
      </rPr>
      <t>)</t>
    </r>
  </si>
  <si>
    <t>24.08.17</t>
  </si>
  <si>
    <r>
      <t xml:space="preserve"> </t>
    </r>
    <r>
      <rPr>
        <sz val="8"/>
        <rFont val="宋体"/>
        <charset val="134"/>
      </rPr>
      <t>1010 按照=200M 1 卷结算</t>
    </r>
  </si>
  <si>
    <t>下面是; T4901保护膜 材料</t>
  </si>
  <si>
    <r>
      <t>T4901PET保护膜</t>
    </r>
    <r>
      <rPr>
        <sz val="12"/>
        <color indexed="12"/>
        <rFont val="宋体"/>
        <charset val="134"/>
      </rPr>
      <t>(华安)</t>
    </r>
  </si>
  <si>
    <t>24.12.10</t>
  </si>
  <si>
    <t>D区架二，三层-1格</t>
  </si>
  <si>
    <t>24.07.30</t>
  </si>
  <si>
    <r>
      <t>26.05.30</t>
    </r>
    <r>
      <rPr>
        <b/>
        <sz val="10"/>
        <color indexed="11"/>
        <rFont val="宋体"/>
        <charset val="134"/>
      </rPr>
      <t>盘点</t>
    </r>
  </si>
  <si>
    <r>
      <t>25.03.20</t>
    </r>
    <r>
      <rPr>
        <b/>
        <sz val="10"/>
        <color indexed="11"/>
        <rFont val="宋体"/>
        <charset val="134"/>
      </rPr>
      <t>盘点</t>
    </r>
  </si>
  <si>
    <r>
      <t>26.07.22</t>
    </r>
    <r>
      <rPr>
        <b/>
        <sz val="10"/>
        <color indexed="11"/>
        <rFont val="宋体"/>
        <charset val="134"/>
      </rPr>
      <t>盘点</t>
    </r>
  </si>
  <si>
    <r>
      <t>膜可能在印刷/</t>
    </r>
    <r>
      <rPr>
        <sz val="12"/>
        <rFont val="宋体"/>
        <charset val="134"/>
      </rPr>
      <t>?</t>
    </r>
  </si>
  <si>
    <r>
      <t>J</t>
    </r>
    <r>
      <rPr>
        <sz val="12"/>
        <rFont val="宋体"/>
        <charset val="134"/>
      </rPr>
      <t>ST-820/ZQ-111</t>
    </r>
  </si>
  <si>
    <t>26.07.06</t>
  </si>
  <si>
    <r>
      <t>26.07.06</t>
    </r>
    <r>
      <rPr>
        <b/>
        <sz val="10"/>
        <color indexed="11"/>
        <rFont val="宋体"/>
        <charset val="134"/>
      </rPr>
      <t>盘点</t>
    </r>
  </si>
  <si>
    <r>
      <t>26.06.25</t>
    </r>
    <r>
      <rPr>
        <b/>
        <sz val="10"/>
        <color indexed="11"/>
        <rFont val="宋体"/>
        <charset val="134"/>
      </rPr>
      <t>盘点</t>
    </r>
  </si>
  <si>
    <r>
      <t>26.08.05</t>
    </r>
    <r>
      <rPr>
        <b/>
        <sz val="10"/>
        <color indexed="11"/>
        <rFont val="宋体"/>
        <charset val="134"/>
      </rPr>
      <t>盘点</t>
    </r>
  </si>
  <si>
    <t>26.07.14</t>
  </si>
  <si>
    <r>
      <t>26.07.14</t>
    </r>
    <r>
      <rPr>
        <b/>
        <sz val="10"/>
        <color indexed="11"/>
        <rFont val="宋体"/>
        <charset val="134"/>
      </rPr>
      <t>盘点</t>
    </r>
  </si>
  <si>
    <t>26.08.05</t>
  </si>
  <si>
    <t>在冲型，贴合机</t>
  </si>
  <si>
    <t>26.08.18</t>
  </si>
  <si>
    <t>26.01.26</t>
  </si>
  <si>
    <t>下面是; T6T8SJ 网格保护膜 材料</t>
  </si>
  <si>
    <r>
      <t>T6T8SJ网格PET保护膜（</t>
    </r>
    <r>
      <rPr>
        <sz val="12"/>
        <color indexed="10"/>
        <rFont val="宋体"/>
        <charset val="134"/>
      </rPr>
      <t>华安</t>
    </r>
    <r>
      <rPr>
        <sz val="12"/>
        <rFont val="宋体"/>
        <charset val="134"/>
      </rPr>
      <t>）</t>
    </r>
  </si>
  <si>
    <t>24.08.27</t>
  </si>
  <si>
    <t>26.04.15</t>
  </si>
  <si>
    <r>
      <t>26.04.15</t>
    </r>
    <r>
      <rPr>
        <b/>
        <sz val="10"/>
        <color indexed="11"/>
        <rFont val="宋体"/>
        <charset val="134"/>
      </rPr>
      <t>盘点</t>
    </r>
  </si>
  <si>
    <r>
      <t>Y</t>
    </r>
    <r>
      <rPr>
        <sz val="12"/>
        <rFont val="宋体"/>
        <charset val="134"/>
      </rPr>
      <t>L-1074</t>
    </r>
  </si>
  <si>
    <t>W-1S2540T-0  30-50g</t>
  </si>
  <si>
    <t>材料已用于委外加工贴合</t>
  </si>
  <si>
    <t>下面是; M4P800 砂面保护膜 材料</t>
  </si>
  <si>
    <r>
      <t>M4P800JD砂面PE保护膜</t>
    </r>
    <r>
      <rPr>
        <sz val="12"/>
        <color indexed="12"/>
        <rFont val="宋体"/>
        <charset val="134"/>
      </rPr>
      <t>(华安)</t>
    </r>
  </si>
  <si>
    <t>24.08.23</t>
  </si>
  <si>
    <t>下面是; 6+5透明硅胶膜保护膜</t>
  </si>
  <si>
    <t>6+5透明硅胶膜（鑫佑鑫）</t>
  </si>
  <si>
    <t>26.03.30</t>
  </si>
  <si>
    <r>
      <t>26.03.30</t>
    </r>
    <r>
      <rPr>
        <b/>
        <sz val="10"/>
        <color indexed="11"/>
        <rFont val="宋体"/>
        <charset val="134"/>
      </rPr>
      <t>盘点</t>
    </r>
  </si>
  <si>
    <t>D区架一，三层-2格</t>
  </si>
  <si>
    <t>26.07.18</t>
  </si>
  <si>
    <r>
      <t>J</t>
    </r>
    <r>
      <rPr>
        <sz val="12"/>
        <rFont val="宋体"/>
        <charset val="134"/>
      </rPr>
      <t>TT-238/239</t>
    </r>
  </si>
  <si>
    <t>下面是; 40J 保护膜 材料</t>
  </si>
  <si>
    <r>
      <t>40J低粘耐高温PE保护膜（</t>
    </r>
    <r>
      <rPr>
        <sz val="12"/>
        <color indexed="10"/>
        <rFont val="宋体"/>
        <charset val="134"/>
      </rPr>
      <t>鸿发</t>
    </r>
    <r>
      <rPr>
        <sz val="12"/>
        <rFont val="宋体"/>
        <charset val="134"/>
      </rPr>
      <t>）</t>
    </r>
  </si>
  <si>
    <t>26.04.23</t>
  </si>
  <si>
    <r>
      <t>26.04.23</t>
    </r>
    <r>
      <rPr>
        <b/>
        <sz val="10"/>
        <color indexed="11"/>
        <rFont val="宋体"/>
        <charset val="134"/>
      </rPr>
      <t>盘点</t>
    </r>
  </si>
  <si>
    <t>24.08.24</t>
  </si>
  <si>
    <t>YL-962</t>
  </si>
  <si>
    <t>25.12.02</t>
  </si>
  <si>
    <r>
      <t>26.03.27</t>
    </r>
    <r>
      <rPr>
        <b/>
        <sz val="10"/>
        <color indexed="11"/>
        <rFont val="宋体"/>
        <charset val="134"/>
      </rPr>
      <t>盘点</t>
    </r>
  </si>
  <si>
    <t>YL-733/757</t>
  </si>
  <si>
    <t>下面是; 60# 保护膜 材料</t>
  </si>
  <si>
    <r>
      <t>60#低粘PE保护膜</t>
    </r>
    <r>
      <rPr>
        <b/>
        <sz val="12"/>
        <color indexed="20"/>
        <rFont val="宋体"/>
        <charset val="134"/>
      </rPr>
      <t>(光大</t>
    </r>
    <r>
      <rPr>
        <b/>
        <sz val="12"/>
        <color indexed="57"/>
        <rFont val="宋体"/>
        <charset val="134"/>
      </rPr>
      <t>)</t>
    </r>
  </si>
  <si>
    <t>24.07.27</t>
  </si>
  <si>
    <t>下面是; 80# 保护膜 材料</t>
  </si>
  <si>
    <r>
      <t>80#中高粘PE保护膜</t>
    </r>
    <r>
      <rPr>
        <sz val="12"/>
        <color indexed="20"/>
        <rFont val="宋体"/>
        <charset val="134"/>
      </rPr>
      <t>(光大</t>
    </r>
    <r>
      <rPr>
        <sz val="12"/>
        <color indexed="57"/>
        <rFont val="宋体"/>
        <charset val="134"/>
      </rPr>
      <t>)</t>
    </r>
  </si>
  <si>
    <r>
      <t>80#中高粘PE保护膜</t>
    </r>
    <r>
      <rPr>
        <b/>
        <sz val="12"/>
        <color indexed="20"/>
        <rFont val="宋体"/>
        <charset val="134"/>
      </rPr>
      <t>(鸿发</t>
    </r>
    <r>
      <rPr>
        <b/>
        <sz val="12"/>
        <color indexed="57"/>
        <rFont val="宋体"/>
        <charset val="134"/>
      </rPr>
      <t>)</t>
    </r>
  </si>
  <si>
    <t>下面是; 1605# 保护膜 材料</t>
  </si>
  <si>
    <t>1605高粘PE保护膜（鸿发）</t>
  </si>
  <si>
    <t>24.10.16</t>
  </si>
  <si>
    <t>JTT-341/734/732</t>
  </si>
  <si>
    <t>下面是; 30# 保护膜 材料</t>
  </si>
  <si>
    <r>
      <t>30#低粘PE保护膜</t>
    </r>
    <r>
      <rPr>
        <sz val="12"/>
        <color indexed="20"/>
        <rFont val="宋体"/>
        <charset val="134"/>
      </rPr>
      <t>(光大)</t>
    </r>
  </si>
  <si>
    <t>24.07.31</t>
  </si>
  <si>
    <r>
      <t>30#低粘PE保护</t>
    </r>
    <r>
      <rPr>
        <b/>
        <sz val="12"/>
        <rFont val="宋体"/>
        <charset val="134"/>
      </rPr>
      <t>膜</t>
    </r>
    <r>
      <rPr>
        <b/>
        <sz val="12"/>
        <color indexed="20"/>
        <rFont val="宋体"/>
        <charset val="134"/>
      </rPr>
      <t>（鸿发）</t>
    </r>
  </si>
  <si>
    <t>24.12.16</t>
  </si>
  <si>
    <t>25.05.15</t>
  </si>
  <si>
    <r>
      <t>25.05.15</t>
    </r>
    <r>
      <rPr>
        <b/>
        <sz val="10"/>
        <color indexed="11"/>
        <rFont val="宋体"/>
        <charset val="134"/>
      </rPr>
      <t>盘点</t>
    </r>
  </si>
  <si>
    <t>YL-1004,用红发的比较好</t>
  </si>
  <si>
    <r>
      <t>020#进口</t>
    </r>
    <r>
      <rPr>
        <b/>
        <sz val="12"/>
        <color indexed="10"/>
        <rFont val="宋体"/>
        <charset val="134"/>
      </rPr>
      <t>蓝色</t>
    </r>
    <r>
      <rPr>
        <b/>
        <sz val="12"/>
        <color indexed="8"/>
        <rFont val="宋体"/>
        <charset val="134"/>
      </rPr>
      <t>PE保护膜（</t>
    </r>
    <r>
      <rPr>
        <b/>
        <sz val="12"/>
        <color indexed="10"/>
        <rFont val="宋体"/>
        <charset val="134"/>
      </rPr>
      <t>鸿发</t>
    </r>
    <r>
      <rPr>
        <b/>
        <sz val="12"/>
        <color indexed="8"/>
        <rFont val="宋体"/>
        <charset val="134"/>
      </rPr>
      <t>）</t>
    </r>
  </si>
  <si>
    <t>24.04.03</t>
  </si>
  <si>
    <r>
      <t>L</t>
    </r>
    <r>
      <rPr>
        <sz val="12"/>
        <rFont val="宋体"/>
        <charset val="134"/>
      </rPr>
      <t>J-179,用</t>
    </r>
  </si>
  <si>
    <t>下面是; 020# 保护膜 材料</t>
  </si>
  <si>
    <r>
      <t>020#进口PE保护膜（</t>
    </r>
    <r>
      <rPr>
        <sz val="12"/>
        <color indexed="10"/>
        <rFont val="宋体"/>
        <charset val="134"/>
      </rPr>
      <t>鸿发</t>
    </r>
    <r>
      <rPr>
        <sz val="12"/>
        <color indexed="8"/>
        <rFont val="宋体"/>
        <charset val="134"/>
      </rPr>
      <t>）</t>
    </r>
  </si>
  <si>
    <r>
      <t>26.04.11</t>
    </r>
    <r>
      <rPr>
        <b/>
        <sz val="10"/>
        <color indexed="11"/>
        <rFont val="宋体"/>
        <charset val="134"/>
      </rPr>
      <t>盘点</t>
    </r>
  </si>
  <si>
    <t>26.05.29</t>
  </si>
  <si>
    <r>
      <t>26.06.15</t>
    </r>
    <r>
      <rPr>
        <b/>
        <sz val="10"/>
        <color indexed="11"/>
        <rFont val="宋体"/>
        <charset val="134"/>
      </rPr>
      <t>盘点</t>
    </r>
  </si>
  <si>
    <r>
      <t>26.07.25</t>
    </r>
    <r>
      <rPr>
        <b/>
        <sz val="10"/>
        <color indexed="11"/>
        <rFont val="宋体"/>
        <charset val="134"/>
      </rPr>
      <t>盘点</t>
    </r>
  </si>
  <si>
    <t>26.06.15</t>
  </si>
  <si>
    <t>25.08.29</t>
  </si>
  <si>
    <t>25.03.06</t>
  </si>
  <si>
    <r>
      <t>K</t>
    </r>
    <r>
      <rPr>
        <sz val="12"/>
        <rFont val="宋体"/>
        <charset val="134"/>
      </rPr>
      <t>C-199</t>
    </r>
  </si>
  <si>
    <t>25.10.18</t>
  </si>
  <si>
    <r>
      <t>25.11.10</t>
    </r>
    <r>
      <rPr>
        <b/>
        <sz val="10"/>
        <color indexed="11"/>
        <rFont val="宋体"/>
        <charset val="134"/>
      </rPr>
      <t>盘点</t>
    </r>
  </si>
  <si>
    <t>下面是; 网纹 保护膜 材料</t>
  </si>
  <si>
    <t>网纹保护膜  (光大）</t>
  </si>
  <si>
    <t>26.07.25</t>
  </si>
  <si>
    <t>YL-871</t>
  </si>
  <si>
    <t>D区架一，三层-1格</t>
  </si>
  <si>
    <t>网状保护膜</t>
  </si>
  <si>
    <t>24.10.30</t>
  </si>
  <si>
    <t>HZLT-005/069</t>
  </si>
  <si>
    <t>下面是; P8181 保护膜 材料</t>
  </si>
  <si>
    <r>
      <t xml:space="preserve"> P8181中高粘PET保护膜</t>
    </r>
    <r>
      <rPr>
        <sz val="12"/>
        <color indexed="12"/>
        <rFont val="宋体"/>
        <charset val="134"/>
      </rPr>
      <t>(</t>
    </r>
    <r>
      <rPr>
        <sz val="12"/>
        <color indexed="10"/>
        <rFont val="宋体"/>
        <charset val="134"/>
      </rPr>
      <t>宏裕</t>
    </r>
    <r>
      <rPr>
        <sz val="12"/>
        <color indexed="12"/>
        <rFont val="宋体"/>
        <charset val="134"/>
      </rPr>
      <t>)</t>
    </r>
  </si>
  <si>
    <t>25.11.18</t>
  </si>
  <si>
    <r>
      <t>25.11.18</t>
    </r>
    <r>
      <rPr>
        <b/>
        <sz val="10"/>
        <color indexed="11"/>
        <rFont val="宋体"/>
        <charset val="134"/>
      </rPr>
      <t>盘点</t>
    </r>
  </si>
  <si>
    <t>YL-949/942,专用规格</t>
  </si>
  <si>
    <r>
      <t>26.03.25</t>
    </r>
    <r>
      <rPr>
        <b/>
        <sz val="10"/>
        <color indexed="11"/>
        <rFont val="宋体"/>
        <charset val="134"/>
      </rPr>
      <t>盘点</t>
    </r>
  </si>
  <si>
    <t>GF-516/433,共用规格</t>
  </si>
  <si>
    <t>YL-927,专用规格</t>
  </si>
  <si>
    <r>
      <t>25.10.21</t>
    </r>
    <r>
      <rPr>
        <b/>
        <sz val="10"/>
        <color indexed="11"/>
        <rFont val="宋体"/>
        <charset val="134"/>
      </rPr>
      <t>盘点</t>
    </r>
  </si>
  <si>
    <t>JTT-876</t>
  </si>
  <si>
    <t>下面是; WH-580-18 保护膜 材料</t>
  </si>
  <si>
    <r>
      <t>WH580-18中高粘PET保护膜（</t>
    </r>
    <r>
      <rPr>
        <sz val="12"/>
        <color indexed="10"/>
        <rFont val="宋体"/>
        <charset val="134"/>
      </rPr>
      <t>鸿发）</t>
    </r>
  </si>
  <si>
    <t>24.11.30</t>
  </si>
  <si>
    <r>
      <t>25.10.13</t>
    </r>
    <r>
      <rPr>
        <b/>
        <sz val="10"/>
        <color indexed="11"/>
        <rFont val="宋体"/>
        <charset val="134"/>
      </rPr>
      <t>盘点</t>
    </r>
  </si>
  <si>
    <t>下面是; T5060H4 保护膜 材料</t>
  </si>
  <si>
    <r>
      <t>T5060H4中高粘保护膜</t>
    </r>
    <r>
      <rPr>
        <sz val="12"/>
        <color indexed="12"/>
        <rFont val="宋体"/>
        <charset val="134"/>
      </rPr>
      <t>(华安)</t>
    </r>
  </si>
  <si>
    <r>
      <t>待D</t>
    </r>
    <r>
      <rPr>
        <sz val="12"/>
        <rFont val="宋体"/>
        <charset val="134"/>
      </rPr>
      <t>B-142 还回来</t>
    </r>
  </si>
  <si>
    <t>下面是; 5060XH 保护膜 材料</t>
  </si>
  <si>
    <r>
      <t>5060XH中高粘保护膜</t>
    </r>
    <r>
      <rPr>
        <b/>
        <sz val="12"/>
        <color indexed="12"/>
        <rFont val="宋体"/>
        <charset val="134"/>
      </rPr>
      <t>（</t>
    </r>
    <r>
      <rPr>
        <b/>
        <sz val="12"/>
        <color indexed="10"/>
        <rFont val="宋体"/>
        <charset val="134"/>
      </rPr>
      <t>鸿发</t>
    </r>
    <r>
      <rPr>
        <b/>
        <sz val="12"/>
        <color indexed="8"/>
        <rFont val="宋体"/>
        <charset val="134"/>
      </rPr>
      <t>）</t>
    </r>
  </si>
  <si>
    <t>0.05mm kapton ( 自带离型膜）</t>
  </si>
  <si>
    <t>25.02.28</t>
  </si>
  <si>
    <r>
      <t>25.02.28</t>
    </r>
    <r>
      <rPr>
        <b/>
        <sz val="10"/>
        <color indexed="11"/>
        <rFont val="宋体"/>
        <charset val="134"/>
      </rPr>
      <t>盘点</t>
    </r>
  </si>
  <si>
    <t>JTT-801/802</t>
  </si>
  <si>
    <t>JXFPY80M   (自带离型膜）</t>
  </si>
  <si>
    <t>高温绿胶（鸿发）</t>
  </si>
  <si>
    <r>
      <t>金手指kapton(</t>
    </r>
    <r>
      <rPr>
        <b/>
        <sz val="12"/>
        <color indexed="12"/>
        <rFont val="宋体"/>
        <charset val="134"/>
      </rPr>
      <t>集鑫福</t>
    </r>
    <r>
      <rPr>
        <b/>
        <sz val="12"/>
        <rFont val="宋体"/>
        <charset val="134"/>
      </rPr>
      <t>)</t>
    </r>
  </si>
  <si>
    <r>
      <t>26.05.19</t>
    </r>
    <r>
      <rPr>
        <b/>
        <sz val="10"/>
        <color indexed="11"/>
        <rFont val="宋体"/>
        <charset val="134"/>
      </rPr>
      <t>盘点</t>
    </r>
  </si>
  <si>
    <t>在仓库</t>
  </si>
  <si>
    <t>杂：型号膜</t>
  </si>
  <si>
    <r>
      <t>网格PET 鸿发(</t>
    </r>
    <r>
      <rPr>
        <b/>
        <sz val="12"/>
        <color indexed="10"/>
        <rFont val="宋体"/>
        <charset val="134"/>
      </rPr>
      <t>不能贴视窗口</t>
    </r>
    <r>
      <rPr>
        <b/>
        <sz val="12"/>
        <rFont val="宋体"/>
        <charset val="134"/>
      </rPr>
      <t>）</t>
    </r>
  </si>
  <si>
    <r>
      <t xml:space="preserve">25.08.18 </t>
    </r>
    <r>
      <rPr>
        <b/>
        <sz val="10"/>
        <color indexed="11"/>
        <rFont val="宋体"/>
        <charset val="134"/>
      </rPr>
      <t>盘点</t>
    </r>
  </si>
  <si>
    <t>G区架一，五层-1格</t>
  </si>
  <si>
    <r>
      <t xml:space="preserve">26.03.10 </t>
    </r>
    <r>
      <rPr>
        <b/>
        <sz val="10"/>
        <color indexed="11"/>
        <rFont val="宋体"/>
        <charset val="134"/>
      </rPr>
      <t>盘点</t>
    </r>
  </si>
  <si>
    <t>WG008网格PET保护膜鸿发(不能贴视窗口）</t>
  </si>
  <si>
    <r>
      <t xml:space="preserve">26.07.10 </t>
    </r>
    <r>
      <rPr>
        <b/>
        <sz val="10"/>
        <color indexed="11"/>
        <rFont val="宋体"/>
        <charset val="134"/>
      </rPr>
      <t>盘点</t>
    </r>
  </si>
  <si>
    <t>26.04.11</t>
  </si>
  <si>
    <r>
      <t xml:space="preserve">26.04.11 </t>
    </r>
    <r>
      <rPr>
        <b/>
        <sz val="10"/>
        <color indexed="11"/>
        <rFont val="宋体"/>
        <charset val="134"/>
      </rPr>
      <t>盘点</t>
    </r>
  </si>
  <si>
    <r>
      <t xml:space="preserve">26.04.02 </t>
    </r>
    <r>
      <rPr>
        <b/>
        <sz val="10"/>
        <color indexed="11"/>
        <rFont val="宋体"/>
        <charset val="134"/>
      </rPr>
      <t>盘点</t>
    </r>
  </si>
  <si>
    <r>
      <t xml:space="preserve">26.07.02 </t>
    </r>
    <r>
      <rPr>
        <b/>
        <sz val="10"/>
        <color indexed="11"/>
        <rFont val="宋体"/>
        <charset val="134"/>
      </rPr>
      <t>盘点</t>
    </r>
  </si>
  <si>
    <r>
      <t>W-IS2540T-0  30-50g网格PET保护膜(</t>
    </r>
    <r>
      <rPr>
        <b/>
        <sz val="12"/>
        <color indexed="12"/>
        <rFont val="宋体"/>
        <charset val="134"/>
      </rPr>
      <t>XXT</t>
    </r>
    <r>
      <rPr>
        <b/>
        <sz val="12"/>
        <rFont val="宋体"/>
        <charset val="134"/>
      </rPr>
      <t>）</t>
    </r>
  </si>
  <si>
    <r>
      <t xml:space="preserve">26.06.09 </t>
    </r>
    <r>
      <rPr>
        <b/>
        <sz val="10"/>
        <color indexed="11"/>
        <rFont val="宋体"/>
        <charset val="134"/>
      </rPr>
      <t>盘点</t>
    </r>
  </si>
  <si>
    <r>
      <t>网格P</t>
    </r>
    <r>
      <rPr>
        <sz val="12"/>
        <rFont val="宋体"/>
        <charset val="134"/>
      </rPr>
      <t>ET保护膜，贴砂面PET（F/V）</t>
    </r>
  </si>
  <si>
    <t>下面是：冲型辅料  材料</t>
  </si>
  <si>
    <t>下面是; 3M VHB 散料 材料</t>
  </si>
  <si>
    <r>
      <t>3M5604  VHB</t>
    </r>
    <r>
      <rPr>
        <sz val="12"/>
        <color indexed="10"/>
        <rFont val="宋体"/>
        <charset val="134"/>
      </rPr>
      <t>(閩盛)</t>
    </r>
  </si>
  <si>
    <t>23.09.21</t>
  </si>
  <si>
    <r>
      <t>25.01.07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</si>
  <si>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TT-876用 豆芽机</t>
    </r>
  </si>
  <si>
    <t>C区架一，四层 顶上1格-1</t>
  </si>
  <si>
    <r>
      <t>3M5604A</t>
    </r>
    <r>
      <rPr>
        <sz val="12"/>
        <color indexed="12"/>
        <rFont val="宋体"/>
        <charset val="134"/>
      </rPr>
      <t>（鑫旺达）</t>
    </r>
  </si>
  <si>
    <t>AV04B ( 鑫旺达  )</t>
  </si>
  <si>
    <r>
      <t>25.10.18</t>
    </r>
    <r>
      <rPr>
        <b/>
        <sz val="10"/>
        <color indexed="11"/>
        <rFont val="宋体"/>
        <charset val="134"/>
      </rPr>
      <t>盘点</t>
    </r>
  </si>
  <si>
    <t>3M5952 VHB（诚田佳）</t>
  </si>
  <si>
    <t>25.02.18盘点</t>
  </si>
  <si>
    <t>出多少，消？</t>
  </si>
  <si>
    <r>
      <t>3M4914-020(</t>
    </r>
    <r>
      <rPr>
        <sz val="12"/>
        <color indexed="12"/>
        <rFont val="宋体"/>
        <charset val="134"/>
      </rPr>
      <t>伟壹昊</t>
    </r>
    <r>
      <rPr>
        <sz val="12"/>
        <rFont val="宋体"/>
        <charset val="134"/>
      </rPr>
      <t>）</t>
    </r>
  </si>
  <si>
    <t>25.05.13</t>
  </si>
  <si>
    <r>
      <t>25.05.13</t>
    </r>
    <r>
      <rPr>
        <b/>
        <sz val="10"/>
        <color indexed="11"/>
        <rFont val="宋体"/>
        <charset val="134"/>
      </rPr>
      <t>盘点</t>
    </r>
  </si>
  <si>
    <r>
      <t>3M4914-20</t>
    </r>
    <r>
      <rPr>
        <sz val="12"/>
        <color indexed="12"/>
        <rFont val="宋体"/>
        <charset val="134"/>
      </rPr>
      <t>（鑫旺达）</t>
    </r>
  </si>
  <si>
    <t>25.04.16</t>
  </si>
  <si>
    <r>
      <t>25.04.16</t>
    </r>
    <r>
      <rPr>
        <b/>
        <sz val="10"/>
        <color indexed="11"/>
        <rFont val="宋体"/>
        <charset val="134"/>
      </rPr>
      <t>盘点</t>
    </r>
  </si>
  <si>
    <r>
      <t>3M4920</t>
    </r>
    <r>
      <rPr>
        <sz val="12"/>
        <color indexed="12"/>
        <rFont val="宋体"/>
        <charset val="134"/>
      </rPr>
      <t>（万绰）</t>
    </r>
  </si>
  <si>
    <r>
      <t>直接出货Y</t>
    </r>
    <r>
      <rPr>
        <sz val="12"/>
        <rFont val="宋体"/>
        <charset val="134"/>
      </rPr>
      <t>L</t>
    </r>
  </si>
  <si>
    <r>
      <t>3M4926(</t>
    </r>
    <r>
      <rPr>
        <sz val="12"/>
        <color indexed="10"/>
        <rFont val="宋体"/>
        <charset val="134"/>
      </rPr>
      <t>3MRP16替代</t>
    </r>
    <r>
      <rPr>
        <sz val="12"/>
        <rFont val="宋体"/>
        <charset val="134"/>
      </rPr>
      <t>）(閩盛)</t>
    </r>
  </si>
  <si>
    <t>24.03.19</t>
  </si>
  <si>
    <r>
      <t>J</t>
    </r>
    <r>
      <rPr>
        <sz val="12"/>
        <rFont val="宋体"/>
        <charset val="134"/>
      </rPr>
      <t>ST-1075,冲多少车？</t>
    </r>
  </si>
  <si>
    <t>3M4926(閩盛)</t>
  </si>
  <si>
    <t>24.04.13</t>
  </si>
  <si>
    <t>下面是; 3M7005-R02 材料</t>
  </si>
  <si>
    <t>3M7005-R02 (网购）</t>
  </si>
  <si>
    <t>24.07.04</t>
  </si>
  <si>
    <t>C区架一，四层 顶上1格-2</t>
  </si>
  <si>
    <t>下面是; 3M5915 材料</t>
  </si>
  <si>
    <r>
      <t>3M5915 VHB</t>
    </r>
    <r>
      <rPr>
        <sz val="12"/>
        <color indexed="10"/>
        <rFont val="宋体"/>
        <charset val="134"/>
      </rPr>
      <t>(</t>
    </r>
    <r>
      <rPr>
        <sz val="12"/>
        <color indexed="12"/>
        <rFont val="宋体"/>
        <charset val="134"/>
      </rPr>
      <t>万绰</t>
    </r>
    <r>
      <rPr>
        <sz val="12"/>
        <color indexed="10"/>
        <rFont val="宋体"/>
        <charset val="134"/>
      </rPr>
      <t>)</t>
    </r>
  </si>
  <si>
    <r>
      <t>1</t>
    </r>
    <r>
      <rPr>
        <sz val="12"/>
        <rFont val="宋体"/>
        <charset val="134"/>
      </rPr>
      <t>70*120</t>
    </r>
  </si>
  <si>
    <t>24.06.28</t>
  </si>
  <si>
    <t>JST-1067,中间余料</t>
  </si>
  <si>
    <t>C区架一，四层 顶上1格-3</t>
  </si>
  <si>
    <r>
      <t>1</t>
    </r>
    <r>
      <rPr>
        <sz val="12"/>
        <rFont val="宋体"/>
        <charset val="134"/>
      </rPr>
      <t>70*104</t>
    </r>
  </si>
  <si>
    <t>25.07.11</t>
  </si>
  <si>
    <r>
      <t>25.07.11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</si>
  <si>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ST-1067 ，大边</t>
    </r>
  </si>
  <si>
    <t>下面是; 3M散料 材料</t>
  </si>
  <si>
    <r>
      <t>3MRP45</t>
    </r>
    <r>
      <rPr>
        <sz val="12"/>
        <rFont val="宋体"/>
        <charset val="134"/>
      </rPr>
      <t>（</t>
    </r>
    <r>
      <rPr>
        <b/>
        <sz val="12"/>
        <color indexed="12"/>
        <rFont val="宋体"/>
        <charset val="134"/>
      </rPr>
      <t>鑫旺达</t>
    </r>
    <r>
      <rPr>
        <sz val="12"/>
        <rFont val="宋体"/>
        <charset val="134"/>
      </rPr>
      <t>）</t>
    </r>
  </si>
  <si>
    <t>24.08.26</t>
  </si>
  <si>
    <t>C区架一，四层 顶上1格-4</t>
  </si>
  <si>
    <r>
      <t>3M9469PC(</t>
    </r>
    <r>
      <rPr>
        <b/>
        <sz val="12"/>
        <color indexed="48"/>
        <rFont val="宋体"/>
        <charset val="134"/>
      </rPr>
      <t>万绰</t>
    </r>
    <r>
      <rPr>
        <b/>
        <sz val="12"/>
        <rFont val="宋体"/>
        <charset val="134"/>
      </rPr>
      <t>)</t>
    </r>
  </si>
  <si>
    <t>24.12.26</t>
  </si>
  <si>
    <t>JST-239</t>
  </si>
  <si>
    <t>25.10.24</t>
  </si>
  <si>
    <r>
      <t>25.10.24</t>
    </r>
    <r>
      <rPr>
        <b/>
        <sz val="10"/>
        <color indexed="11"/>
        <rFont val="宋体"/>
        <charset val="134"/>
      </rPr>
      <t>盘点</t>
    </r>
  </si>
  <si>
    <r>
      <t>JST-631</t>
    </r>
    <r>
      <rPr>
        <sz val="12"/>
        <rFont val="宋体"/>
        <charset val="134"/>
      </rPr>
      <t>/061</t>
    </r>
  </si>
  <si>
    <r>
      <t xml:space="preserve">   3M7953 </t>
    </r>
    <r>
      <rPr>
        <b/>
        <sz val="12"/>
        <rFont val="宋体"/>
        <charset val="134"/>
      </rPr>
      <t>(伟壹昊)</t>
    </r>
  </si>
  <si>
    <t>25.06.30</t>
  </si>
  <si>
    <r>
      <t>25.06.30</t>
    </r>
    <r>
      <rPr>
        <b/>
        <sz val="10"/>
        <color indexed="11"/>
        <rFont val="宋体"/>
        <charset val="134"/>
      </rPr>
      <t>盘点</t>
    </r>
  </si>
  <si>
    <r>
      <t>SY-009</t>
    </r>
    <r>
      <rPr>
        <sz val="12"/>
        <rFont val="宋体"/>
        <charset val="134"/>
      </rPr>
      <t>/010</t>
    </r>
  </si>
  <si>
    <r>
      <t xml:space="preserve">   3M9473PC</t>
    </r>
    <r>
      <rPr>
        <b/>
        <sz val="12"/>
        <rFont val="宋体"/>
        <charset val="134"/>
      </rPr>
      <t>(</t>
    </r>
    <r>
      <rPr>
        <b/>
        <sz val="14"/>
        <rFont val="微软雅黑"/>
        <family val="2"/>
        <charset val="134"/>
      </rPr>
      <t>闽盛</t>
    </r>
    <r>
      <rPr>
        <b/>
        <sz val="12"/>
        <rFont val="宋体"/>
        <charset val="134"/>
      </rPr>
      <t>)</t>
    </r>
  </si>
  <si>
    <r>
      <t>26.01.15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</si>
  <si>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TT-725</t>
    </r>
  </si>
  <si>
    <r>
      <t xml:space="preserve">   3M9473PC</t>
    </r>
    <r>
      <rPr>
        <b/>
        <sz val="12"/>
        <rFont val="宋体"/>
        <charset val="134"/>
      </rPr>
      <t>(</t>
    </r>
    <r>
      <rPr>
        <b/>
        <sz val="12"/>
        <color indexed="12"/>
        <rFont val="宋体"/>
        <charset val="134"/>
      </rPr>
      <t>鑫旺达</t>
    </r>
    <r>
      <rPr>
        <b/>
        <sz val="12"/>
        <rFont val="宋体"/>
        <charset val="134"/>
      </rPr>
      <t>)</t>
    </r>
  </si>
  <si>
    <r>
      <t>25.01.14</t>
    </r>
    <r>
      <rPr>
        <b/>
        <sz val="10"/>
        <color indexed="11"/>
        <rFont val="宋体"/>
        <charset val="134"/>
      </rPr>
      <t>盘点</t>
    </r>
  </si>
  <si>
    <t>下面是; 3M55236 材料</t>
  </si>
  <si>
    <r>
      <t>3M55236 (</t>
    </r>
    <r>
      <rPr>
        <sz val="12"/>
        <color indexed="53"/>
        <rFont val="宋体"/>
        <charset val="134"/>
      </rPr>
      <t>閩盛</t>
    </r>
    <r>
      <rPr>
        <sz val="12"/>
        <rFont val="宋体"/>
        <charset val="134"/>
      </rPr>
      <t>)</t>
    </r>
  </si>
  <si>
    <t>22.12.13</t>
  </si>
  <si>
    <t>C区架一，四层 顶上1格-5</t>
  </si>
  <si>
    <t>25.01.07</t>
  </si>
  <si>
    <r>
      <t>26.04.17</t>
    </r>
    <r>
      <rPr>
        <b/>
        <sz val="10"/>
        <color indexed="11"/>
        <rFont val="宋体"/>
        <charset val="134"/>
      </rPr>
      <t>盘点</t>
    </r>
  </si>
  <si>
    <t>下面是; 3M5913 材料</t>
  </si>
  <si>
    <r>
      <t>3M5913 VHB</t>
    </r>
    <r>
      <rPr>
        <sz val="12"/>
        <color indexed="12"/>
        <rFont val="宋体"/>
        <charset val="134"/>
      </rPr>
      <t>(万绰) （黑色）</t>
    </r>
  </si>
  <si>
    <t>24.11.04</t>
  </si>
  <si>
    <t>C区架一，四层 顶上-6</t>
  </si>
  <si>
    <t>下面是; 3M5909 材料</t>
  </si>
  <si>
    <r>
      <t>3M5909 VHB</t>
    </r>
    <r>
      <rPr>
        <sz val="12"/>
        <color indexed="12"/>
        <rFont val="宋体"/>
        <charset val="134"/>
      </rPr>
      <t>(万绰) （黑色）</t>
    </r>
  </si>
  <si>
    <t>23.07.11</t>
  </si>
  <si>
    <t>3M9448HK(万绰）</t>
  </si>
  <si>
    <t>25.12.11</t>
  </si>
  <si>
    <r>
      <t>25.12.11</t>
    </r>
    <r>
      <rPr>
        <b/>
        <sz val="10"/>
        <color indexed="11"/>
        <rFont val="宋体"/>
        <charset val="134"/>
      </rPr>
      <t>盘点</t>
    </r>
  </si>
  <si>
    <t xml:space="preserve">3M467MC     </t>
  </si>
  <si>
    <t>24.08.01</t>
  </si>
  <si>
    <r>
      <t>3M4952 VHB（</t>
    </r>
    <r>
      <rPr>
        <b/>
        <sz val="12"/>
        <color indexed="12"/>
        <rFont val="宋体"/>
        <charset val="134"/>
      </rPr>
      <t>鑫旺达</t>
    </r>
    <r>
      <rPr>
        <b/>
        <sz val="12"/>
        <rFont val="宋体"/>
        <charset val="134"/>
      </rPr>
      <t>）（白色）</t>
    </r>
  </si>
  <si>
    <t>25.03.18</t>
  </si>
  <si>
    <r>
      <t>25.03.18</t>
    </r>
    <r>
      <rPr>
        <b/>
        <sz val="10"/>
        <color indexed="11"/>
        <rFont val="宋体"/>
        <charset val="134"/>
      </rPr>
      <t>盘点</t>
    </r>
  </si>
  <si>
    <r>
      <t xml:space="preserve">下面是; </t>
    </r>
    <r>
      <rPr>
        <b/>
        <sz val="12"/>
        <color indexed="20"/>
        <rFont val="微软雅黑"/>
        <family val="2"/>
        <charset val="134"/>
      </rPr>
      <t>3M4950</t>
    </r>
    <r>
      <rPr>
        <b/>
        <sz val="12"/>
        <color indexed="20"/>
        <rFont val="宋体"/>
        <charset val="134"/>
      </rPr>
      <t xml:space="preserve"> 材料</t>
    </r>
  </si>
  <si>
    <r>
      <t>3M4950</t>
    </r>
    <r>
      <rPr>
        <b/>
        <sz val="12"/>
        <color indexed="20"/>
        <rFont val="宋体"/>
        <charset val="134"/>
      </rPr>
      <t>(伟壹昊)</t>
    </r>
  </si>
  <si>
    <r>
      <t>25.09.08</t>
    </r>
    <r>
      <rPr>
        <b/>
        <sz val="10"/>
        <color indexed="11"/>
        <rFont val="宋体"/>
        <charset val="134"/>
      </rPr>
      <t>盘点</t>
    </r>
  </si>
  <si>
    <r>
      <t>FLD-087,</t>
    </r>
    <r>
      <rPr>
        <sz val="12"/>
        <rFont val="宋体"/>
        <charset val="134"/>
      </rPr>
      <t>33M 长</t>
    </r>
    <r>
      <rPr>
        <sz val="12"/>
        <rFont val="宋体"/>
        <charset val="134"/>
      </rPr>
      <t xml:space="preserve"> 边料</t>
    </r>
  </si>
  <si>
    <t>C区架一，四层 顶上-7</t>
  </si>
  <si>
    <t>26.06.24</t>
  </si>
  <si>
    <r>
      <t>26.06.24</t>
    </r>
    <r>
      <rPr>
        <b/>
        <sz val="10"/>
        <color indexed="11"/>
        <rFont val="宋体"/>
        <charset val="134"/>
      </rPr>
      <t>盘点</t>
    </r>
  </si>
  <si>
    <t>26.01.08</t>
  </si>
  <si>
    <r>
      <t>26.01.08</t>
    </r>
    <r>
      <rPr>
        <b/>
        <sz val="10"/>
        <color indexed="11"/>
        <rFont val="宋体"/>
        <charset val="134"/>
      </rPr>
      <t>盘点</t>
    </r>
  </si>
  <si>
    <t>JST-1262</t>
  </si>
  <si>
    <t>下面是; 3M9810 材料</t>
  </si>
  <si>
    <t>3M9810( 鑫旺达）</t>
  </si>
  <si>
    <t>25.10.31</t>
  </si>
  <si>
    <r>
      <t>25.10.31</t>
    </r>
    <r>
      <rPr>
        <b/>
        <sz val="10"/>
        <color indexed="11"/>
        <rFont val="宋体"/>
        <charset val="134"/>
      </rPr>
      <t>盘点</t>
    </r>
  </si>
  <si>
    <t>JJX-163</t>
  </si>
  <si>
    <t>3M9810( 伟壹昊）</t>
  </si>
  <si>
    <t>3M8010P( 鑫旺达）</t>
  </si>
  <si>
    <t>3M8010P( 伟壹昊）</t>
  </si>
  <si>
    <t>26.04.28</t>
  </si>
  <si>
    <r>
      <t>26.04.28</t>
    </r>
    <r>
      <rPr>
        <b/>
        <sz val="10"/>
        <color indexed="11"/>
        <rFont val="宋体"/>
        <charset val="134"/>
      </rPr>
      <t>盘点</t>
    </r>
  </si>
  <si>
    <t>3M92200( 常疆）</t>
  </si>
  <si>
    <r>
      <t>26.03.21</t>
    </r>
    <r>
      <rPr>
        <b/>
        <sz val="10"/>
        <color indexed="11"/>
        <rFont val="宋体"/>
        <charset val="134"/>
      </rPr>
      <t>盘点</t>
    </r>
  </si>
  <si>
    <t>JTT-978/979/980</t>
  </si>
  <si>
    <r>
      <t>3M5906VHB</t>
    </r>
    <r>
      <rPr>
        <b/>
        <sz val="12"/>
        <rFont val="微软雅黑"/>
        <family val="2"/>
        <charset val="134"/>
      </rPr>
      <t>(万绰)</t>
    </r>
  </si>
  <si>
    <t>下面是; 3M55258 材料</t>
  </si>
  <si>
    <r>
      <t>3M55258D</t>
    </r>
    <r>
      <rPr>
        <b/>
        <sz val="12"/>
        <color indexed="12"/>
        <rFont val="宋体"/>
        <charset val="134"/>
      </rPr>
      <t>(万绰)</t>
    </r>
  </si>
  <si>
    <t>22.05.30</t>
  </si>
  <si>
    <t>下面是; 3M467 材料</t>
  </si>
  <si>
    <r>
      <t>3M467</t>
    </r>
    <r>
      <rPr>
        <sz val="12"/>
        <color indexed="12"/>
        <rFont val="宋体"/>
        <charset val="134"/>
      </rPr>
      <t>(万绰)</t>
    </r>
  </si>
  <si>
    <r>
      <t>J</t>
    </r>
    <r>
      <rPr>
        <sz val="12"/>
        <rFont val="宋体"/>
        <charset val="134"/>
      </rPr>
      <t>TT-897,专用</t>
    </r>
  </si>
  <si>
    <t>C区架一，三层-1格</t>
  </si>
  <si>
    <r>
      <t>26.05.20</t>
    </r>
    <r>
      <rPr>
        <b/>
        <sz val="10"/>
        <color indexed="11"/>
        <rFont val="宋体"/>
        <charset val="134"/>
      </rPr>
      <t>盘点</t>
    </r>
  </si>
  <si>
    <r>
      <t>G</t>
    </r>
    <r>
      <rPr>
        <sz val="12"/>
        <rFont val="宋体"/>
        <charset val="134"/>
      </rPr>
      <t>F-485</t>
    </r>
  </si>
  <si>
    <r>
      <t>J</t>
    </r>
    <r>
      <rPr>
        <sz val="12"/>
        <rFont val="宋体"/>
        <charset val="134"/>
      </rPr>
      <t>TT-822</t>
    </r>
  </si>
  <si>
    <r>
      <t>26.06.22</t>
    </r>
    <r>
      <rPr>
        <b/>
        <sz val="10"/>
        <color indexed="11"/>
        <rFont val="宋体"/>
        <charset val="134"/>
      </rPr>
      <t>盘点</t>
    </r>
  </si>
  <si>
    <r>
      <t>4</t>
    </r>
    <r>
      <rPr>
        <sz val="12"/>
        <rFont val="宋体"/>
        <charset val="134"/>
      </rPr>
      <t>9M ,留来做JST-1187/1188</t>
    </r>
  </si>
  <si>
    <r>
      <t>J</t>
    </r>
    <r>
      <rPr>
        <sz val="12"/>
        <rFont val="宋体"/>
        <charset val="134"/>
      </rPr>
      <t>ST-628</t>
    </r>
  </si>
  <si>
    <t>下面是; 3M468 材料</t>
  </si>
  <si>
    <r>
      <t>3M468</t>
    </r>
    <r>
      <rPr>
        <b/>
        <sz val="12"/>
        <color indexed="12"/>
        <rFont val="宋体"/>
        <charset val="134"/>
      </rPr>
      <t>(万绰)</t>
    </r>
  </si>
  <si>
    <t>C区架二，三层-2格</t>
  </si>
  <si>
    <r>
      <t>A</t>
    </r>
    <r>
      <rPr>
        <sz val="12"/>
        <rFont val="宋体"/>
        <charset val="134"/>
      </rPr>
      <t>D-系列</t>
    </r>
  </si>
  <si>
    <t>25.12.24</t>
  </si>
  <si>
    <r>
      <t>25.12.24</t>
    </r>
    <r>
      <rPr>
        <b/>
        <sz val="10"/>
        <color indexed="11"/>
        <rFont val="宋体"/>
        <charset val="134"/>
      </rPr>
      <t>盘点</t>
    </r>
  </si>
  <si>
    <r>
      <t>25.12.27</t>
    </r>
    <r>
      <rPr>
        <b/>
        <sz val="10"/>
        <color indexed="11"/>
        <rFont val="宋体"/>
        <charset val="134"/>
      </rPr>
      <t>盘点</t>
    </r>
  </si>
  <si>
    <t>25.12.30</t>
  </si>
  <si>
    <t>26.04.20</t>
  </si>
  <si>
    <t>26.06.30,入一批</t>
  </si>
  <si>
    <t>25.10.29</t>
  </si>
  <si>
    <r>
      <t>25.10.29</t>
    </r>
    <r>
      <rPr>
        <b/>
        <sz val="10"/>
        <color indexed="11"/>
        <rFont val="宋体"/>
        <charset val="134"/>
      </rPr>
      <t>盘点</t>
    </r>
  </si>
  <si>
    <t>JTT-213/212,系列</t>
  </si>
  <si>
    <t>DB-142,欠=200M</t>
  </si>
  <si>
    <r>
      <t>26.03.24</t>
    </r>
    <r>
      <rPr>
        <b/>
        <sz val="10"/>
        <color indexed="11"/>
        <rFont val="宋体"/>
        <charset val="134"/>
      </rPr>
      <t>盘点</t>
    </r>
  </si>
  <si>
    <t>JTT--580</t>
  </si>
  <si>
    <r>
      <t>25.11.26</t>
    </r>
    <r>
      <rPr>
        <b/>
        <sz val="10"/>
        <color indexed="11"/>
        <rFont val="宋体"/>
        <charset val="134"/>
      </rPr>
      <t>盘点</t>
    </r>
  </si>
  <si>
    <t>下面是; 3M9080 材料</t>
  </si>
  <si>
    <r>
      <t>3M9080A</t>
    </r>
    <r>
      <rPr>
        <sz val="12"/>
        <color indexed="12"/>
        <rFont val="宋体"/>
        <charset val="134"/>
      </rPr>
      <t>(万绰)</t>
    </r>
  </si>
  <si>
    <r>
      <t>25.11.29</t>
    </r>
    <r>
      <rPr>
        <b/>
        <sz val="10"/>
        <color indexed="11"/>
        <rFont val="宋体"/>
        <charset val="134"/>
      </rPr>
      <t>盘点</t>
    </r>
  </si>
  <si>
    <t>C区架一，二层-1格</t>
  </si>
  <si>
    <t>25.12.31</t>
  </si>
  <si>
    <r>
      <t>26.01.20</t>
    </r>
    <r>
      <rPr>
        <b/>
        <sz val="10"/>
        <color indexed="11"/>
        <rFont val="宋体"/>
        <charset val="134"/>
      </rPr>
      <t>盘点</t>
    </r>
  </si>
  <si>
    <r>
      <t>25.12.31</t>
    </r>
    <r>
      <rPr>
        <b/>
        <sz val="10"/>
        <color indexed="11"/>
        <rFont val="宋体"/>
        <charset val="134"/>
      </rPr>
      <t>盘点</t>
    </r>
  </si>
  <si>
    <t>C区架一，二层-2格</t>
  </si>
  <si>
    <t>26.06.21</t>
  </si>
  <si>
    <r>
      <t>材料不足，2</t>
    </r>
    <r>
      <rPr>
        <sz val="12"/>
        <rFont val="宋体"/>
        <charset val="134"/>
      </rPr>
      <t>6.01.08</t>
    </r>
  </si>
  <si>
    <r>
      <t>26.04.07</t>
    </r>
    <r>
      <rPr>
        <b/>
        <sz val="10"/>
        <color indexed="11"/>
        <rFont val="宋体"/>
        <charset val="134"/>
      </rPr>
      <t>盘点</t>
    </r>
  </si>
  <si>
    <t>26.01.23</t>
  </si>
  <si>
    <r>
      <t>26.01.23</t>
    </r>
    <r>
      <rPr>
        <b/>
        <sz val="10"/>
        <color indexed="11"/>
        <rFont val="宋体"/>
        <charset val="134"/>
      </rPr>
      <t>盘点</t>
    </r>
  </si>
  <si>
    <r>
      <t>Y</t>
    </r>
    <r>
      <rPr>
        <sz val="12"/>
        <rFont val="宋体"/>
        <charset val="134"/>
      </rPr>
      <t>L-1082/1083</t>
    </r>
  </si>
  <si>
    <r>
      <t>3M9080A</t>
    </r>
    <r>
      <rPr>
        <sz val="12"/>
        <color indexed="12"/>
        <rFont val="宋体"/>
        <charset val="134"/>
      </rPr>
      <t>(LJ)</t>
    </r>
  </si>
  <si>
    <t>下面是; 3M9472LE 材料</t>
  </si>
  <si>
    <t>3M9472LE(万绰）</t>
  </si>
  <si>
    <t>25.12.06</t>
  </si>
  <si>
    <r>
      <t>26.05.23</t>
    </r>
    <r>
      <rPr>
        <b/>
        <sz val="10"/>
        <color indexed="11"/>
        <rFont val="宋体"/>
        <charset val="134"/>
      </rPr>
      <t>盘点</t>
    </r>
  </si>
  <si>
    <t>C区架二，二层-1格</t>
  </si>
  <si>
    <t>25.07.04</t>
  </si>
  <si>
    <r>
      <t>25.07.04</t>
    </r>
    <r>
      <rPr>
        <b/>
        <sz val="10"/>
        <color indexed="11"/>
        <rFont val="宋体"/>
        <charset val="134"/>
      </rPr>
      <t>盘点</t>
    </r>
  </si>
  <si>
    <t>下面是; 3M9495LE 材料</t>
  </si>
  <si>
    <t>3M9495LE(万绰)</t>
  </si>
  <si>
    <r>
      <t>26.08.06</t>
    </r>
    <r>
      <rPr>
        <b/>
        <sz val="10"/>
        <color indexed="11"/>
        <rFont val="宋体"/>
        <charset val="134"/>
      </rPr>
      <t>盘点</t>
    </r>
  </si>
  <si>
    <r>
      <t>3M9495LE(</t>
    </r>
    <r>
      <rPr>
        <b/>
        <sz val="12"/>
        <color indexed="12"/>
        <rFont val="宋体"/>
        <charset val="134"/>
      </rPr>
      <t>伟壹昊</t>
    </r>
    <r>
      <rPr>
        <b/>
        <sz val="12"/>
        <rFont val="宋体"/>
        <charset val="134"/>
      </rPr>
      <t>)</t>
    </r>
  </si>
  <si>
    <r>
      <t>26.06.26</t>
    </r>
    <r>
      <rPr>
        <b/>
        <sz val="10"/>
        <color indexed="11"/>
        <rFont val="宋体"/>
        <charset val="134"/>
      </rPr>
      <t>盘点</t>
    </r>
  </si>
  <si>
    <t>26.05.28</t>
  </si>
  <si>
    <r>
      <t>26.06.10</t>
    </r>
    <r>
      <rPr>
        <b/>
        <sz val="10"/>
        <color indexed="11"/>
        <rFont val="宋体"/>
        <charset val="134"/>
      </rPr>
      <t>盘点</t>
    </r>
  </si>
  <si>
    <r>
      <t>26.04.20</t>
    </r>
    <r>
      <rPr>
        <b/>
        <sz val="10"/>
        <color indexed="11"/>
        <rFont val="宋体"/>
        <charset val="134"/>
      </rPr>
      <t>盘点</t>
    </r>
  </si>
  <si>
    <t>下面是: 3M7959MP材料</t>
  </si>
  <si>
    <r>
      <t>3M</t>
    </r>
    <r>
      <rPr>
        <b/>
        <sz val="12"/>
        <color indexed="12"/>
        <rFont val="宋体"/>
        <charset val="134"/>
      </rPr>
      <t>7959</t>
    </r>
    <r>
      <rPr>
        <b/>
        <sz val="12"/>
        <rFont val="宋体"/>
        <charset val="134"/>
      </rPr>
      <t>MP(伟壹昊）</t>
    </r>
  </si>
  <si>
    <t>材料不足</t>
  </si>
  <si>
    <t>C区架二，三层-1格</t>
  </si>
  <si>
    <t>下面是: 3M9495MP材料</t>
  </si>
  <si>
    <t>3M9495MP(万绰）</t>
  </si>
  <si>
    <t>C区架二，二层-2格</t>
  </si>
  <si>
    <r>
      <t>26.07.21</t>
    </r>
    <r>
      <rPr>
        <b/>
        <sz val="10"/>
        <color indexed="11"/>
        <rFont val="宋体"/>
        <charset val="134"/>
      </rPr>
      <t>盘点</t>
    </r>
  </si>
  <si>
    <t>26.07.06，更正</t>
  </si>
  <si>
    <t>26.05.15</t>
  </si>
  <si>
    <r>
      <t>26.05.15</t>
    </r>
    <r>
      <rPr>
        <b/>
        <sz val="10"/>
        <color indexed="11"/>
        <rFont val="宋体"/>
        <charset val="134"/>
      </rPr>
      <t>盘点</t>
    </r>
  </si>
  <si>
    <r>
      <t>26.05.26</t>
    </r>
    <r>
      <rPr>
        <b/>
        <sz val="10"/>
        <color indexed="11"/>
        <rFont val="宋体"/>
        <charset val="134"/>
      </rPr>
      <t>盘点</t>
    </r>
  </si>
  <si>
    <t>3M9495MP(鑫旺达）</t>
  </si>
  <si>
    <r>
      <t>26.06.13</t>
    </r>
    <r>
      <rPr>
        <b/>
        <sz val="10"/>
        <color indexed="11"/>
        <rFont val="宋体"/>
        <charset val="134"/>
      </rPr>
      <t>盘点</t>
    </r>
  </si>
  <si>
    <t>26.01.28</t>
  </si>
  <si>
    <r>
      <t>26.01.28</t>
    </r>
    <r>
      <rPr>
        <b/>
        <sz val="10"/>
        <color indexed="11"/>
        <rFont val="宋体"/>
        <charset val="134"/>
      </rPr>
      <t>盘点</t>
    </r>
  </si>
  <si>
    <r>
      <t>3M9453LE (</t>
    </r>
    <r>
      <rPr>
        <b/>
        <sz val="12"/>
        <color indexed="53"/>
        <rFont val="微软雅黑"/>
        <family val="2"/>
        <charset val="134"/>
      </rPr>
      <t>閩盛</t>
    </r>
    <r>
      <rPr>
        <b/>
        <sz val="12"/>
        <rFont val="微软雅黑"/>
        <family val="2"/>
        <charset val="134"/>
      </rPr>
      <t>)</t>
    </r>
  </si>
  <si>
    <r>
      <t>26.05.08</t>
    </r>
    <r>
      <rPr>
        <b/>
        <sz val="10"/>
        <color indexed="11"/>
        <rFont val="宋体"/>
        <charset val="134"/>
      </rPr>
      <t>盘点</t>
    </r>
  </si>
  <si>
    <t>C区架二，一层-1格</t>
  </si>
  <si>
    <r>
      <t>下面是; 3M9448</t>
    </r>
    <r>
      <rPr>
        <b/>
        <sz val="12"/>
        <color indexed="8"/>
        <rFont val="宋体"/>
        <charset val="134"/>
      </rPr>
      <t>AB</t>
    </r>
    <r>
      <rPr>
        <b/>
        <sz val="12"/>
        <color indexed="12"/>
        <rFont val="宋体"/>
        <charset val="134"/>
      </rPr>
      <t xml:space="preserve">  材料</t>
    </r>
  </si>
  <si>
    <r>
      <t>3M9448AB黑色(</t>
    </r>
    <r>
      <rPr>
        <b/>
        <sz val="12"/>
        <color indexed="12"/>
        <rFont val="宋体"/>
        <charset val="134"/>
      </rPr>
      <t>伟壹昊</t>
    </r>
    <r>
      <rPr>
        <b/>
        <sz val="12"/>
        <rFont val="宋体"/>
        <charset val="134"/>
      </rPr>
      <t>）</t>
    </r>
  </si>
  <si>
    <t>C区架二，一层-1格-2</t>
  </si>
  <si>
    <t>25.08.19</t>
  </si>
  <si>
    <r>
      <t>25.08.19</t>
    </r>
    <r>
      <rPr>
        <b/>
        <sz val="10"/>
        <color indexed="11"/>
        <rFont val="宋体"/>
        <charset val="134"/>
      </rPr>
      <t>盘点</t>
    </r>
  </si>
  <si>
    <t>24.12.14</t>
  </si>
  <si>
    <r>
      <t>25.01.04</t>
    </r>
    <r>
      <rPr>
        <b/>
        <sz val="10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</si>
  <si>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6.07.08</t>
    </r>
  </si>
  <si>
    <r>
      <t>J</t>
    </r>
    <r>
      <rPr>
        <sz val="12"/>
        <rFont val="宋体"/>
        <charset val="134"/>
      </rPr>
      <t>TT-705用于 贴PET250</t>
    </r>
  </si>
  <si>
    <t>3M9448AB黑色(万绰）</t>
  </si>
  <si>
    <t>3M9705导电胶</t>
  </si>
  <si>
    <t>24.09.02</t>
  </si>
  <si>
    <t>之前的，但是有确认，导电</t>
  </si>
  <si>
    <t>C区架二，一层-1格-3</t>
  </si>
  <si>
    <t>3M9705导电胶(鑫旺达)</t>
  </si>
  <si>
    <t>3M9485PC 鑫旺达</t>
  </si>
  <si>
    <t>25.11.01</t>
  </si>
  <si>
    <r>
      <t>25.11.01</t>
    </r>
    <r>
      <rPr>
        <b/>
        <sz val="10"/>
        <color indexed="11"/>
        <rFont val="宋体"/>
        <charset val="134"/>
      </rPr>
      <t>盘点</t>
    </r>
  </si>
  <si>
    <t>C区架二，一层-1格-4</t>
  </si>
  <si>
    <r>
      <t>F</t>
    </r>
    <r>
      <rPr>
        <b/>
        <sz val="12"/>
        <rFont val="宋体"/>
        <charset val="134"/>
      </rPr>
      <t>-3M9448(</t>
    </r>
    <r>
      <rPr>
        <b/>
        <sz val="12"/>
        <color indexed="53"/>
        <rFont val="宋体"/>
        <charset val="134"/>
      </rPr>
      <t>閩盛</t>
    </r>
    <r>
      <rPr>
        <b/>
        <sz val="12"/>
        <rFont val="宋体"/>
        <charset val="134"/>
      </rPr>
      <t>)</t>
    </r>
  </si>
  <si>
    <t>25.12.05</t>
  </si>
  <si>
    <t>XYX,专用</t>
  </si>
  <si>
    <t>C区架二，一层-2格-1</t>
  </si>
  <si>
    <t>下面是; 3M9471LE 材料</t>
  </si>
  <si>
    <t>3M9471LE(万绰）</t>
  </si>
  <si>
    <t>C区架二，一层-2格-2</t>
  </si>
  <si>
    <r>
      <t>3M9471LE(</t>
    </r>
    <r>
      <rPr>
        <b/>
        <sz val="12"/>
        <color indexed="12"/>
        <rFont val="宋体"/>
        <charset val="134"/>
      </rPr>
      <t>伟壹昊</t>
    </r>
    <r>
      <rPr>
        <b/>
        <sz val="12"/>
        <rFont val="宋体"/>
        <charset val="134"/>
      </rPr>
      <t>）</t>
    </r>
  </si>
  <si>
    <r>
      <t>L</t>
    </r>
    <r>
      <rPr>
        <sz val="12"/>
        <rFont val="宋体"/>
        <charset val="134"/>
      </rPr>
      <t>WJ</t>
    </r>
  </si>
  <si>
    <r>
      <t>前面有出账2</t>
    </r>
    <r>
      <rPr>
        <sz val="12"/>
        <rFont val="宋体"/>
        <charset val="134"/>
      </rPr>
      <t>5.10.27</t>
    </r>
  </si>
  <si>
    <t>下面是; 3M9448A 材料</t>
  </si>
  <si>
    <r>
      <t>3M9448A白色</t>
    </r>
    <r>
      <rPr>
        <sz val="12"/>
        <color indexed="48"/>
        <rFont val="宋体"/>
        <charset val="134"/>
      </rPr>
      <t>(</t>
    </r>
    <r>
      <rPr>
        <b/>
        <sz val="12"/>
        <color indexed="48"/>
        <rFont val="微软雅黑"/>
        <family val="2"/>
        <charset val="134"/>
      </rPr>
      <t>万绰</t>
    </r>
    <r>
      <rPr>
        <sz val="12"/>
        <color indexed="48"/>
        <rFont val="宋体"/>
        <charset val="134"/>
      </rPr>
      <t>）</t>
    </r>
  </si>
  <si>
    <t>C区架二，一层-2格-3</t>
  </si>
  <si>
    <r>
      <t>26.05.29</t>
    </r>
    <r>
      <rPr>
        <b/>
        <sz val="10"/>
        <color indexed="11"/>
        <rFont val="宋体"/>
        <charset val="134"/>
      </rPr>
      <t>盘点</t>
    </r>
  </si>
  <si>
    <t>下面是; SDT25# 材料</t>
  </si>
  <si>
    <t>DP-025TA（SDT25)</t>
  </si>
  <si>
    <t>E区架一，二层-1格</t>
  </si>
  <si>
    <r>
      <t>26.05.21</t>
    </r>
    <r>
      <rPr>
        <b/>
        <sz val="10"/>
        <color indexed="11"/>
        <rFont val="宋体"/>
        <charset val="134"/>
      </rPr>
      <t>盘点</t>
    </r>
  </si>
  <si>
    <r>
      <t>切出来只有=</t>
    </r>
    <r>
      <rPr>
        <sz val="12"/>
        <rFont val="宋体"/>
        <charset val="134"/>
      </rPr>
      <t>78-80宽</t>
    </r>
  </si>
  <si>
    <t>26.06.16</t>
  </si>
  <si>
    <r>
      <t>26.06.16</t>
    </r>
    <r>
      <rPr>
        <b/>
        <sz val="10"/>
        <color indexed="11"/>
        <rFont val="宋体"/>
        <charset val="134"/>
      </rPr>
      <t>盘点</t>
    </r>
  </si>
  <si>
    <t>26.05.22</t>
  </si>
  <si>
    <r>
      <t>26.05.22</t>
    </r>
    <r>
      <rPr>
        <b/>
        <sz val="10"/>
        <color indexed="11"/>
        <rFont val="宋体"/>
        <charset val="134"/>
      </rPr>
      <t>盘点</t>
    </r>
  </si>
  <si>
    <r>
      <t>26.07.24</t>
    </r>
    <r>
      <rPr>
        <b/>
        <sz val="10"/>
        <color indexed="11"/>
        <rFont val="宋体"/>
        <charset val="134"/>
      </rPr>
      <t>盘点</t>
    </r>
  </si>
  <si>
    <t>E区架一，二层-2格</t>
  </si>
  <si>
    <t>26.07.16</t>
  </si>
  <si>
    <r>
      <t>26.07.16</t>
    </r>
    <r>
      <rPr>
        <b/>
        <sz val="10"/>
        <color indexed="11"/>
        <rFont val="宋体"/>
        <charset val="134"/>
      </rPr>
      <t>盘点</t>
    </r>
  </si>
  <si>
    <t>下面是; SDT50# 材料</t>
  </si>
  <si>
    <t>DP-050TA（SDT50）</t>
  </si>
  <si>
    <t>22.08.09</t>
  </si>
  <si>
    <r>
      <t>25.01.15</t>
    </r>
    <r>
      <rPr>
        <b/>
        <sz val="10"/>
        <color indexed="11"/>
        <rFont val="宋体"/>
        <charset val="134"/>
      </rPr>
      <t>盘点</t>
    </r>
  </si>
  <si>
    <t>E区架二，二层-1格</t>
  </si>
  <si>
    <r>
      <t>J</t>
    </r>
    <r>
      <rPr>
        <sz val="12"/>
        <rFont val="宋体"/>
        <charset val="134"/>
      </rPr>
      <t>ST-932</t>
    </r>
  </si>
  <si>
    <t>下面是; STD 75# 材料</t>
  </si>
  <si>
    <t>DP-075TA(SDT75)</t>
  </si>
  <si>
    <t>25.12.15</t>
  </si>
  <si>
    <r>
      <t>25.12.15</t>
    </r>
    <r>
      <rPr>
        <b/>
        <sz val="10"/>
        <color indexed="11"/>
        <rFont val="宋体"/>
        <charset val="134"/>
      </rPr>
      <t>盘点</t>
    </r>
  </si>
  <si>
    <t>E区架二，二层-2格</t>
  </si>
  <si>
    <t>下面是; SDT125# 材料</t>
  </si>
  <si>
    <t>DP-125TA（SDT125)</t>
  </si>
  <si>
    <t>26.01.24</t>
  </si>
  <si>
    <r>
      <t>26.06.04</t>
    </r>
    <r>
      <rPr>
        <b/>
        <sz val="10"/>
        <color indexed="11"/>
        <rFont val="宋体"/>
        <charset val="134"/>
      </rPr>
      <t>盘点</t>
    </r>
  </si>
  <si>
    <t>E区架一，三层-1格</t>
  </si>
  <si>
    <r>
      <t>25.11.03</t>
    </r>
    <r>
      <rPr>
        <b/>
        <sz val="10"/>
        <color indexed="11"/>
        <rFont val="宋体"/>
        <charset val="134"/>
      </rPr>
      <t>盘点</t>
    </r>
  </si>
  <si>
    <r>
      <t>25.10.14</t>
    </r>
    <r>
      <rPr>
        <b/>
        <sz val="10"/>
        <color indexed="11"/>
        <rFont val="宋体"/>
        <charset val="134"/>
      </rPr>
      <t>盘点</t>
    </r>
  </si>
  <si>
    <t>E区架一，三层-2格</t>
  </si>
  <si>
    <t>关注一下是有250宽在冲型</t>
  </si>
  <si>
    <t>下面是;SDT188# 材料</t>
  </si>
  <si>
    <t>DP-188TA（SDT188）</t>
  </si>
  <si>
    <t>E区架二，三层-2格</t>
  </si>
  <si>
    <t>26.07.24</t>
  </si>
  <si>
    <t>26.04.27</t>
  </si>
  <si>
    <r>
      <t>26.04.27</t>
    </r>
    <r>
      <rPr>
        <b/>
        <sz val="10"/>
        <color indexed="11"/>
        <rFont val="宋体"/>
        <charset val="134"/>
      </rPr>
      <t>盘点</t>
    </r>
  </si>
  <si>
    <r>
      <t>26.01.07</t>
    </r>
    <r>
      <rPr>
        <b/>
        <sz val="10"/>
        <color indexed="11"/>
        <rFont val="宋体"/>
        <charset val="134"/>
      </rPr>
      <t>盘点</t>
    </r>
  </si>
  <si>
    <t>下面是; TLT25白色# 材料</t>
  </si>
  <si>
    <t>25#油胶光白PET(TLT25白)</t>
  </si>
  <si>
    <t>日期具体要查</t>
  </si>
  <si>
    <t>现场看不了，日期</t>
  </si>
  <si>
    <t>E区架一，一层-1格</t>
  </si>
  <si>
    <r>
      <t>50#</t>
    </r>
    <r>
      <rPr>
        <b/>
        <sz val="12"/>
        <rFont val="宋体"/>
        <charset val="134"/>
      </rPr>
      <t>光白色PET/80%白格油胶</t>
    </r>
  </si>
  <si>
    <t>25.02.15</t>
  </si>
  <si>
    <r>
      <t>25.02.15</t>
    </r>
    <r>
      <rPr>
        <b/>
        <sz val="10"/>
        <color indexed="11"/>
        <rFont val="宋体"/>
        <charset val="134"/>
      </rPr>
      <t>盘点</t>
    </r>
  </si>
  <si>
    <t>GF-539/567 专用</t>
  </si>
  <si>
    <t>R胶 TLT50#</t>
  </si>
  <si>
    <t>下面是; TLT25 材料</t>
  </si>
  <si>
    <t>TLT25#（SP25-50TA）</t>
  </si>
  <si>
    <t>25.12.18</t>
  </si>
  <si>
    <t>26.06.03</t>
  </si>
  <si>
    <t>JTT-866/981/982</t>
  </si>
  <si>
    <t>JST-1187/1188</t>
  </si>
  <si>
    <r>
      <t>26.04.21</t>
    </r>
    <r>
      <rPr>
        <b/>
        <sz val="10"/>
        <color indexed="11"/>
        <rFont val="宋体"/>
        <charset val="134"/>
      </rPr>
      <t>盘点</t>
    </r>
  </si>
  <si>
    <t>269.07.16</t>
  </si>
  <si>
    <t>下面是; TLT50 材料</t>
  </si>
  <si>
    <t>TLT50#（SP50-50TA）</t>
  </si>
  <si>
    <t>26.03.20</t>
  </si>
  <si>
    <r>
      <t>26.03.20</t>
    </r>
    <r>
      <rPr>
        <b/>
        <sz val="10"/>
        <color indexed="11"/>
        <rFont val="宋体"/>
        <charset val="134"/>
      </rPr>
      <t>盘点</t>
    </r>
  </si>
  <si>
    <t>E区架一，一层-2格</t>
  </si>
  <si>
    <t>24.08.22</t>
  </si>
  <si>
    <t>可做HZLT-031,用</t>
  </si>
  <si>
    <t>25.11.29</t>
  </si>
  <si>
    <t>20.09.02</t>
  </si>
  <si>
    <r>
      <t>25.01.22</t>
    </r>
    <r>
      <rPr>
        <b/>
        <sz val="10"/>
        <color indexed="11"/>
        <rFont val="宋体"/>
        <charset val="134"/>
      </rPr>
      <t>盘点</t>
    </r>
  </si>
  <si>
    <t>26.03.31</t>
  </si>
  <si>
    <r>
      <t>26.03.31</t>
    </r>
    <r>
      <rPr>
        <b/>
        <sz val="10"/>
        <color indexed="11"/>
        <rFont val="宋体"/>
        <charset val="134"/>
      </rPr>
      <t>盘点</t>
    </r>
  </si>
  <si>
    <t>下面是; TLT75 材料</t>
  </si>
  <si>
    <t>TLT75#（SP75-50TA）</t>
  </si>
  <si>
    <t>21.04.11</t>
  </si>
  <si>
    <t>E区架二，一层-1格</t>
  </si>
  <si>
    <t>下面是; TLT100 材料</t>
  </si>
  <si>
    <t>TLT100#(SP100-50TA)</t>
  </si>
  <si>
    <t>17.04.29</t>
  </si>
  <si>
    <t>没有同意不能用</t>
  </si>
  <si>
    <t>下面是; TLT125 材料</t>
  </si>
  <si>
    <t>TLT125#(SP125-50TA)</t>
  </si>
  <si>
    <r>
      <t>26.07.18</t>
    </r>
    <r>
      <rPr>
        <b/>
        <sz val="10"/>
        <color indexed="11"/>
        <rFont val="宋体"/>
        <charset val="134"/>
      </rPr>
      <t>盘点</t>
    </r>
  </si>
  <si>
    <t>下面是; TLT188 材料</t>
  </si>
  <si>
    <t>TLT188#(SP188-50TA)</t>
  </si>
  <si>
    <t>E区架二，一层-2格</t>
  </si>
  <si>
    <t>下面是; DST-10 材料</t>
  </si>
  <si>
    <t>DST-10/双面胶</t>
  </si>
  <si>
    <t>? 日期</t>
  </si>
  <si>
    <r>
      <t>25.01.18</t>
    </r>
    <r>
      <rPr>
        <b/>
        <sz val="10"/>
        <color indexed="11"/>
        <rFont val="宋体"/>
        <charset val="134"/>
      </rPr>
      <t>盘点</t>
    </r>
  </si>
  <si>
    <r>
      <t>放在S</t>
    </r>
    <r>
      <rPr>
        <sz val="12"/>
        <rFont val="宋体"/>
        <charset val="134"/>
      </rPr>
      <t>DT50#处</t>
    </r>
  </si>
  <si>
    <t>G区架一，四层-2格</t>
  </si>
  <si>
    <t>DSTT-13N</t>
  </si>
  <si>
    <t>样品，张经理？</t>
  </si>
  <si>
    <t>DSTT-7N</t>
  </si>
  <si>
    <t>26.06.09</t>
  </si>
  <si>
    <r>
      <t>26.06.09</t>
    </r>
    <r>
      <rPr>
        <b/>
        <sz val="10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</si>
  <si>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JX-165,使用</t>
    </r>
  </si>
  <si>
    <t>下面是; T4000 材料</t>
  </si>
  <si>
    <t>T4000</t>
  </si>
  <si>
    <t>24.08.12</t>
  </si>
  <si>
    <t>25.01.09</t>
  </si>
  <si>
    <r>
      <t>F</t>
    </r>
    <r>
      <rPr>
        <b/>
        <sz val="12"/>
        <rFont val="宋体"/>
        <charset val="134"/>
      </rPr>
      <t>-Tesa0.1mm(</t>
    </r>
    <r>
      <rPr>
        <b/>
        <sz val="12"/>
        <color indexed="53"/>
        <rFont val="宋体"/>
        <charset val="134"/>
      </rPr>
      <t>閩盛</t>
    </r>
    <r>
      <rPr>
        <b/>
        <sz val="12"/>
        <rFont val="宋体"/>
        <charset val="134"/>
      </rPr>
      <t>)</t>
    </r>
  </si>
  <si>
    <t>23.11.09</t>
  </si>
  <si>
    <t>下面是; 497 材料</t>
  </si>
  <si>
    <t>497  日高无基材</t>
  </si>
  <si>
    <t>25.01.18</t>
  </si>
  <si>
    <t>25.09.29</t>
  </si>
  <si>
    <r>
      <t>T</t>
    </r>
    <r>
      <rPr>
        <sz val="12"/>
        <rFont val="宋体"/>
        <charset val="134"/>
      </rPr>
      <t>Y-005</t>
    </r>
  </si>
  <si>
    <t>下面是; 513 材料</t>
  </si>
  <si>
    <t>皇冠#513(閩盛)</t>
  </si>
  <si>
    <t>23.08.12</t>
  </si>
  <si>
    <t>JJX-118,用</t>
  </si>
  <si>
    <r>
      <t xml:space="preserve">皇冠#511 </t>
    </r>
    <r>
      <rPr>
        <sz val="12"/>
        <rFont val="宋体"/>
        <charset val="134"/>
      </rPr>
      <t>(</t>
    </r>
    <r>
      <rPr>
        <b/>
        <sz val="12"/>
        <color indexed="10"/>
        <rFont val="宋体"/>
        <charset val="134"/>
      </rPr>
      <t>集鑫福</t>
    </r>
    <r>
      <rPr>
        <sz val="12"/>
        <rFont val="宋体"/>
        <charset val="134"/>
      </rPr>
      <t>)</t>
    </r>
  </si>
  <si>
    <r>
      <t>3M7956MP</t>
    </r>
    <r>
      <rPr>
        <b/>
        <sz val="12"/>
        <color indexed="12"/>
        <rFont val="宋体"/>
        <charset val="134"/>
      </rPr>
      <t>(万绰)</t>
    </r>
  </si>
  <si>
    <t>23.11.06</t>
  </si>
  <si>
    <t>tesa88665( 鑫旺达）</t>
  </si>
  <si>
    <t>ZQ-130,用</t>
  </si>
  <si>
    <t>25.11.12</t>
  </si>
  <si>
    <r>
      <t>25.11.12</t>
    </r>
    <r>
      <rPr>
        <b/>
        <sz val="10"/>
        <color indexed="11"/>
        <rFont val="宋体"/>
        <charset val="134"/>
      </rPr>
      <t>盘点</t>
    </r>
  </si>
  <si>
    <r>
      <t>ZQ-1</t>
    </r>
    <r>
      <rPr>
        <sz val="12"/>
        <rFont val="宋体"/>
        <charset val="134"/>
      </rPr>
      <t>24</t>
    </r>
    <r>
      <rPr>
        <sz val="12"/>
        <rFont val="宋体"/>
        <charset val="134"/>
      </rPr>
      <t>,用</t>
    </r>
    <r>
      <rPr>
        <sz val="12"/>
        <rFont val="宋体"/>
        <charset val="134"/>
      </rPr>
      <t xml:space="preserve"> 规格</t>
    </r>
  </si>
  <si>
    <t>3M552S8</t>
  </si>
  <si>
    <t>23.08.09</t>
  </si>
  <si>
    <r>
      <t>3M9415PC</t>
    </r>
    <r>
      <rPr>
        <b/>
        <sz val="12"/>
        <color indexed="12"/>
        <rFont val="宋体"/>
        <charset val="134"/>
      </rPr>
      <t>(万绰)</t>
    </r>
  </si>
  <si>
    <t>下面是; DSKH2 材料</t>
  </si>
  <si>
    <r>
      <t xml:space="preserve">DSKH2 </t>
    </r>
    <r>
      <rPr>
        <sz val="12"/>
        <rFont val="宋体"/>
        <charset val="134"/>
      </rPr>
      <t>80U油胶(</t>
    </r>
    <r>
      <rPr>
        <b/>
        <sz val="12"/>
        <color indexed="10"/>
        <rFont val="宋体"/>
        <charset val="134"/>
      </rPr>
      <t>集鑫福</t>
    </r>
    <r>
      <rPr>
        <sz val="12"/>
        <rFont val="宋体"/>
        <charset val="134"/>
      </rPr>
      <t>)</t>
    </r>
  </si>
  <si>
    <r>
      <t>X</t>
    </r>
    <r>
      <rPr>
        <sz val="12"/>
        <rFont val="宋体"/>
        <charset val="134"/>
      </rPr>
      <t>YX-096</t>
    </r>
  </si>
  <si>
    <r>
      <t>G区架一，四层-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</si>
  <si>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r>
      <t xml:space="preserve">DSKH2 </t>
    </r>
    <r>
      <rPr>
        <sz val="12"/>
        <rFont val="宋体"/>
        <charset val="134"/>
      </rPr>
      <t>80U油胶(</t>
    </r>
    <r>
      <rPr>
        <sz val="12"/>
        <color indexed="10"/>
        <rFont val="宋体"/>
        <charset val="134"/>
      </rPr>
      <t>鸿盛</t>
    </r>
    <r>
      <rPr>
        <sz val="12"/>
        <rFont val="宋体"/>
        <charset val="134"/>
      </rPr>
      <t>)</t>
    </r>
  </si>
  <si>
    <t>26.03.07</t>
  </si>
  <si>
    <r>
      <t>26.03.07</t>
    </r>
    <r>
      <rPr>
        <b/>
        <sz val="10"/>
        <color indexed="11"/>
        <rFont val="宋体"/>
        <charset val="134"/>
      </rPr>
      <t>盘点</t>
    </r>
  </si>
  <si>
    <t>25.04.01</t>
  </si>
  <si>
    <r>
      <t>25.04.01</t>
    </r>
    <r>
      <rPr>
        <b/>
        <sz val="10"/>
        <color indexed="11"/>
        <rFont val="宋体"/>
        <charset val="134"/>
      </rPr>
      <t>盘点</t>
    </r>
  </si>
  <si>
    <t>25.04.10</t>
  </si>
  <si>
    <r>
      <t>25.04.11</t>
    </r>
    <r>
      <rPr>
        <b/>
        <sz val="10"/>
        <color indexed="11"/>
        <rFont val="宋体"/>
        <charset val="134"/>
      </rPr>
      <t>盘点</t>
    </r>
  </si>
  <si>
    <t>下面是; RUBBER（DSMS） 材料</t>
  </si>
  <si>
    <t>RUBBER胶(DSMS)</t>
  </si>
  <si>
    <r>
      <t>25.07.21</t>
    </r>
    <r>
      <rPr>
        <b/>
        <sz val="10"/>
        <color indexed="11"/>
        <rFont val="宋体"/>
        <charset val="134"/>
      </rPr>
      <t>盘点</t>
    </r>
  </si>
  <si>
    <r>
      <t>冲拉布胶用J</t>
    </r>
    <r>
      <rPr>
        <sz val="12"/>
        <rFont val="宋体"/>
        <charset val="134"/>
      </rPr>
      <t>TT-842-846系列</t>
    </r>
  </si>
  <si>
    <r>
      <t>25.04.23</t>
    </r>
    <r>
      <rPr>
        <b/>
        <sz val="10"/>
        <color indexed="11"/>
        <rFont val="宋体"/>
        <charset val="134"/>
      </rPr>
      <t>盘点</t>
    </r>
  </si>
  <si>
    <t>冲拉布胶用</t>
  </si>
  <si>
    <r>
      <t>L</t>
    </r>
    <r>
      <rPr>
        <sz val="12"/>
        <rFont val="宋体"/>
        <charset val="134"/>
      </rPr>
      <t>WJ-165/195系列</t>
    </r>
  </si>
  <si>
    <r>
      <t>J</t>
    </r>
    <r>
      <rPr>
        <sz val="12"/>
        <rFont val="宋体"/>
        <charset val="134"/>
      </rPr>
      <t>ST-1313</t>
    </r>
  </si>
  <si>
    <r>
      <t>J</t>
    </r>
    <r>
      <rPr>
        <sz val="12"/>
        <rFont val="宋体"/>
        <charset val="134"/>
      </rPr>
      <t>ST-1329</t>
    </r>
  </si>
  <si>
    <r>
      <t>J</t>
    </r>
    <r>
      <rPr>
        <sz val="12"/>
        <rFont val="宋体"/>
        <charset val="134"/>
      </rPr>
      <t>ST-1313/1329</t>
    </r>
  </si>
  <si>
    <t>下面是; NO.5015 材料</t>
  </si>
  <si>
    <r>
      <t>NO.5015(</t>
    </r>
    <r>
      <rPr>
        <sz val="12"/>
        <color indexed="17"/>
        <rFont val="宋体"/>
        <charset val="134"/>
      </rPr>
      <t>閩盛</t>
    </r>
    <r>
      <rPr>
        <sz val="12"/>
        <color indexed="8"/>
        <rFont val="宋体"/>
        <charset val="134"/>
      </rPr>
      <t>）</t>
    </r>
  </si>
  <si>
    <t>26.03.11</t>
  </si>
  <si>
    <r>
      <t>26.03.11</t>
    </r>
    <r>
      <rPr>
        <b/>
        <sz val="10"/>
        <color indexed="11"/>
        <rFont val="宋体"/>
        <charset val="134"/>
      </rPr>
      <t>盘点</t>
    </r>
  </si>
  <si>
    <t>G区架一，三层-2格</t>
  </si>
  <si>
    <t>25.09.28</t>
  </si>
  <si>
    <r>
      <t>25.09.28</t>
    </r>
    <r>
      <rPr>
        <b/>
        <sz val="10"/>
        <color indexed="11"/>
        <rFont val="宋体"/>
        <charset val="134"/>
      </rPr>
      <t>盘点</t>
    </r>
  </si>
  <si>
    <r>
      <t>现场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实际=</t>
    </r>
    <r>
      <rPr>
        <sz val="12"/>
        <rFont val="宋体"/>
        <charset val="134"/>
      </rPr>
      <t>195宽</t>
    </r>
  </si>
  <si>
    <r>
      <t>26.03.28</t>
    </r>
    <r>
      <rPr>
        <b/>
        <sz val="10"/>
        <color indexed="11"/>
        <rFont val="宋体"/>
        <charset val="134"/>
      </rPr>
      <t>盘点</t>
    </r>
  </si>
  <si>
    <r>
      <t>NO.5015</t>
    </r>
    <r>
      <rPr>
        <sz val="12"/>
        <rFont val="宋体"/>
        <charset val="134"/>
      </rPr>
      <t>(伟壹昊)</t>
    </r>
  </si>
  <si>
    <t>下面是; NO.5000NS 材料</t>
  </si>
  <si>
    <r>
      <t>NO.5000NS</t>
    </r>
    <r>
      <rPr>
        <sz val="12"/>
        <rFont val="宋体"/>
        <charset val="134"/>
      </rPr>
      <t>(伟壹昊)</t>
    </r>
  </si>
  <si>
    <t>26.03.02</t>
  </si>
  <si>
    <r>
      <t>26.03.02</t>
    </r>
    <r>
      <rPr>
        <b/>
        <sz val="10"/>
        <color indexed="11"/>
        <rFont val="宋体"/>
        <charset val="134"/>
      </rPr>
      <t>盘点</t>
    </r>
  </si>
  <si>
    <r>
      <t>G区架一，三层-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</si>
  <si>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t>下面是; NO.500 材料</t>
  </si>
  <si>
    <r>
      <t>NO.500(</t>
    </r>
    <r>
      <rPr>
        <sz val="12"/>
        <color indexed="12"/>
        <rFont val="宋体"/>
        <charset val="134"/>
      </rPr>
      <t>伟壹昊</t>
    </r>
    <r>
      <rPr>
        <sz val="12"/>
        <color indexed="8"/>
        <rFont val="宋体"/>
        <charset val="134"/>
      </rPr>
      <t>）</t>
    </r>
  </si>
  <si>
    <r>
      <t>2</t>
    </r>
    <r>
      <rPr>
        <sz val="12"/>
        <rFont val="宋体"/>
        <charset val="134"/>
      </rPr>
      <t>6.06.04，入</t>
    </r>
  </si>
  <si>
    <t>25.09.27</t>
  </si>
  <si>
    <t>26.06.04</t>
  </si>
  <si>
    <t>下面是; CY.3200B 材料</t>
  </si>
  <si>
    <r>
      <t>0.2mm黑色CY3200B(</t>
    </r>
    <r>
      <rPr>
        <b/>
        <sz val="12"/>
        <color indexed="12"/>
        <rFont val="宋体"/>
        <charset val="134"/>
      </rPr>
      <t>新亚洲</t>
    </r>
    <r>
      <rPr>
        <b/>
        <sz val="12"/>
        <rFont val="宋体"/>
        <charset val="134"/>
      </rPr>
      <t>）</t>
    </r>
  </si>
  <si>
    <t>25.11.14</t>
  </si>
  <si>
    <r>
      <t>25.11.14</t>
    </r>
    <r>
      <rPr>
        <b/>
        <sz val="10"/>
        <color indexed="11"/>
        <rFont val="宋体"/>
        <charset val="134"/>
      </rPr>
      <t>盘点</t>
    </r>
  </si>
  <si>
    <t>0.05mm黑色DY72BJ</t>
  </si>
  <si>
    <t>24.11.07</t>
  </si>
  <si>
    <t>QF-158,专用</t>
  </si>
  <si>
    <t>0.1mm黑色DY100BHJ</t>
  </si>
  <si>
    <t>25.08.12</t>
  </si>
  <si>
    <r>
      <t>25.08.12</t>
    </r>
    <r>
      <rPr>
        <b/>
        <sz val="10"/>
        <color indexed="11"/>
        <rFont val="宋体"/>
        <charset val="134"/>
      </rPr>
      <t>盘点</t>
    </r>
  </si>
  <si>
    <t>0.2mm黑色DJ200BL</t>
  </si>
  <si>
    <t>24.12.18</t>
  </si>
  <si>
    <t xml:space="preserve"> ? 打样</t>
  </si>
  <si>
    <t>0.125mm黑色DG125B</t>
  </si>
  <si>
    <r>
      <t>24.12.18</t>
    </r>
    <r>
      <rPr>
        <b/>
        <sz val="10"/>
        <color indexed="11"/>
        <rFont val="宋体"/>
        <charset val="134"/>
      </rPr>
      <t>盘点</t>
    </r>
  </si>
  <si>
    <t>0.2mm黑色CY3200B</t>
  </si>
  <si>
    <t>25.08.27</t>
  </si>
  <si>
    <r>
      <t>J</t>
    </r>
    <r>
      <rPr>
        <sz val="12"/>
        <rFont val="宋体"/>
        <charset val="134"/>
      </rPr>
      <t>TT-705,/704</t>
    </r>
  </si>
  <si>
    <r>
      <t>日立11-583(</t>
    </r>
    <r>
      <rPr>
        <sz val="12"/>
        <color indexed="12"/>
        <rFont val="宋体"/>
        <charset val="134"/>
      </rPr>
      <t>网购</t>
    </r>
    <r>
      <rPr>
        <sz val="12"/>
        <rFont val="宋体"/>
        <charset val="134"/>
      </rPr>
      <t>）</t>
    </r>
  </si>
  <si>
    <t>25.03.24</t>
  </si>
  <si>
    <r>
      <t>25.10.09</t>
    </r>
    <r>
      <rPr>
        <b/>
        <sz val="10"/>
        <color indexed="11"/>
        <rFont val="宋体"/>
        <charset val="134"/>
      </rPr>
      <t>盘点</t>
    </r>
  </si>
  <si>
    <t>下面是; 磨砂 硅胶 材料</t>
  </si>
  <si>
    <t>70度黑色磨砂硅胶(0.5)+T4000）</t>
  </si>
  <si>
    <t>24.12.03</t>
  </si>
  <si>
    <t>G区架一，二层-2格</t>
  </si>
  <si>
    <t>70度黑色磨砂硅胶(1.0)+T4000</t>
  </si>
  <si>
    <t>24.12.31</t>
  </si>
  <si>
    <r>
      <t>26.02.07</t>
    </r>
    <r>
      <rPr>
        <b/>
        <sz val="8"/>
        <color indexed="11"/>
        <rFont val="宋体"/>
        <charset val="134"/>
      </rPr>
      <t>盘点</t>
    </r>
  </si>
  <si>
    <r>
      <t>H</t>
    </r>
    <r>
      <rPr>
        <sz val="12"/>
        <rFont val="宋体"/>
        <charset val="134"/>
      </rPr>
      <t>ZLT-033,小边冲</t>
    </r>
  </si>
  <si>
    <r>
      <t>H</t>
    </r>
    <r>
      <rPr>
        <sz val="12"/>
        <rFont val="宋体"/>
        <charset val="134"/>
      </rPr>
      <t>ZLT-033,大边冲</t>
    </r>
  </si>
  <si>
    <r>
      <t>70度黑色磨砂硅胶</t>
    </r>
    <r>
      <rPr>
        <b/>
        <sz val="12"/>
        <color indexed="12"/>
        <rFont val="宋体"/>
        <charset val="134"/>
      </rPr>
      <t>(2.0)-无胶</t>
    </r>
  </si>
  <si>
    <t>24.03.12</t>
  </si>
  <si>
    <r>
      <t>40</t>
    </r>
    <r>
      <rPr>
        <sz val="12"/>
        <rFont val="宋体"/>
        <charset val="134"/>
      </rPr>
      <t>度黑色磨砂硅胶</t>
    </r>
    <r>
      <rPr>
        <b/>
        <sz val="12"/>
        <color indexed="12"/>
        <rFont val="宋体"/>
        <charset val="134"/>
      </rPr>
      <t>(1.0)-无胶</t>
    </r>
  </si>
  <si>
    <t>24.12.13</t>
  </si>
  <si>
    <t>CF-029/030 样品</t>
  </si>
  <si>
    <r>
      <t>40</t>
    </r>
    <r>
      <rPr>
        <sz val="12"/>
        <rFont val="宋体"/>
        <charset val="134"/>
      </rPr>
      <t>度黑色磨砂硅胶</t>
    </r>
    <r>
      <rPr>
        <b/>
        <sz val="12"/>
        <color indexed="12"/>
        <rFont val="宋体"/>
        <charset val="134"/>
      </rPr>
      <t>(1.5)-无胶</t>
    </r>
  </si>
  <si>
    <t>CF-028 样品</t>
  </si>
  <si>
    <t>0.6白色透明硅胶，</t>
  </si>
  <si>
    <t>25.01.21.</t>
  </si>
  <si>
    <r>
      <t>25.01.21</t>
    </r>
    <r>
      <rPr>
        <b/>
        <sz val="8"/>
        <color indexed="11"/>
        <rFont val="宋体"/>
        <charset val="134"/>
      </rPr>
      <t>盘点</t>
    </r>
  </si>
  <si>
    <t>实际，时间很久了，发黄了</t>
  </si>
  <si>
    <t>下面是; FR60  材料</t>
  </si>
  <si>
    <t>FR60  0.254mm</t>
  </si>
  <si>
    <r>
      <t>25.10.27</t>
    </r>
    <r>
      <rPr>
        <b/>
        <sz val="8"/>
        <color indexed="11"/>
        <rFont val="宋体"/>
        <charset val="134"/>
      </rPr>
      <t>盘点</t>
    </r>
  </si>
  <si>
    <r>
      <t>G区架一，二层-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</si>
  <si>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t>21.08.27</t>
  </si>
  <si>
    <t>22.05.10</t>
  </si>
  <si>
    <r>
      <t>J</t>
    </r>
    <r>
      <rPr>
        <sz val="12"/>
        <rFont val="宋体"/>
        <charset val="134"/>
      </rPr>
      <t>ST-061</t>
    </r>
  </si>
  <si>
    <r>
      <t xml:space="preserve"> </t>
    </r>
    <r>
      <rPr>
        <b/>
        <sz val="12"/>
        <color indexed="12"/>
        <rFont val="宋体"/>
        <charset val="134"/>
      </rPr>
      <t>FR65</t>
    </r>
    <r>
      <rPr>
        <b/>
        <sz val="12"/>
        <rFont val="宋体"/>
        <charset val="134"/>
      </rPr>
      <t xml:space="preserve"> 0.25mm（龙跃宇）</t>
    </r>
  </si>
  <si>
    <t>26.05.06</t>
  </si>
  <si>
    <r>
      <t>26.05.06</t>
    </r>
    <r>
      <rPr>
        <b/>
        <sz val="8"/>
        <color indexed="11"/>
        <rFont val="宋体"/>
        <charset val="134"/>
      </rPr>
      <t>盘点</t>
    </r>
  </si>
  <si>
    <t>GF-462</t>
  </si>
  <si>
    <r>
      <t xml:space="preserve"> </t>
    </r>
    <r>
      <rPr>
        <b/>
        <sz val="12"/>
        <color indexed="12"/>
        <rFont val="宋体"/>
        <charset val="134"/>
      </rPr>
      <t>FR700</t>
    </r>
    <r>
      <rPr>
        <b/>
        <sz val="12"/>
        <rFont val="宋体"/>
        <charset val="134"/>
      </rPr>
      <t xml:space="preserve"> 0.254mm</t>
    </r>
  </si>
  <si>
    <t>13.01.01</t>
  </si>
  <si>
    <t>外观 黑色材料</t>
  </si>
  <si>
    <t>下面是; 自粘铝箔  材料</t>
  </si>
  <si>
    <t>80#自粘铝箔（富华）</t>
  </si>
  <si>
    <t>20.05.08</t>
  </si>
  <si>
    <r>
      <t>25.01.18</t>
    </r>
    <r>
      <rPr>
        <b/>
        <sz val="8"/>
        <color indexed="11"/>
        <rFont val="宋体"/>
        <charset val="134"/>
      </rPr>
      <t>盘点</t>
    </r>
  </si>
  <si>
    <t>50m/R</t>
  </si>
  <si>
    <t>50#自粘铝箔（富华）</t>
  </si>
  <si>
    <t>25.07.25</t>
  </si>
  <si>
    <r>
      <t>26.04.14</t>
    </r>
    <r>
      <rPr>
        <b/>
        <sz val="8"/>
        <color indexed="11"/>
        <rFont val="宋体"/>
        <charset val="134"/>
      </rPr>
      <t>盘点</t>
    </r>
  </si>
  <si>
    <r>
      <t>Y</t>
    </r>
    <r>
      <rPr>
        <sz val="12"/>
        <rFont val="宋体"/>
        <charset val="134"/>
      </rPr>
      <t>L-出货用</t>
    </r>
  </si>
  <si>
    <t>20.年以前</t>
  </si>
  <si>
    <t>TESA6930-银色（易碎）</t>
  </si>
  <si>
    <t>是说明/?</t>
  </si>
  <si>
    <t>特别说明：材料已发放冲型，可能不够，要订</t>
  </si>
  <si>
    <r>
      <t>G区架一，</t>
    </r>
    <r>
      <rPr>
        <b/>
        <sz val="9"/>
        <color indexed="12"/>
        <rFont val="宋体"/>
        <charset val="134"/>
      </rPr>
      <t>顶层</t>
    </r>
    <r>
      <rPr>
        <b/>
        <sz val="9"/>
        <rFont val="宋体"/>
        <charset val="134"/>
      </rPr>
      <t>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</si>
  <si>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t>25#亚克力胶消银龙</t>
  </si>
  <si>
    <t>20.06.08</t>
  </si>
  <si>
    <t>JST-1009</t>
  </si>
  <si>
    <t>75#自粘铜箔</t>
  </si>
  <si>
    <t>125#mm铜箔</t>
  </si>
  <si>
    <r>
      <t>25.11.28</t>
    </r>
    <r>
      <rPr>
        <b/>
        <sz val="8"/>
        <color indexed="11"/>
        <rFont val="宋体"/>
        <charset val="134"/>
      </rPr>
      <t>盘点</t>
    </r>
  </si>
  <si>
    <t>GF-403，专用</t>
  </si>
  <si>
    <t>100#亮银龙</t>
  </si>
  <si>
    <t>后续材料，不足M</t>
  </si>
  <si>
    <r>
      <t>100#光银龙黄底纸（</t>
    </r>
    <r>
      <rPr>
        <sz val="12"/>
        <rFont val="宋体"/>
        <charset val="134"/>
      </rPr>
      <t xml:space="preserve"> 鸿盛）</t>
    </r>
  </si>
  <si>
    <r>
      <t>26.06.06</t>
    </r>
    <r>
      <rPr>
        <b/>
        <sz val="8"/>
        <color indexed="11"/>
        <rFont val="宋体"/>
        <charset val="134"/>
      </rPr>
      <t>盘点</t>
    </r>
  </si>
  <si>
    <t>GF-462,使用</t>
  </si>
  <si>
    <r>
      <t>0</t>
    </r>
    <r>
      <rPr>
        <sz val="12"/>
        <rFont val="宋体"/>
        <charset val="134"/>
      </rPr>
      <t>.05</t>
    </r>
    <r>
      <rPr>
        <sz val="12"/>
        <rFont val="宋体"/>
        <charset val="134"/>
      </rPr>
      <t>mm双导铜箔胶带（宝佳盛）</t>
    </r>
  </si>
  <si>
    <t>253.06.25</t>
  </si>
  <si>
    <t>GF-587，专用</t>
  </si>
  <si>
    <r>
      <t>0</t>
    </r>
    <r>
      <rPr>
        <sz val="12"/>
        <rFont val="宋体"/>
        <charset val="134"/>
      </rPr>
      <t>.05mm不</t>
    </r>
    <r>
      <rPr>
        <sz val="12"/>
        <rFont val="宋体"/>
        <charset val="134"/>
      </rPr>
      <t>带胶菲林复铝箔（宝佳盛）</t>
    </r>
  </si>
  <si>
    <t>SY-010/009专用</t>
  </si>
  <si>
    <t>透明菲林胶带（宝佳盛）</t>
  </si>
  <si>
    <r>
      <t>5</t>
    </r>
    <r>
      <rPr>
        <sz val="12"/>
        <rFont val="宋体"/>
        <charset val="134"/>
      </rPr>
      <t>0umAL(铝箔)+50umTLT(宇帆）</t>
    </r>
  </si>
  <si>
    <t>太硬不能用</t>
  </si>
  <si>
    <r>
      <t>扩散片125#白色</t>
    </r>
    <r>
      <rPr>
        <sz val="12"/>
        <color indexed="20"/>
        <rFont val="宋体"/>
        <charset val="134"/>
      </rPr>
      <t>(永安）</t>
    </r>
  </si>
  <si>
    <t>G区架一，一层-2格</t>
  </si>
  <si>
    <r>
      <t>扩散片DK-100#白色</t>
    </r>
    <r>
      <rPr>
        <b/>
        <sz val="12"/>
        <color indexed="20"/>
        <rFont val="宋体"/>
        <charset val="134"/>
      </rPr>
      <t>(ZQ客供）</t>
    </r>
  </si>
  <si>
    <t>25.06.04</t>
  </si>
  <si>
    <r>
      <t>25.06.04</t>
    </r>
    <r>
      <rPr>
        <b/>
        <sz val="10"/>
        <color indexed="11"/>
        <rFont val="宋体"/>
        <charset val="134"/>
      </rPr>
      <t>盘点</t>
    </r>
  </si>
  <si>
    <r>
      <t>ZQ-138/</t>
    </r>
    <r>
      <rPr>
        <sz val="12"/>
        <rFont val="宋体"/>
        <charset val="134"/>
      </rPr>
      <t>客供材料，25.06.04</t>
    </r>
  </si>
  <si>
    <t>哑光YG100 扩散片(成浩林）</t>
  </si>
  <si>
    <t>24.01.20</t>
  </si>
  <si>
    <t>JJX-134/135/136,</t>
  </si>
  <si>
    <r>
      <t>YG</t>
    </r>
    <r>
      <rPr>
        <sz val="12"/>
        <rFont val="宋体"/>
        <charset val="134"/>
      </rPr>
      <t>75</t>
    </r>
    <r>
      <rPr>
        <sz val="12"/>
        <rFont val="宋体"/>
        <charset val="134"/>
      </rPr>
      <t xml:space="preserve"> 扩散片(联科）</t>
    </r>
  </si>
  <si>
    <t>26.03.14</t>
  </si>
  <si>
    <r>
      <t>26.03.14</t>
    </r>
    <r>
      <rPr>
        <b/>
        <sz val="10"/>
        <color indexed="11"/>
        <rFont val="宋体"/>
        <charset val="134"/>
      </rPr>
      <t>盘点</t>
    </r>
  </si>
  <si>
    <t>特别注明，带胶</t>
  </si>
  <si>
    <t>下面是; 光学胶 材料</t>
  </si>
  <si>
    <r>
      <t>0.05mm光学胶</t>
    </r>
    <r>
      <rPr>
        <sz val="12"/>
        <rFont val="宋体"/>
        <charset val="134"/>
      </rPr>
      <t>(</t>
    </r>
    <r>
      <rPr>
        <sz val="12"/>
        <rFont val="宋体"/>
        <charset val="134"/>
      </rPr>
      <t>KN-6050U</t>
    </r>
    <r>
      <rPr>
        <sz val="12"/>
        <rFont val="宋体"/>
        <charset val="134"/>
      </rPr>
      <t>)</t>
    </r>
    <r>
      <rPr>
        <sz val="12"/>
        <color indexed="12"/>
        <rFont val="宋体"/>
        <charset val="134"/>
      </rPr>
      <t>(加韵)</t>
    </r>
  </si>
  <si>
    <t>JST-237,专用</t>
  </si>
  <si>
    <r>
      <t>G区架一，一层-</t>
    </r>
    <r>
      <rPr>
        <b/>
        <sz val="9"/>
        <color indexed="12"/>
        <rFont val="宋体"/>
        <charset val="134"/>
      </rPr>
      <t>1</t>
    </r>
    <r>
      <rPr>
        <b/>
        <sz val="9"/>
        <rFont val="宋体"/>
        <charset val="134"/>
      </rPr>
      <t>格</t>
    </r>
  </si>
  <si>
    <r>
      <t>26.04..27</t>
    </r>
    <r>
      <rPr>
        <b/>
        <sz val="8"/>
        <color indexed="11"/>
        <rFont val="宋体"/>
        <charset val="134"/>
      </rPr>
      <t>盘点</t>
    </r>
  </si>
  <si>
    <r>
      <t>Y</t>
    </r>
    <r>
      <rPr>
        <sz val="12"/>
        <rFont val="宋体"/>
        <charset val="134"/>
      </rPr>
      <t>L-1088</t>
    </r>
  </si>
  <si>
    <r>
      <t>0.0</t>
    </r>
    <r>
      <rPr>
        <sz val="12"/>
        <rFont val="宋体"/>
        <charset val="134"/>
      </rPr>
      <t>7</t>
    </r>
    <r>
      <rPr>
        <sz val="12"/>
        <rFont val="宋体"/>
        <charset val="134"/>
      </rPr>
      <t>5mm光学胶</t>
    </r>
    <r>
      <rPr>
        <sz val="12"/>
        <rFont val="宋体"/>
        <charset val="134"/>
      </rPr>
      <t>(</t>
    </r>
    <r>
      <rPr>
        <sz val="12"/>
        <rFont val="宋体"/>
        <charset val="134"/>
      </rPr>
      <t>KN-</t>
    </r>
    <r>
      <rPr>
        <sz val="12"/>
        <rFont val="宋体"/>
        <charset val="134"/>
      </rPr>
      <t>7075</t>
    </r>
    <r>
      <rPr>
        <sz val="12"/>
        <rFont val="宋体"/>
        <charset val="134"/>
      </rPr>
      <t>U</t>
    </r>
    <r>
      <rPr>
        <sz val="12"/>
        <rFont val="宋体"/>
        <charset val="134"/>
      </rPr>
      <t>)</t>
    </r>
    <r>
      <rPr>
        <sz val="12"/>
        <color indexed="12"/>
        <rFont val="宋体"/>
        <charset val="134"/>
      </rPr>
      <t>(加韵)</t>
    </r>
  </si>
  <si>
    <r>
      <t>25.12.30</t>
    </r>
    <r>
      <rPr>
        <b/>
        <sz val="8"/>
        <color indexed="11"/>
        <rFont val="宋体"/>
        <charset val="134"/>
      </rPr>
      <t>盘点</t>
    </r>
  </si>
  <si>
    <t>样品膜</t>
  </si>
  <si>
    <r>
      <t>0</t>
    </r>
    <r>
      <rPr>
        <sz val="12"/>
        <rFont val="宋体"/>
        <charset val="134"/>
      </rPr>
      <t>.1</t>
    </r>
    <r>
      <rPr>
        <sz val="12"/>
        <rFont val="宋体"/>
        <charset val="134"/>
      </rPr>
      <t>mm光学胶KN-PR7100</t>
    </r>
    <r>
      <rPr>
        <sz val="12"/>
        <color indexed="12"/>
        <rFont val="宋体"/>
        <charset val="134"/>
      </rPr>
      <t>(加韵)</t>
    </r>
  </si>
  <si>
    <r>
      <t>0</t>
    </r>
    <r>
      <rPr>
        <sz val="12"/>
        <rFont val="宋体"/>
        <charset val="134"/>
      </rPr>
      <t>.175</t>
    </r>
    <r>
      <rPr>
        <sz val="12"/>
        <rFont val="宋体"/>
        <charset val="134"/>
      </rPr>
      <t>mm光学胶KN-</t>
    </r>
    <r>
      <rPr>
        <sz val="12"/>
        <rFont val="宋体"/>
        <charset val="134"/>
      </rPr>
      <t>7175</t>
    </r>
    <r>
      <rPr>
        <sz val="12"/>
        <color indexed="12"/>
        <rFont val="宋体"/>
        <charset val="134"/>
      </rPr>
      <t>(加韵)</t>
    </r>
  </si>
  <si>
    <r>
      <t>26.06.30</t>
    </r>
    <r>
      <rPr>
        <b/>
        <sz val="8"/>
        <color indexed="11"/>
        <rFont val="宋体"/>
        <charset val="134"/>
      </rPr>
      <t>盘点</t>
    </r>
  </si>
  <si>
    <r>
      <t>0.25mm</t>
    </r>
    <r>
      <rPr>
        <sz val="12"/>
        <rFont val="宋体"/>
        <charset val="134"/>
      </rPr>
      <t>光学胶</t>
    </r>
    <r>
      <rPr>
        <sz val="12"/>
        <rFont val="宋体"/>
        <charset val="134"/>
      </rPr>
      <t>(</t>
    </r>
    <r>
      <rPr>
        <sz val="12"/>
        <rFont val="宋体"/>
        <charset val="134"/>
      </rPr>
      <t>KN-</t>
    </r>
    <r>
      <rPr>
        <sz val="12"/>
        <rFont val="宋体"/>
        <charset val="134"/>
      </rPr>
      <t>7250)</t>
    </r>
    <r>
      <rPr>
        <sz val="12"/>
        <color indexed="12"/>
        <rFont val="宋体"/>
        <charset val="134"/>
      </rPr>
      <t>(加韵)</t>
    </r>
  </si>
  <si>
    <r>
      <t>J</t>
    </r>
    <r>
      <rPr>
        <sz val="12"/>
        <rFont val="宋体"/>
        <charset val="134"/>
      </rPr>
      <t>JXM-001/002,专用规格</t>
    </r>
  </si>
  <si>
    <r>
      <t>3M8146-5</t>
    </r>
    <r>
      <rPr>
        <sz val="12"/>
        <rFont val="宋体"/>
        <charset val="134"/>
      </rPr>
      <t xml:space="preserve"> OCA</t>
    </r>
    <r>
      <rPr>
        <sz val="12"/>
        <color indexed="10"/>
        <rFont val="宋体"/>
        <charset val="134"/>
      </rPr>
      <t>(</t>
    </r>
    <r>
      <rPr>
        <b/>
        <sz val="12"/>
        <color indexed="10"/>
        <rFont val="宋体"/>
        <charset val="134"/>
      </rPr>
      <t>万绰</t>
    </r>
    <r>
      <rPr>
        <sz val="12"/>
        <color indexed="10"/>
        <rFont val="宋体"/>
        <charset val="134"/>
      </rPr>
      <t>)光学胶</t>
    </r>
  </si>
  <si>
    <t>25.02.22</t>
  </si>
  <si>
    <r>
      <t>25.02.22</t>
    </r>
    <r>
      <rPr>
        <b/>
        <sz val="8"/>
        <color indexed="11"/>
        <rFont val="宋体"/>
        <charset val="134"/>
      </rPr>
      <t>盘点</t>
    </r>
  </si>
  <si>
    <t>KN-6100 / OCA 光学胶 样品</t>
  </si>
  <si>
    <t>25.05.04</t>
  </si>
  <si>
    <r>
      <t>25.05.04</t>
    </r>
    <r>
      <rPr>
        <b/>
        <sz val="8"/>
        <color indexed="11"/>
        <rFont val="宋体"/>
        <charset val="134"/>
      </rPr>
      <t>盘点</t>
    </r>
  </si>
  <si>
    <t>林总：给的，</t>
  </si>
  <si>
    <t>LJ 给光学胶 样品</t>
  </si>
  <si>
    <t>需要时可以看现场</t>
  </si>
  <si>
    <t>HDPE （JST-932)</t>
  </si>
  <si>
    <t>23.10.15</t>
  </si>
  <si>
    <t>JST-932,专用，小插卡</t>
  </si>
  <si>
    <r>
      <t>813</t>
    </r>
    <r>
      <rPr>
        <sz val="12"/>
        <rFont val="宋体"/>
        <charset val="134"/>
      </rPr>
      <t>A</t>
    </r>
    <r>
      <rPr>
        <sz val="12"/>
        <rFont val="宋体"/>
        <charset val="134"/>
      </rPr>
      <t xml:space="preserve"> PC (</t>
    </r>
    <r>
      <rPr>
        <sz val="12"/>
        <color indexed="10"/>
        <rFont val="宋体"/>
        <charset val="134"/>
      </rPr>
      <t>AD客供料</t>
    </r>
    <r>
      <rPr>
        <sz val="12"/>
        <rFont val="宋体"/>
        <charset val="134"/>
      </rPr>
      <t>）</t>
    </r>
  </si>
  <si>
    <r>
      <t>6</t>
    </r>
    <r>
      <rPr>
        <sz val="12"/>
        <rFont val="宋体"/>
        <charset val="134"/>
      </rPr>
      <t>00*457</t>
    </r>
  </si>
  <si>
    <t>材料很久了，AD/?</t>
  </si>
  <si>
    <t>在印刷贴膜房间胶框处，</t>
  </si>
  <si>
    <t>24.08.13</t>
  </si>
  <si>
    <t>JTT-729，用</t>
  </si>
  <si>
    <t>24.08.06</t>
  </si>
  <si>
    <r>
      <t>JTT-729，用</t>
    </r>
    <r>
      <rPr>
        <sz val="12"/>
        <rFont val="宋体"/>
        <charset val="134"/>
      </rPr>
      <t>/JTT-829</t>
    </r>
  </si>
  <si>
    <t xml:space="preserve">下面是：零件部分 </t>
  </si>
  <si>
    <t>DN25.4-ODN-280-10C</t>
  </si>
  <si>
    <t>全通</t>
  </si>
  <si>
    <t>0.25g</t>
  </si>
  <si>
    <t>放在灯框子跟法国镀镍弹片的纸箱里</t>
  </si>
  <si>
    <t>17.78-ODN-350</t>
  </si>
  <si>
    <t>8-RDF-280</t>
  </si>
  <si>
    <t>不锈钢</t>
  </si>
  <si>
    <t>目前不用</t>
  </si>
  <si>
    <t>6-SNL-120</t>
  </si>
  <si>
    <t>6-SNL-220</t>
  </si>
  <si>
    <t>8.4-SDL-200</t>
  </si>
  <si>
    <t>8.4-SDL-220</t>
  </si>
  <si>
    <t>8.4-SNL-280</t>
  </si>
  <si>
    <t>8.4-SNL-350</t>
  </si>
  <si>
    <t>10-SNL-280</t>
  </si>
  <si>
    <t>10-SDL-220</t>
  </si>
  <si>
    <t>12.2-SDL-250（XXS-004专用）</t>
  </si>
  <si>
    <t>12A250-0010(有点）兴明达</t>
  </si>
  <si>
    <t>12.2-SDL-300（XXS-018专用）</t>
  </si>
  <si>
    <t>12A300-0010(有点）兴明达</t>
  </si>
  <si>
    <t>12.2-SNL-280</t>
  </si>
  <si>
    <t>12.2-SNL-450</t>
  </si>
  <si>
    <t>12.2-TDF-280</t>
  </si>
  <si>
    <t>12-FDF-400</t>
  </si>
  <si>
    <r>
      <t>E</t>
    </r>
    <r>
      <rPr>
        <sz val="12"/>
        <rFont val="宋体"/>
        <charset val="134"/>
      </rPr>
      <t>DN 5DIP 220g</t>
    </r>
  </si>
  <si>
    <t>镀镍弹片</t>
  </si>
  <si>
    <t>HZLT-082专用弹片（含：钢片补强、弹片胶带、垫片）一套</t>
  </si>
  <si>
    <t>HJ-8428FRN(2.5)</t>
  </si>
  <si>
    <t>放在8.4的25号框里</t>
  </si>
  <si>
    <t>0.056g</t>
  </si>
  <si>
    <t>HJ-8428FDN</t>
  </si>
  <si>
    <t>280g带点镀镍</t>
  </si>
  <si>
    <t>0.031g</t>
  </si>
  <si>
    <t>HJ-8428FGN</t>
  </si>
  <si>
    <t>280g镀镍弹片</t>
  </si>
  <si>
    <r>
      <t>HJ-84</t>
    </r>
    <r>
      <rPr>
        <sz val="12"/>
        <rFont val="宋体"/>
        <charset val="134"/>
      </rPr>
      <t>35FDN-4</t>
    </r>
  </si>
  <si>
    <r>
      <t>3</t>
    </r>
    <r>
      <rPr>
        <sz val="12"/>
        <rFont val="宋体"/>
        <charset val="134"/>
      </rPr>
      <t>50g镀镍弹片</t>
    </r>
  </si>
  <si>
    <t>HJ-10028FDN</t>
  </si>
  <si>
    <t>0.0445g</t>
  </si>
  <si>
    <r>
      <t>HJ-100</t>
    </r>
    <r>
      <rPr>
        <sz val="12"/>
        <rFont val="宋体"/>
        <charset val="134"/>
      </rPr>
      <t>35FDN</t>
    </r>
  </si>
  <si>
    <r>
      <t>3</t>
    </r>
    <r>
      <rPr>
        <sz val="12"/>
        <rFont val="宋体"/>
        <charset val="134"/>
      </rPr>
      <t>50g带点镀镍</t>
    </r>
  </si>
  <si>
    <r>
      <t>HJ-100</t>
    </r>
    <r>
      <rPr>
        <sz val="12"/>
        <rFont val="宋体"/>
        <charset val="134"/>
      </rPr>
      <t>35F</t>
    </r>
    <r>
      <rPr>
        <sz val="12"/>
        <rFont val="宋体"/>
        <charset val="134"/>
      </rPr>
      <t>G</t>
    </r>
    <r>
      <rPr>
        <sz val="12"/>
        <rFont val="宋体"/>
        <charset val="134"/>
      </rPr>
      <t>N</t>
    </r>
  </si>
  <si>
    <r>
      <t>HJ-100</t>
    </r>
    <r>
      <rPr>
        <sz val="12"/>
        <rFont val="宋体"/>
        <charset val="134"/>
      </rPr>
      <t>40</t>
    </r>
    <r>
      <rPr>
        <sz val="12"/>
        <rFont val="宋体"/>
        <charset val="134"/>
      </rPr>
      <t>FDN</t>
    </r>
  </si>
  <si>
    <r>
      <t>HJ-1222</t>
    </r>
    <r>
      <rPr>
        <sz val="12"/>
        <rFont val="宋体"/>
        <charset val="134"/>
      </rPr>
      <t>5</t>
    </r>
    <r>
      <rPr>
        <sz val="12"/>
        <rFont val="宋体"/>
        <charset val="134"/>
      </rPr>
      <t>FDN</t>
    </r>
  </si>
  <si>
    <r>
      <t>2</t>
    </r>
    <r>
      <rPr>
        <sz val="12"/>
        <rFont val="宋体"/>
        <charset val="134"/>
      </rPr>
      <t>5</t>
    </r>
    <r>
      <rPr>
        <sz val="12"/>
        <rFont val="宋体"/>
        <charset val="134"/>
      </rPr>
      <t>0g带点镀镍</t>
    </r>
  </si>
  <si>
    <t>HJ-12228FDN</t>
  </si>
  <si>
    <t>0.0435g</t>
  </si>
  <si>
    <t>HJ-12235FGN</t>
  </si>
  <si>
    <r>
      <t>350g</t>
    </r>
    <r>
      <rPr>
        <sz val="12"/>
        <color indexed="10"/>
        <rFont val="宋体"/>
        <charset val="134"/>
      </rPr>
      <t>无</t>
    </r>
    <r>
      <rPr>
        <sz val="12"/>
        <rFont val="宋体"/>
        <charset val="134"/>
      </rPr>
      <t>点镀镍</t>
    </r>
  </si>
  <si>
    <t>0.0615g</t>
  </si>
  <si>
    <t>HJ-12235FDN</t>
  </si>
  <si>
    <t>350g带点镀镍</t>
  </si>
  <si>
    <r>
      <t>HJ-122</t>
    </r>
    <r>
      <rPr>
        <sz val="12"/>
        <rFont val="宋体"/>
        <charset val="134"/>
      </rPr>
      <t>4</t>
    </r>
    <r>
      <rPr>
        <sz val="12"/>
        <rFont val="宋体"/>
        <charset val="134"/>
      </rPr>
      <t>0FDN</t>
    </r>
  </si>
  <si>
    <r>
      <t>4</t>
    </r>
    <r>
      <rPr>
        <sz val="12"/>
        <rFont val="宋体"/>
        <charset val="134"/>
      </rPr>
      <t>00g带点镀镍</t>
    </r>
  </si>
  <si>
    <r>
      <t>HJ-122</t>
    </r>
    <r>
      <rPr>
        <sz val="12"/>
        <rFont val="宋体"/>
        <charset val="134"/>
      </rPr>
      <t>45</t>
    </r>
    <r>
      <rPr>
        <sz val="12"/>
        <rFont val="宋体"/>
        <charset val="134"/>
      </rPr>
      <t>FDN</t>
    </r>
  </si>
  <si>
    <r>
      <t>45</t>
    </r>
    <r>
      <rPr>
        <sz val="12"/>
        <rFont val="宋体"/>
        <charset val="134"/>
      </rPr>
      <t>0g带点镀镍</t>
    </r>
  </si>
  <si>
    <r>
      <t>HJ-122</t>
    </r>
    <r>
      <rPr>
        <sz val="12"/>
        <rFont val="宋体"/>
        <charset val="134"/>
      </rPr>
      <t>50FDN</t>
    </r>
  </si>
  <si>
    <r>
      <t>5</t>
    </r>
    <r>
      <rPr>
        <sz val="12"/>
        <rFont val="宋体"/>
        <charset val="134"/>
      </rPr>
      <t>00g带点镀镍</t>
    </r>
  </si>
  <si>
    <t>HJ-12228FDN-4</t>
  </si>
  <si>
    <r>
      <t>280g</t>
    </r>
    <r>
      <rPr>
        <sz val="12"/>
        <color indexed="10"/>
        <rFont val="宋体"/>
        <charset val="134"/>
      </rPr>
      <t>四角</t>
    </r>
    <r>
      <rPr>
        <sz val="12"/>
        <rFont val="宋体"/>
        <charset val="134"/>
      </rPr>
      <t>点镀镍</t>
    </r>
  </si>
  <si>
    <t>0.0735g</t>
  </si>
  <si>
    <t>HJ-12235FDN-4</t>
  </si>
  <si>
    <r>
      <t>350g</t>
    </r>
    <r>
      <rPr>
        <sz val="12"/>
        <color indexed="10"/>
        <rFont val="宋体"/>
        <charset val="134"/>
      </rPr>
      <t>四角</t>
    </r>
    <r>
      <rPr>
        <sz val="12"/>
        <rFont val="宋体"/>
        <charset val="134"/>
      </rPr>
      <t>点镀镍</t>
    </r>
  </si>
  <si>
    <r>
      <t>HJ-160</t>
    </r>
    <r>
      <rPr>
        <sz val="12"/>
        <rFont val="宋体"/>
        <charset val="134"/>
      </rPr>
      <t>35</t>
    </r>
    <r>
      <rPr>
        <sz val="12"/>
        <rFont val="宋体"/>
        <charset val="134"/>
      </rPr>
      <t>F</t>
    </r>
    <r>
      <rPr>
        <sz val="12"/>
        <rFont val="宋体"/>
        <charset val="134"/>
      </rPr>
      <t>G</t>
    </r>
    <r>
      <rPr>
        <sz val="12"/>
        <rFont val="宋体"/>
        <charset val="134"/>
      </rPr>
      <t>N</t>
    </r>
  </si>
  <si>
    <r>
      <t>350</t>
    </r>
    <r>
      <rPr>
        <sz val="12"/>
        <rFont val="宋体"/>
        <charset val="134"/>
      </rPr>
      <t>g镀镍弹片</t>
    </r>
  </si>
  <si>
    <r>
      <t>HJ-1</t>
    </r>
    <r>
      <rPr>
        <sz val="12"/>
        <rFont val="宋体"/>
        <charset val="134"/>
      </rPr>
      <t>6045FDN</t>
    </r>
  </si>
  <si>
    <r>
      <t>450g</t>
    </r>
    <r>
      <rPr>
        <sz val="12"/>
        <color indexed="10"/>
        <rFont val="宋体"/>
        <charset val="134"/>
      </rPr>
      <t>四角</t>
    </r>
    <r>
      <rPr>
        <sz val="12"/>
        <rFont val="宋体"/>
        <charset val="134"/>
      </rPr>
      <t>点镀镍</t>
    </r>
  </si>
  <si>
    <r>
      <t>HJ-1</t>
    </r>
    <r>
      <rPr>
        <sz val="12"/>
        <rFont val="宋体"/>
        <charset val="134"/>
      </rPr>
      <t>60</t>
    </r>
    <r>
      <rPr>
        <sz val="12"/>
        <rFont val="宋体"/>
        <charset val="134"/>
      </rPr>
      <t>50</t>
    </r>
    <r>
      <rPr>
        <sz val="12"/>
        <rFont val="宋体"/>
        <charset val="134"/>
      </rPr>
      <t>FDN</t>
    </r>
  </si>
  <si>
    <r>
      <t>5</t>
    </r>
    <r>
      <rPr>
        <sz val="12"/>
        <rFont val="宋体"/>
        <charset val="134"/>
      </rPr>
      <t>0</t>
    </r>
    <r>
      <rPr>
        <sz val="12"/>
        <rFont val="宋体"/>
        <charset val="134"/>
      </rPr>
      <t>0g</t>
    </r>
    <r>
      <rPr>
        <sz val="12"/>
        <color indexed="10"/>
        <rFont val="宋体"/>
        <charset val="134"/>
      </rPr>
      <t>四角</t>
    </r>
    <r>
      <rPr>
        <sz val="12"/>
        <rFont val="宋体"/>
        <charset val="134"/>
      </rPr>
      <t>点镀镍</t>
    </r>
  </si>
  <si>
    <r>
      <t>HJ-</t>
    </r>
    <r>
      <rPr>
        <sz val="12"/>
        <rFont val="宋体"/>
        <charset val="134"/>
      </rPr>
      <t>20040</t>
    </r>
    <r>
      <rPr>
        <sz val="12"/>
        <rFont val="宋体"/>
        <charset val="134"/>
      </rPr>
      <t>F</t>
    </r>
    <r>
      <rPr>
        <sz val="12"/>
        <rFont val="宋体"/>
        <charset val="134"/>
      </rPr>
      <t>G</t>
    </r>
    <r>
      <rPr>
        <sz val="12"/>
        <rFont val="宋体"/>
        <charset val="134"/>
      </rPr>
      <t>N</t>
    </r>
  </si>
  <si>
    <r>
      <t>400</t>
    </r>
    <r>
      <rPr>
        <sz val="12"/>
        <rFont val="宋体"/>
        <charset val="134"/>
      </rPr>
      <t>g镀镍弹片</t>
    </r>
  </si>
  <si>
    <t>HJ-6022FDU</t>
  </si>
  <si>
    <t>220g带点镀金</t>
  </si>
  <si>
    <r>
      <t>HJ-</t>
    </r>
    <r>
      <rPr>
        <sz val="12"/>
        <rFont val="宋体"/>
        <charset val="134"/>
      </rPr>
      <t>12234</t>
    </r>
    <r>
      <rPr>
        <sz val="12"/>
        <rFont val="宋体"/>
        <charset val="134"/>
      </rPr>
      <t>FDU</t>
    </r>
  </si>
  <si>
    <r>
      <t>HJ-60</t>
    </r>
    <r>
      <rPr>
        <sz val="12"/>
        <rFont val="宋体"/>
        <charset val="134"/>
      </rPr>
      <t>22FGN</t>
    </r>
  </si>
  <si>
    <r>
      <t>2</t>
    </r>
    <r>
      <rPr>
        <sz val="12"/>
        <rFont val="宋体"/>
        <charset val="134"/>
      </rPr>
      <t>20g镀镍弹片</t>
    </r>
  </si>
  <si>
    <t>HJ-12240FDU</t>
  </si>
  <si>
    <t>400g带点镀金</t>
  </si>
  <si>
    <r>
      <t>HJ-</t>
    </r>
    <r>
      <rPr>
        <sz val="12"/>
        <rFont val="宋体"/>
        <charset val="134"/>
      </rPr>
      <t>8428</t>
    </r>
    <r>
      <rPr>
        <sz val="12"/>
        <rFont val="宋体"/>
        <charset val="134"/>
      </rPr>
      <t>F</t>
    </r>
    <r>
      <rPr>
        <sz val="12"/>
        <rFont val="宋体"/>
        <charset val="134"/>
      </rPr>
      <t>G</t>
    </r>
    <r>
      <rPr>
        <sz val="12"/>
        <rFont val="宋体"/>
        <charset val="134"/>
      </rPr>
      <t>U</t>
    </r>
  </si>
  <si>
    <t>280g无点镀金</t>
  </si>
  <si>
    <r>
      <t>6</t>
    </r>
    <r>
      <rPr>
        <sz val="12"/>
        <rFont val="宋体"/>
        <charset val="134"/>
      </rPr>
      <t>-RDN-220g</t>
    </r>
  </si>
  <si>
    <t>圆形弹片</t>
  </si>
  <si>
    <r>
      <t>6</t>
    </r>
    <r>
      <rPr>
        <sz val="12"/>
        <rFont val="宋体"/>
        <charset val="134"/>
      </rPr>
      <t>.4</t>
    </r>
    <r>
      <rPr>
        <sz val="12"/>
        <rFont val="宋体"/>
        <charset val="134"/>
      </rPr>
      <t>-SNL-180</t>
    </r>
  </si>
  <si>
    <t>镀镍弹片（NI/SS)</t>
  </si>
  <si>
    <r>
      <t>6</t>
    </r>
    <r>
      <rPr>
        <sz val="12"/>
        <rFont val="宋体"/>
        <charset val="134"/>
      </rPr>
      <t>.4</t>
    </r>
    <r>
      <rPr>
        <sz val="12"/>
        <rFont val="宋体"/>
        <charset val="134"/>
      </rPr>
      <t>-SNL-220</t>
    </r>
  </si>
  <si>
    <t>0.0103g</t>
  </si>
  <si>
    <r>
      <t>6</t>
    </r>
    <r>
      <rPr>
        <sz val="12"/>
        <rFont val="宋体"/>
        <charset val="134"/>
      </rPr>
      <t>.4</t>
    </r>
    <r>
      <rPr>
        <sz val="12"/>
        <rFont val="宋体"/>
        <charset val="134"/>
      </rPr>
      <t>-SDL-220</t>
    </r>
  </si>
  <si>
    <t>0.0091g</t>
  </si>
  <si>
    <t>7.4-SNL-280</t>
  </si>
  <si>
    <t>0.0162g</t>
  </si>
  <si>
    <t>8.4-SDL-180</t>
  </si>
  <si>
    <t>0.021g</t>
  </si>
  <si>
    <t>8.4-SNL-220</t>
  </si>
  <si>
    <t>0.0238g</t>
  </si>
  <si>
    <t>8.4-SDL-280</t>
  </si>
  <si>
    <t>0.0242g</t>
  </si>
  <si>
    <t>0.0241g</t>
  </si>
  <si>
    <t>8.4-SDL-350</t>
  </si>
  <si>
    <t>0.024g</t>
  </si>
  <si>
    <t>8.4-SNL-450</t>
  </si>
  <si>
    <t>0.035g</t>
  </si>
  <si>
    <t>10-SNL-220</t>
  </si>
  <si>
    <t>0.0348g</t>
  </si>
  <si>
    <t>用JST-199</t>
  </si>
  <si>
    <t>10-SDL-280</t>
  </si>
  <si>
    <t>0.0449g</t>
  </si>
  <si>
    <t>5月底查JST-531有没有用</t>
  </si>
  <si>
    <t>10-SDL-350</t>
  </si>
  <si>
    <t>0.0352g</t>
  </si>
  <si>
    <t>10-SNL-350</t>
  </si>
  <si>
    <t>0.0436g</t>
  </si>
  <si>
    <t>10-SDL-400</t>
  </si>
  <si>
    <t>10-SNL-400</t>
  </si>
  <si>
    <t>10-SDL-450</t>
  </si>
  <si>
    <t>0.0427g</t>
  </si>
  <si>
    <t>12.2-SDL-220</t>
  </si>
  <si>
    <t>0.0491g</t>
  </si>
  <si>
    <t>12.2-SDL-280</t>
  </si>
  <si>
    <t>0.0631g</t>
  </si>
  <si>
    <t>0.0616g</t>
  </si>
  <si>
    <t>12.2-SNL-350</t>
  </si>
  <si>
    <t>0.0635g</t>
  </si>
  <si>
    <t>12.2-SDL-350</t>
  </si>
  <si>
    <t>0.0633g</t>
  </si>
  <si>
    <t>12.2-SDL-400</t>
  </si>
  <si>
    <t>0.0619g</t>
  </si>
  <si>
    <t>12.2-SDL-450</t>
  </si>
  <si>
    <t>0.0675g</t>
  </si>
  <si>
    <t>14-SNL-450</t>
  </si>
  <si>
    <t>0.097g</t>
  </si>
  <si>
    <t>16-SNL-350</t>
  </si>
  <si>
    <t>0.129g</t>
  </si>
  <si>
    <t>16-SDL-350</t>
  </si>
  <si>
    <t>0.1054g</t>
  </si>
  <si>
    <t>16-SDL-400</t>
  </si>
  <si>
    <t>0.127g</t>
  </si>
  <si>
    <t>20-SDL-350</t>
  </si>
  <si>
    <t>0.208g</t>
  </si>
  <si>
    <t>20-SNL-400</t>
  </si>
  <si>
    <t>0.206g</t>
  </si>
  <si>
    <t>20-SDL-400</t>
  </si>
  <si>
    <t>20-SDL-500</t>
  </si>
  <si>
    <t>0.205g</t>
  </si>
  <si>
    <t>6-SDL-220(AU)</t>
  </si>
  <si>
    <t>单面镀金</t>
  </si>
  <si>
    <t>8.4-SDL-180(AU)</t>
  </si>
  <si>
    <t>8.4-SNL-280(AU)</t>
  </si>
  <si>
    <t>10-SDL-280(AU)</t>
  </si>
  <si>
    <t>10-SNL-280(AU)</t>
  </si>
  <si>
    <t>10-SDL-350(AU)</t>
  </si>
  <si>
    <t>12.2-SDL-220(AU)</t>
  </si>
  <si>
    <t>12.2-SNL-280(AU)</t>
  </si>
  <si>
    <t>12.2-SDL-280(AU)</t>
  </si>
  <si>
    <t>12.2-SDL-340(AU)</t>
  </si>
  <si>
    <t>N6-4L-D220-21</t>
  </si>
  <si>
    <t>法国镀镍</t>
  </si>
  <si>
    <t>0.0235g</t>
  </si>
  <si>
    <t>N8.4-4L-N220-21</t>
  </si>
  <si>
    <t>N8.4-4L-D280-21</t>
  </si>
  <si>
    <t>N8.4-4L-D340-21</t>
  </si>
  <si>
    <t>0.02366g</t>
  </si>
  <si>
    <t>GF-150/JST-648</t>
  </si>
  <si>
    <t>N10-4L-D280-21</t>
  </si>
  <si>
    <t>0.0431g</t>
  </si>
  <si>
    <t>N12.2-4L-D280-21</t>
  </si>
  <si>
    <t>0.0565g</t>
  </si>
  <si>
    <t>N12.2-4L-D340-21</t>
  </si>
  <si>
    <t>0.054g</t>
  </si>
  <si>
    <t>N8.4-4L-D220-31</t>
  </si>
  <si>
    <t>法国镀金</t>
  </si>
  <si>
    <t>N8.4-4L-D280-31</t>
  </si>
  <si>
    <t>0.0230g</t>
  </si>
  <si>
    <t>215g/5K</t>
  </si>
  <si>
    <t>N10-4L-D280-31</t>
  </si>
  <si>
    <t>210g/5K</t>
  </si>
  <si>
    <t>N10-4L-D400-31</t>
  </si>
  <si>
    <t>0.0450g</t>
  </si>
  <si>
    <t>225g/5K</t>
  </si>
  <si>
    <t>N12.2-4L-D280-31</t>
  </si>
  <si>
    <t>288g/5K</t>
  </si>
  <si>
    <t>N12.2-4L-D-340-31</t>
  </si>
  <si>
    <t>0.0576g</t>
  </si>
  <si>
    <t>N12.2-4L-N420-31</t>
  </si>
  <si>
    <t>0.0585g</t>
  </si>
  <si>
    <t>292g/5K</t>
  </si>
  <si>
    <r>
      <t>J</t>
    </r>
    <r>
      <rPr>
        <sz val="12"/>
        <rFont val="宋体"/>
        <charset val="134"/>
      </rPr>
      <t>ST-794</t>
    </r>
  </si>
  <si>
    <r>
      <t>l</t>
    </r>
    <r>
      <rPr>
        <sz val="12"/>
        <rFont val="宋体"/>
        <charset val="134"/>
      </rPr>
      <t>ogo标</t>
    </r>
  </si>
  <si>
    <t>JST-794专用</t>
  </si>
  <si>
    <t>2.54公品</t>
  </si>
  <si>
    <t>TW新晟</t>
  </si>
  <si>
    <t>15.05.21</t>
  </si>
  <si>
    <r>
      <t>26.05.21</t>
    </r>
    <r>
      <rPr>
        <b/>
        <sz val="8"/>
        <color indexed="11"/>
        <rFont val="宋体"/>
        <charset val="134"/>
      </rPr>
      <t>盘点</t>
    </r>
  </si>
  <si>
    <t>数量不足，下订单用时，注意检查 24.09.23金</t>
  </si>
  <si>
    <t>常用，PIN     记录</t>
  </si>
  <si>
    <t>2.54母品6爪(TW新晟)</t>
  </si>
  <si>
    <r>
      <t>回来4卷</t>
    </r>
    <r>
      <rPr>
        <sz val="12"/>
        <rFont val="宋体"/>
        <charset val="134"/>
      </rPr>
      <t>*50000</t>
    </r>
  </si>
  <si>
    <t>2.54母品(BM博明)</t>
  </si>
  <si>
    <t xml:space="preserve">B-KT-2.54/U </t>
  </si>
  <si>
    <r>
      <t>26.07.15</t>
    </r>
    <r>
      <rPr>
        <b/>
        <sz val="8"/>
        <color indexed="11"/>
        <rFont val="宋体"/>
        <charset val="134"/>
      </rPr>
      <t>盘点</t>
    </r>
  </si>
  <si>
    <t>手送料挂位</t>
  </si>
  <si>
    <t>右往左送料正绕</t>
  </si>
  <si>
    <t>常用型号</t>
  </si>
  <si>
    <r>
      <t>2.54A-2</t>
    </r>
    <r>
      <rPr>
        <sz val="12"/>
        <rFont val="宋体"/>
        <charset val="134"/>
      </rPr>
      <t xml:space="preserve"> 公品(BM博明)</t>
    </r>
  </si>
  <si>
    <r>
      <t>2.54</t>
    </r>
    <r>
      <rPr>
        <b/>
        <sz val="12"/>
        <color indexed="12"/>
        <rFont val="宋体"/>
        <charset val="134"/>
      </rPr>
      <t>A</t>
    </r>
    <r>
      <rPr>
        <b/>
        <sz val="12"/>
        <color indexed="10"/>
        <rFont val="宋体"/>
        <charset val="134"/>
      </rPr>
      <t>-2冲件</t>
    </r>
  </si>
  <si>
    <r>
      <t>J</t>
    </r>
    <r>
      <rPr>
        <sz val="12"/>
        <rFont val="宋体"/>
        <charset val="134"/>
      </rPr>
      <t>TT-799</t>
    </r>
  </si>
  <si>
    <r>
      <t>B-KT-2.54/</t>
    </r>
    <r>
      <rPr>
        <b/>
        <sz val="12"/>
        <color indexed="10"/>
        <rFont val="宋体"/>
        <charset val="134"/>
      </rPr>
      <t xml:space="preserve">V </t>
    </r>
  </si>
  <si>
    <t>25.02.17</t>
  </si>
  <si>
    <r>
      <t>25.02.17</t>
    </r>
    <r>
      <rPr>
        <b/>
        <sz val="8"/>
        <color indexed="11"/>
        <rFont val="宋体"/>
        <charset val="134"/>
      </rPr>
      <t>盘点</t>
    </r>
  </si>
  <si>
    <r>
      <t>JST-1238,</t>
    </r>
    <r>
      <rPr>
        <sz val="12"/>
        <rFont val="宋体"/>
        <charset val="134"/>
      </rPr>
      <t>/JST-1363</t>
    </r>
    <r>
      <rPr>
        <sz val="12"/>
        <rFont val="宋体"/>
        <charset val="134"/>
      </rPr>
      <t>专用</t>
    </r>
  </si>
  <si>
    <r>
      <t>J</t>
    </r>
    <r>
      <rPr>
        <sz val="12"/>
        <rFont val="宋体"/>
        <charset val="134"/>
      </rPr>
      <t>ST-1238</t>
    </r>
  </si>
  <si>
    <t>公PIN （長江）</t>
  </si>
  <si>
    <t>A2550-TP-E（長江）</t>
  </si>
  <si>
    <r>
      <t>G</t>
    </r>
    <r>
      <rPr>
        <sz val="12"/>
        <rFont val="宋体"/>
        <charset val="134"/>
      </rPr>
      <t>F-462 ,专用</t>
    </r>
  </si>
  <si>
    <t>2.54母品(博明)</t>
  </si>
  <si>
    <t>镀金</t>
  </si>
  <si>
    <t>2.54母端镀锡</t>
  </si>
  <si>
    <t>58681T-F</t>
  </si>
  <si>
    <r>
      <t>2.54母品</t>
    </r>
    <r>
      <rPr>
        <sz val="12"/>
        <color indexed="10"/>
        <rFont val="宋体"/>
        <charset val="134"/>
      </rPr>
      <t>(菘翊)</t>
    </r>
  </si>
  <si>
    <t>2808-30K-OT-F</t>
  </si>
  <si>
    <t>在冲型处</t>
  </si>
  <si>
    <r>
      <t>24.09.06</t>
    </r>
    <r>
      <rPr>
        <b/>
        <sz val="8"/>
        <color indexed="11"/>
        <rFont val="宋体"/>
        <charset val="134"/>
      </rPr>
      <t>盘点</t>
    </r>
  </si>
  <si>
    <t>用JST-920/432/736.共用</t>
  </si>
  <si>
    <t>2.54母品(菘翊)</t>
  </si>
  <si>
    <t>2811-30-OT-F</t>
  </si>
  <si>
    <t>没有多少了</t>
  </si>
  <si>
    <r>
      <t>14106</t>
    </r>
    <r>
      <rPr>
        <sz val="12"/>
        <rFont val="宋体"/>
        <charset val="134"/>
      </rPr>
      <t xml:space="preserve">  (高弹力)</t>
    </r>
  </si>
  <si>
    <t>替代2811-30-OT-F</t>
  </si>
  <si>
    <t>用JTT-580/581/JST-199/JST-1238</t>
  </si>
  <si>
    <t>手送料挂位,手摇机</t>
  </si>
  <si>
    <t>2.54公PIN镀锡(JTT-172)</t>
  </si>
  <si>
    <t>2812-10K-0T-MC</t>
  </si>
  <si>
    <t>新5.08-O(博明)</t>
  </si>
  <si>
    <r>
      <t>B-NT-</t>
    </r>
    <r>
      <rPr>
        <sz val="12"/>
        <rFont val="宋体"/>
        <charset val="134"/>
      </rPr>
      <t>5</t>
    </r>
    <r>
      <rPr>
        <sz val="12"/>
        <rFont val="宋体"/>
        <charset val="134"/>
      </rPr>
      <t>.08/0</t>
    </r>
  </si>
  <si>
    <t>1卷=14000，PCS</t>
  </si>
  <si>
    <r>
      <t>26.01.03</t>
    </r>
    <r>
      <rPr>
        <b/>
        <sz val="8"/>
        <color indexed="11"/>
        <rFont val="宋体"/>
        <charset val="134"/>
      </rPr>
      <t>盘点</t>
    </r>
  </si>
  <si>
    <r>
      <t>G</t>
    </r>
    <r>
      <rPr>
        <sz val="12"/>
        <rFont val="宋体"/>
        <charset val="134"/>
      </rPr>
      <t>F-226/570</t>
    </r>
    <r>
      <rPr>
        <sz val="12"/>
        <rFont val="宋体"/>
        <charset val="134"/>
      </rPr>
      <t>/JTT-833/JTT-834/JTT-835</t>
    </r>
  </si>
  <si>
    <r>
      <t>手剪P</t>
    </r>
    <r>
      <rPr>
        <sz val="12"/>
        <rFont val="宋体"/>
        <charset val="134"/>
      </rPr>
      <t>IN,二合一</t>
    </r>
  </si>
  <si>
    <t>5.08X-2(博明)</t>
  </si>
  <si>
    <t>JTT-073/074/075/076用</t>
  </si>
  <si>
    <r>
      <t>5.08</t>
    </r>
    <r>
      <rPr>
        <sz val="12"/>
        <rFont val="宋体"/>
        <charset val="134"/>
      </rPr>
      <t>A-1(博明)</t>
    </r>
  </si>
  <si>
    <r>
      <t>B</t>
    </r>
    <r>
      <rPr>
        <sz val="12"/>
        <rFont val="宋体"/>
        <charset val="134"/>
      </rPr>
      <t>-T-5.08A/1</t>
    </r>
  </si>
  <si>
    <t>公PIN</t>
  </si>
  <si>
    <t>25.01.10</t>
  </si>
  <si>
    <r>
      <t>25.01.10</t>
    </r>
    <r>
      <rPr>
        <b/>
        <sz val="8"/>
        <color indexed="11"/>
        <rFont val="宋体"/>
        <charset val="134"/>
      </rPr>
      <t>盘点</t>
    </r>
  </si>
  <si>
    <r>
      <t>JST-1109/1227</t>
    </r>
    <r>
      <rPr>
        <sz val="12"/>
        <rFont val="宋体"/>
        <charset val="134"/>
      </rPr>
      <t>/JJX-151</t>
    </r>
  </si>
  <si>
    <t>543-H-B-2P</t>
  </si>
  <si>
    <t>LJ-157</t>
  </si>
  <si>
    <t>MHFFC106SG35</t>
  </si>
  <si>
    <t>PIN针</t>
  </si>
  <si>
    <r>
      <t>M</t>
    </r>
    <r>
      <rPr>
        <sz val="12"/>
        <rFont val="宋体"/>
        <charset val="134"/>
      </rPr>
      <t>HFC025SG35</t>
    </r>
  </si>
  <si>
    <t>客供</t>
  </si>
  <si>
    <r>
      <t>G</t>
    </r>
    <r>
      <rPr>
        <sz val="12"/>
        <rFont val="宋体"/>
        <charset val="134"/>
      </rPr>
      <t>F-505/522/605/623</t>
    </r>
  </si>
  <si>
    <t>MHF03</t>
  </si>
  <si>
    <t>MHF04</t>
  </si>
  <si>
    <t>A2550H-9P-M（長江）</t>
  </si>
  <si>
    <t>连接器</t>
  </si>
  <si>
    <t>JTT</t>
  </si>
  <si>
    <t>24.06.18盘点</t>
  </si>
  <si>
    <r>
      <t>库存先用2</t>
    </r>
    <r>
      <rPr>
        <sz val="12"/>
        <rFont val="宋体"/>
        <charset val="134"/>
      </rPr>
      <t>5.03.19</t>
    </r>
  </si>
  <si>
    <t>A2550H-5P-M（长江）</t>
  </si>
  <si>
    <t>A2550H-7P-CR（长江）</t>
  </si>
  <si>
    <t>BH1603FVC(ROHM)</t>
  </si>
  <si>
    <t>芯片</t>
  </si>
  <si>
    <r>
      <t>OF-04 Housing</t>
    </r>
    <r>
      <rPr>
        <sz val="12"/>
        <color indexed="10"/>
        <rFont val="宋体"/>
        <charset val="134"/>
      </rPr>
      <t xml:space="preserve">-夏欣 </t>
    </r>
  </si>
  <si>
    <t>做完盘点数量有多100左右</t>
  </si>
  <si>
    <r>
      <t>OF-06 Housing</t>
    </r>
    <r>
      <rPr>
        <sz val="12"/>
        <color indexed="10"/>
        <rFont val="宋体"/>
        <charset val="134"/>
      </rPr>
      <t xml:space="preserve">-夏欣 </t>
    </r>
  </si>
  <si>
    <r>
      <t>OF-07 Housing</t>
    </r>
    <r>
      <rPr>
        <sz val="12"/>
        <color indexed="10"/>
        <rFont val="宋体"/>
        <charset val="134"/>
      </rPr>
      <t xml:space="preserve">-夏欣 </t>
    </r>
  </si>
  <si>
    <r>
      <t>OF-08 Housing</t>
    </r>
    <r>
      <rPr>
        <sz val="12"/>
        <color indexed="10"/>
        <rFont val="宋体"/>
        <charset val="134"/>
      </rPr>
      <t xml:space="preserve">-夏欣 </t>
    </r>
  </si>
  <si>
    <r>
      <t>OF-10 Housing</t>
    </r>
    <r>
      <rPr>
        <sz val="12"/>
        <color indexed="10"/>
        <rFont val="宋体"/>
        <charset val="134"/>
      </rPr>
      <t xml:space="preserve">-夏欣 </t>
    </r>
  </si>
  <si>
    <r>
      <t>OF-11 Housing</t>
    </r>
    <r>
      <rPr>
        <sz val="12"/>
        <color indexed="10"/>
        <rFont val="宋体"/>
        <charset val="134"/>
      </rPr>
      <t xml:space="preserve">-夏欣 </t>
    </r>
  </si>
  <si>
    <r>
      <t>OF-14 Housing</t>
    </r>
    <r>
      <rPr>
        <sz val="12"/>
        <color indexed="10"/>
        <rFont val="宋体"/>
        <charset val="134"/>
      </rPr>
      <t xml:space="preserve">-夏欣 </t>
    </r>
    <r>
      <rPr>
        <sz val="12"/>
        <rFont val="宋体"/>
        <charset val="134"/>
      </rPr>
      <t xml:space="preserve"> </t>
    </r>
  </si>
  <si>
    <r>
      <t>OF-16 Housing</t>
    </r>
    <r>
      <rPr>
        <sz val="12"/>
        <color indexed="10"/>
        <rFont val="宋体"/>
        <charset val="134"/>
      </rPr>
      <t xml:space="preserve">-夏欣  </t>
    </r>
  </si>
  <si>
    <t>2024.09.18</t>
  </si>
  <si>
    <r>
      <t>OF-1</t>
    </r>
    <r>
      <rPr>
        <sz val="12"/>
        <rFont val="宋体"/>
        <charset val="134"/>
      </rPr>
      <t>9</t>
    </r>
    <r>
      <rPr>
        <sz val="12"/>
        <rFont val="宋体"/>
        <charset val="134"/>
      </rPr>
      <t xml:space="preserve"> Housing</t>
    </r>
    <r>
      <rPr>
        <sz val="12"/>
        <color indexed="10"/>
        <rFont val="宋体"/>
        <charset val="134"/>
      </rPr>
      <t xml:space="preserve">-夏欣  </t>
    </r>
  </si>
  <si>
    <r>
      <t>OF-03 Housing</t>
    </r>
    <r>
      <rPr>
        <sz val="12"/>
        <color indexed="10"/>
        <rFont val="宋体"/>
        <charset val="134"/>
      </rPr>
      <t xml:space="preserve">-夏欣  </t>
    </r>
  </si>
  <si>
    <r>
      <t>OF-</t>
    </r>
    <r>
      <rPr>
        <sz val="12"/>
        <rFont val="宋体"/>
        <charset val="134"/>
      </rPr>
      <t>21 Housing-夏欣</t>
    </r>
  </si>
  <si>
    <t>放在玻璃框第一层</t>
  </si>
  <si>
    <r>
      <t>OL-04 Housing</t>
    </r>
    <r>
      <rPr>
        <sz val="12"/>
        <color indexed="10"/>
        <rFont val="宋体"/>
        <charset val="134"/>
      </rPr>
      <t xml:space="preserve">-夏欣 </t>
    </r>
    <r>
      <rPr>
        <sz val="12"/>
        <rFont val="宋体"/>
        <charset val="134"/>
      </rPr>
      <t xml:space="preserve"> </t>
    </r>
  </si>
  <si>
    <r>
      <t>OL-05 Housing</t>
    </r>
    <r>
      <rPr>
        <sz val="12"/>
        <color indexed="10"/>
        <rFont val="宋体"/>
        <charset val="134"/>
      </rPr>
      <t xml:space="preserve">-夏欣  </t>
    </r>
  </si>
  <si>
    <r>
      <t xml:space="preserve"> OL-06 Housing</t>
    </r>
    <r>
      <rPr>
        <sz val="12"/>
        <color indexed="10"/>
        <rFont val="宋体"/>
        <charset val="134"/>
      </rPr>
      <t xml:space="preserve">-夏欣  </t>
    </r>
  </si>
  <si>
    <r>
      <t>OL-14 Housing</t>
    </r>
    <r>
      <rPr>
        <sz val="12"/>
        <color indexed="10"/>
        <rFont val="宋体"/>
        <charset val="134"/>
      </rPr>
      <t xml:space="preserve">-夏欣  </t>
    </r>
  </si>
  <si>
    <r>
      <t>OL-15 Housing</t>
    </r>
    <r>
      <rPr>
        <sz val="12"/>
        <color indexed="10"/>
        <rFont val="宋体"/>
        <charset val="134"/>
      </rPr>
      <t xml:space="preserve">-夏欣  </t>
    </r>
  </si>
  <si>
    <r>
      <t>OLH-15 Housing</t>
    </r>
    <r>
      <rPr>
        <sz val="12"/>
        <color indexed="10"/>
        <rFont val="宋体"/>
        <charset val="134"/>
      </rPr>
      <t xml:space="preserve">-夏欣  </t>
    </r>
  </si>
  <si>
    <r>
      <t>OL-16 Housing</t>
    </r>
    <r>
      <rPr>
        <sz val="12"/>
        <color indexed="10"/>
        <rFont val="宋体"/>
        <charset val="134"/>
      </rPr>
      <t xml:space="preserve">-夏欣  </t>
    </r>
  </si>
  <si>
    <r>
      <t>OP-09 Housing</t>
    </r>
    <r>
      <rPr>
        <sz val="12"/>
        <color indexed="10"/>
        <rFont val="宋体"/>
        <charset val="134"/>
      </rPr>
      <t xml:space="preserve">-夏欣 </t>
    </r>
    <r>
      <rPr>
        <sz val="12"/>
        <rFont val="宋体"/>
        <charset val="134"/>
      </rPr>
      <t xml:space="preserve"> </t>
    </r>
  </si>
  <si>
    <r>
      <t>OP-10 Housing</t>
    </r>
    <r>
      <rPr>
        <sz val="12"/>
        <color indexed="10"/>
        <rFont val="宋体"/>
        <charset val="134"/>
      </rPr>
      <t xml:space="preserve">-夏欣  </t>
    </r>
  </si>
  <si>
    <r>
      <t>2802HL-05NH</t>
    </r>
    <r>
      <rPr>
        <sz val="12"/>
        <color indexed="10"/>
        <rFont val="宋体"/>
        <charset val="134"/>
      </rPr>
      <t>-菘翊</t>
    </r>
  </si>
  <si>
    <t>2.54mm带卡钩</t>
  </si>
  <si>
    <r>
      <t>2802HL-06</t>
    </r>
    <r>
      <rPr>
        <sz val="12"/>
        <color indexed="10"/>
        <rFont val="宋体"/>
        <charset val="134"/>
      </rPr>
      <t>-菘翊</t>
    </r>
  </si>
  <si>
    <r>
      <t>2802HL-07</t>
    </r>
    <r>
      <rPr>
        <sz val="12"/>
        <color indexed="10"/>
        <rFont val="宋体"/>
        <charset val="134"/>
      </rPr>
      <t>-菘翊</t>
    </r>
  </si>
  <si>
    <r>
      <t>2802HL-08</t>
    </r>
    <r>
      <rPr>
        <sz val="12"/>
        <color indexed="10"/>
        <rFont val="宋体"/>
        <charset val="134"/>
      </rPr>
      <t>-菘翊</t>
    </r>
  </si>
  <si>
    <r>
      <t>2802HL-10N</t>
    </r>
    <r>
      <rPr>
        <sz val="12"/>
        <color indexed="10"/>
        <rFont val="宋体"/>
        <charset val="134"/>
      </rPr>
      <t>-菘翊</t>
    </r>
  </si>
  <si>
    <r>
      <t>CL2545R-08NP</t>
    </r>
    <r>
      <rPr>
        <sz val="12"/>
        <color indexed="10"/>
        <rFont val="宋体"/>
        <charset val="134"/>
      </rPr>
      <t>-菘翊</t>
    </r>
  </si>
  <si>
    <t>带排针</t>
  </si>
  <si>
    <r>
      <t>CL2545R-10NP</t>
    </r>
    <r>
      <rPr>
        <sz val="12"/>
        <color indexed="10"/>
        <rFont val="宋体"/>
        <charset val="134"/>
      </rPr>
      <t>-菘翊</t>
    </r>
  </si>
  <si>
    <r>
      <t>2812HL-04C</t>
    </r>
    <r>
      <rPr>
        <sz val="12"/>
        <color indexed="10"/>
        <rFont val="宋体"/>
        <charset val="134"/>
      </rPr>
      <t>-菘翊</t>
    </r>
  </si>
  <si>
    <r>
      <t>2812HL-13C</t>
    </r>
    <r>
      <rPr>
        <sz val="12"/>
        <color indexed="10"/>
        <rFont val="宋体"/>
        <charset val="134"/>
      </rPr>
      <t>-菘翊</t>
    </r>
  </si>
  <si>
    <r>
      <t>2812HL-14C</t>
    </r>
    <r>
      <rPr>
        <sz val="12"/>
        <color indexed="10"/>
        <rFont val="宋体"/>
        <charset val="134"/>
      </rPr>
      <t>-菘翊</t>
    </r>
  </si>
  <si>
    <r>
      <t>2802HL-04N</t>
    </r>
    <r>
      <rPr>
        <sz val="12"/>
        <color indexed="10"/>
        <rFont val="宋体"/>
        <charset val="134"/>
      </rPr>
      <t>-菘翊</t>
    </r>
  </si>
  <si>
    <r>
      <t>2802HL-13N</t>
    </r>
    <r>
      <rPr>
        <sz val="12"/>
        <color indexed="10"/>
        <rFont val="宋体"/>
        <charset val="134"/>
      </rPr>
      <t>-菘翊</t>
    </r>
  </si>
  <si>
    <r>
      <t>2802HL-14NH</t>
    </r>
    <r>
      <rPr>
        <sz val="12"/>
        <color indexed="10"/>
        <rFont val="宋体"/>
        <charset val="134"/>
      </rPr>
      <t>-菘翊</t>
    </r>
  </si>
  <si>
    <r>
      <t>24pin Housing(TW</t>
    </r>
    <r>
      <rPr>
        <sz val="12"/>
        <color indexed="8"/>
        <rFont val="宋体"/>
        <charset val="134"/>
      </rPr>
      <t>)</t>
    </r>
    <r>
      <rPr>
        <sz val="12"/>
        <color indexed="10"/>
        <rFont val="宋体"/>
        <charset val="134"/>
      </rPr>
      <t>-菘翊</t>
    </r>
  </si>
  <si>
    <t>2808H-24</t>
  </si>
  <si>
    <r>
      <t>20pin Housing(TW)</t>
    </r>
    <r>
      <rPr>
        <sz val="12"/>
        <color indexed="10"/>
        <rFont val="宋体"/>
        <charset val="134"/>
      </rPr>
      <t>-菘翊</t>
    </r>
  </si>
  <si>
    <t>2808H-20</t>
  </si>
  <si>
    <r>
      <t>19pin Housing(TW)</t>
    </r>
    <r>
      <rPr>
        <sz val="12"/>
        <color indexed="10"/>
        <rFont val="宋体"/>
        <charset val="134"/>
      </rPr>
      <t>-菘翊</t>
    </r>
  </si>
  <si>
    <t>2808H-19</t>
  </si>
  <si>
    <t>3040-190-00</t>
  </si>
  <si>
    <t>旧版</t>
  </si>
  <si>
    <r>
      <t>18pin Housing(TW)</t>
    </r>
    <r>
      <rPr>
        <sz val="12"/>
        <color indexed="10"/>
        <rFont val="宋体"/>
        <charset val="134"/>
      </rPr>
      <t>-菘翊</t>
    </r>
  </si>
  <si>
    <t>2808H-18</t>
  </si>
  <si>
    <t>17pin Housing(TW)</t>
  </si>
  <si>
    <t>3040-170-00</t>
  </si>
  <si>
    <t>16pin Housing(TW)</t>
  </si>
  <si>
    <t>3040-160-00</t>
  </si>
  <si>
    <r>
      <t>15pin Housing(TW)</t>
    </r>
    <r>
      <rPr>
        <sz val="12"/>
        <color indexed="10"/>
        <rFont val="宋体"/>
        <charset val="134"/>
      </rPr>
      <t>-菘翊</t>
    </r>
  </si>
  <si>
    <t>2808H-15</t>
  </si>
  <si>
    <t>14pin Housing(TW)</t>
  </si>
  <si>
    <t>3040-140-00</t>
  </si>
  <si>
    <r>
      <t>14pin Housing(TW)</t>
    </r>
    <r>
      <rPr>
        <sz val="12"/>
        <color indexed="10"/>
        <rFont val="宋体"/>
        <charset val="134"/>
      </rPr>
      <t>-菘翊</t>
    </r>
  </si>
  <si>
    <t>2808H-14</t>
  </si>
  <si>
    <r>
      <t>13pin Housing(TW)</t>
    </r>
    <r>
      <rPr>
        <sz val="12"/>
        <color indexed="10"/>
        <rFont val="宋体"/>
        <charset val="134"/>
      </rPr>
      <t>-菘翊</t>
    </r>
  </si>
  <si>
    <t>2808H-13</t>
  </si>
  <si>
    <t>正确</t>
  </si>
  <si>
    <r>
      <t>12pin Housing(TW)</t>
    </r>
    <r>
      <rPr>
        <sz val="12"/>
        <color indexed="10"/>
        <rFont val="宋体"/>
        <charset val="134"/>
      </rPr>
      <t>-菘翊</t>
    </r>
  </si>
  <si>
    <t>2808H-12</t>
  </si>
  <si>
    <t>看批注</t>
  </si>
  <si>
    <t>0.924g/1pcs</t>
  </si>
  <si>
    <r>
      <t>11pin Housing(TW)</t>
    </r>
    <r>
      <rPr>
        <sz val="12"/>
        <color indexed="10"/>
        <rFont val="宋体"/>
        <charset val="134"/>
      </rPr>
      <t>-菘翊</t>
    </r>
  </si>
  <si>
    <t>2868H-11</t>
  </si>
  <si>
    <r>
      <t>10pin Housing(TW)</t>
    </r>
    <r>
      <rPr>
        <sz val="12"/>
        <color indexed="10"/>
        <rFont val="宋体"/>
        <charset val="134"/>
      </rPr>
      <t>-菘翊</t>
    </r>
  </si>
  <si>
    <t>2808H-10</t>
  </si>
  <si>
    <t>367g/500pcs</t>
  </si>
  <si>
    <r>
      <t>9pin Housing(TW)</t>
    </r>
    <r>
      <rPr>
        <sz val="12"/>
        <color indexed="10"/>
        <rFont val="宋体"/>
        <charset val="134"/>
      </rPr>
      <t>-菘翊</t>
    </r>
  </si>
  <si>
    <t>2808H-09</t>
  </si>
  <si>
    <t>有字 正确</t>
  </si>
  <si>
    <r>
      <t>8pin Housing(TW)</t>
    </r>
    <r>
      <rPr>
        <sz val="12"/>
        <color indexed="10"/>
        <rFont val="宋体"/>
        <charset val="134"/>
      </rPr>
      <t>-菘翊</t>
    </r>
  </si>
  <si>
    <t>2808H-08</t>
  </si>
  <si>
    <t>2868H-08NS</t>
  </si>
  <si>
    <r>
      <t>7pin Housing(TW)</t>
    </r>
    <r>
      <rPr>
        <sz val="12"/>
        <color indexed="10"/>
        <rFont val="宋体"/>
        <charset val="134"/>
      </rPr>
      <t>-菘翊</t>
    </r>
  </si>
  <si>
    <t>2868H-07NS</t>
  </si>
  <si>
    <r>
      <t>6pin Housing(TW)</t>
    </r>
    <r>
      <rPr>
        <sz val="12"/>
        <color indexed="10"/>
        <rFont val="宋体"/>
        <charset val="134"/>
      </rPr>
      <t>-菘翊</t>
    </r>
  </si>
  <si>
    <t>2808H-06</t>
  </si>
  <si>
    <r>
      <t>6pin Housing(TW)-</t>
    </r>
    <r>
      <rPr>
        <sz val="12"/>
        <color indexed="10"/>
        <rFont val="宋体"/>
        <charset val="134"/>
      </rPr>
      <t>佳晔盛</t>
    </r>
  </si>
  <si>
    <t>KB2668H-06</t>
  </si>
  <si>
    <r>
      <t>5pin Housing(TW)</t>
    </r>
    <r>
      <rPr>
        <sz val="12"/>
        <color indexed="10"/>
        <rFont val="宋体"/>
        <charset val="134"/>
      </rPr>
      <t>-菘翊</t>
    </r>
  </si>
  <si>
    <t>2808H-05</t>
  </si>
  <si>
    <t>370g/500pcs</t>
  </si>
  <si>
    <r>
      <t>5pin Housing(TW)-</t>
    </r>
    <r>
      <rPr>
        <sz val="12"/>
        <color indexed="10"/>
        <rFont val="宋体"/>
        <charset val="134"/>
      </rPr>
      <t>佳晔盛</t>
    </r>
  </si>
  <si>
    <t>KB2668H-05</t>
  </si>
  <si>
    <r>
      <t>4pin Housing(TW)</t>
    </r>
    <r>
      <rPr>
        <sz val="12"/>
        <color indexed="10"/>
        <rFont val="宋体"/>
        <charset val="134"/>
      </rPr>
      <t>-菘翊</t>
    </r>
  </si>
  <si>
    <t>2808H-04</t>
  </si>
  <si>
    <t>2868H-04NS</t>
  </si>
  <si>
    <r>
      <t>3pin Housing(TW)</t>
    </r>
    <r>
      <rPr>
        <sz val="12"/>
        <color indexed="10"/>
        <rFont val="宋体"/>
        <charset val="134"/>
      </rPr>
      <t>-菘翊</t>
    </r>
  </si>
  <si>
    <t>2808H-03</t>
  </si>
  <si>
    <r>
      <t>2pin Housing(TW)</t>
    </r>
    <r>
      <rPr>
        <sz val="12"/>
        <color indexed="10"/>
        <rFont val="宋体"/>
        <charset val="134"/>
      </rPr>
      <t>-菘翊</t>
    </r>
  </si>
  <si>
    <t>2808H-02</t>
  </si>
  <si>
    <r>
      <t>2806H-07NH双排</t>
    </r>
    <r>
      <rPr>
        <sz val="12"/>
        <color indexed="10"/>
        <rFont val="宋体"/>
        <charset val="134"/>
      </rPr>
      <t>-菘翊</t>
    </r>
  </si>
  <si>
    <t>2806H-07</t>
  </si>
  <si>
    <t>GF-226，但PIN针不能用博明的PIN，要用同菘翊相配的PIN针</t>
  </si>
  <si>
    <r>
      <t>2</t>
    </r>
    <r>
      <rPr>
        <sz val="12"/>
        <rFont val="宋体"/>
        <charset val="134"/>
      </rPr>
      <t>1pin Housing( BM )</t>
    </r>
  </si>
  <si>
    <r>
      <t>B-KH-2</t>
    </r>
    <r>
      <rPr>
        <sz val="12"/>
        <rFont val="宋体"/>
        <charset val="134"/>
      </rPr>
      <t>1P</t>
    </r>
  </si>
  <si>
    <t>放在玻璃柜箱一层</t>
  </si>
  <si>
    <t>20pin Housing( BM )</t>
  </si>
  <si>
    <t>B-KH-20P</t>
  </si>
  <si>
    <t>19pin Housing( BM )</t>
  </si>
  <si>
    <t>B-KH-18P</t>
  </si>
  <si>
    <t>18pin Housing( BM )</t>
  </si>
  <si>
    <t>17pin Housing( BM )</t>
  </si>
  <si>
    <t>B-KH-17P</t>
  </si>
  <si>
    <t>0.813g</t>
  </si>
  <si>
    <t>16pin Housing( BM )</t>
  </si>
  <si>
    <t>B-KH-16P</t>
  </si>
  <si>
    <t>15pin Housing( BM )</t>
  </si>
  <si>
    <t>B-KH-15P</t>
  </si>
  <si>
    <t>14pin Housing( BM )</t>
  </si>
  <si>
    <t>B-KH-14P</t>
  </si>
  <si>
    <t>13pin Housing( BM )</t>
  </si>
  <si>
    <t>B-KH-13P</t>
  </si>
  <si>
    <t>12pin Housing( BM )</t>
  </si>
  <si>
    <t>B-KH-12P</t>
  </si>
  <si>
    <t>0.784g</t>
  </si>
  <si>
    <t>11pin Housing( BM )</t>
  </si>
  <si>
    <t>B-KH-11P</t>
  </si>
  <si>
    <t>0.654g</t>
  </si>
  <si>
    <t>10pin Housing( BM )</t>
  </si>
  <si>
    <t>B-KH-10P</t>
  </si>
  <si>
    <t>0.563g</t>
  </si>
  <si>
    <t>9pin Housing( BM )</t>
  </si>
  <si>
    <t>B-KH-09P</t>
  </si>
  <si>
    <t>0.530g</t>
  </si>
  <si>
    <t>8pin Housing( BM )</t>
  </si>
  <si>
    <t>B-KH-08P</t>
  </si>
  <si>
    <t>0.390g</t>
  </si>
  <si>
    <t>7pin Housing( BM )</t>
  </si>
  <si>
    <t>B-KH-07P</t>
  </si>
  <si>
    <t>0.37g</t>
  </si>
  <si>
    <t>6pin Housing( BM )</t>
  </si>
  <si>
    <t>B-KH-06P</t>
  </si>
  <si>
    <t>0.367g</t>
  </si>
  <si>
    <t>5pin Housing( BM )</t>
  </si>
  <si>
    <t>B-KH-05P</t>
  </si>
  <si>
    <t>0.287g</t>
  </si>
  <si>
    <t>4pin Housing( BM )</t>
  </si>
  <si>
    <t>B-KH-04P</t>
  </si>
  <si>
    <t>0.220g</t>
  </si>
  <si>
    <t>3pin Housing( BM )</t>
  </si>
  <si>
    <t>B-KH-03P</t>
  </si>
  <si>
    <t>2pin Housing( BM )</t>
  </si>
  <si>
    <t>B-KH-02P</t>
  </si>
  <si>
    <t>3pin Housing( BM )带钩</t>
  </si>
  <si>
    <r>
      <t>B</t>
    </r>
    <r>
      <rPr>
        <sz val="12"/>
        <rFont val="宋体"/>
        <charset val="134"/>
      </rPr>
      <t>-NH-BOI-3P</t>
    </r>
  </si>
  <si>
    <t>4pin Housing( BM )带钩</t>
  </si>
  <si>
    <r>
      <t>B</t>
    </r>
    <r>
      <rPr>
        <sz val="12"/>
        <rFont val="宋体"/>
        <charset val="134"/>
      </rPr>
      <t>-NH-BOI-4P</t>
    </r>
  </si>
  <si>
    <t>4pin 双排 Housing( BM )</t>
  </si>
  <si>
    <t>B-NHS-4P</t>
  </si>
  <si>
    <t>5pin 双排 Housing( BM )</t>
  </si>
  <si>
    <t>B-NHS-5P</t>
  </si>
  <si>
    <t>7pin 双排 Housing( BM )</t>
  </si>
  <si>
    <t>B-NHS-7P</t>
  </si>
  <si>
    <t>GF-226，用博明B-NT-0.08/0 PIN针</t>
  </si>
  <si>
    <t>10pin 双排 Housing( BM )</t>
  </si>
  <si>
    <t>B-NHS-10P</t>
  </si>
  <si>
    <r>
      <t>19</t>
    </r>
    <r>
      <rPr>
        <sz val="12"/>
        <rFont val="宋体"/>
        <charset val="134"/>
      </rPr>
      <t>pin 双排 Housing( BM )</t>
    </r>
  </si>
  <si>
    <r>
      <t>B-NHS-</t>
    </r>
    <r>
      <rPr>
        <sz val="12"/>
        <rFont val="宋体"/>
        <charset val="134"/>
      </rPr>
      <t>20P</t>
    </r>
  </si>
  <si>
    <r>
      <t>2</t>
    </r>
    <r>
      <rPr>
        <sz val="12"/>
        <rFont val="宋体"/>
        <charset val="134"/>
      </rPr>
      <t>0pin 双排 Housing( BM )</t>
    </r>
  </si>
  <si>
    <t>8PIN新5.08  蓝色(BM)</t>
  </si>
  <si>
    <t>8PIN</t>
  </si>
  <si>
    <t>16PIN新5.08  蓝色(BM)</t>
  </si>
  <si>
    <t>16PIN</t>
  </si>
  <si>
    <t>5.08型  4pin 双排插头</t>
  </si>
  <si>
    <t>5.08型  5pin 双排插头</t>
  </si>
  <si>
    <t>5.08型  16pin 双排插头</t>
  </si>
  <si>
    <t>5.08型  18pin 双排插头</t>
  </si>
  <si>
    <t>5.08型  20pin 双排插头</t>
  </si>
  <si>
    <t>34E-09T蓝色镀银插头</t>
  </si>
  <si>
    <t>MICC801T-05蓝色Housing</t>
  </si>
  <si>
    <t>MICC801T-07蓝色Housing</t>
  </si>
  <si>
    <t>正确2024.08.13</t>
  </si>
  <si>
    <t>MICC801T-08蓝色Housing</t>
  </si>
  <si>
    <t>MICC801T-09蓝色Housing</t>
  </si>
  <si>
    <t>MICC801-T10蓝色Housing</t>
  </si>
  <si>
    <t>MICC801T-11蓝色Housing</t>
  </si>
  <si>
    <r>
      <t>K</t>
    </r>
    <r>
      <rPr>
        <sz val="12"/>
        <rFont val="宋体"/>
        <charset val="134"/>
      </rPr>
      <t>B4603-HLD-03NJ</t>
    </r>
  </si>
  <si>
    <t>佳晔盛</t>
  </si>
  <si>
    <t>JTT-833/834/835</t>
  </si>
  <si>
    <r>
      <t>K</t>
    </r>
    <r>
      <rPr>
        <sz val="12"/>
        <rFont val="宋体"/>
        <charset val="134"/>
      </rPr>
      <t>B4603-HLD-04NJ</t>
    </r>
  </si>
  <si>
    <r>
      <t>K</t>
    </r>
    <r>
      <rPr>
        <sz val="12"/>
        <rFont val="宋体"/>
        <charset val="134"/>
      </rPr>
      <t>B4603-15K-OT-FJ</t>
    </r>
  </si>
  <si>
    <r>
      <t>65801-00</t>
    </r>
    <r>
      <rPr>
        <sz val="12"/>
        <rFont val="宋体"/>
        <charset val="134"/>
      </rPr>
      <t>5</t>
    </r>
    <r>
      <rPr>
        <sz val="12"/>
        <rFont val="宋体"/>
        <charset val="134"/>
      </rPr>
      <t>LF蓝色Housing</t>
    </r>
  </si>
  <si>
    <t>65801-006LF蓝色Housing</t>
  </si>
  <si>
    <r>
      <t>65801-00</t>
    </r>
    <r>
      <rPr>
        <sz val="12"/>
        <rFont val="宋体"/>
        <charset val="134"/>
      </rPr>
      <t>8</t>
    </r>
    <r>
      <rPr>
        <sz val="12"/>
        <rFont val="宋体"/>
        <charset val="134"/>
      </rPr>
      <t>LF蓝色Housing</t>
    </r>
  </si>
  <si>
    <r>
      <t>65801-0</t>
    </r>
    <r>
      <rPr>
        <sz val="12"/>
        <rFont val="宋体"/>
        <charset val="134"/>
      </rPr>
      <t>12LF蓝色Housing</t>
    </r>
  </si>
  <si>
    <t>65801-010LF蓝色Housing</t>
  </si>
  <si>
    <t>极泰</t>
  </si>
  <si>
    <t>65801-011LF蓝色Housing</t>
  </si>
  <si>
    <t>客供(佳晔盛)</t>
  </si>
  <si>
    <t>请先旧的先用</t>
  </si>
  <si>
    <t>2.54  1*4pin  环保直排针</t>
  </si>
  <si>
    <t>2.54  1*5pin  环保直排针</t>
  </si>
  <si>
    <t>ML 153N-YWT</t>
  </si>
  <si>
    <t>ML 153G-BWT</t>
  </si>
  <si>
    <r>
      <t>N</t>
    </r>
    <r>
      <rPr>
        <sz val="12"/>
        <rFont val="宋体"/>
        <charset val="134"/>
      </rPr>
      <t>tag213</t>
    </r>
  </si>
  <si>
    <t>JTT-837</t>
  </si>
  <si>
    <t>客供：说明不能多用它</t>
  </si>
  <si>
    <r>
      <t>放在， 环保直排针</t>
    </r>
    <r>
      <rPr>
        <sz val="12"/>
        <rFont val="宋体"/>
        <charset val="134"/>
      </rPr>
      <t xml:space="preserve"> 处</t>
    </r>
  </si>
  <si>
    <t>SMLVN6RGB1W17Y</t>
  </si>
  <si>
    <t>罗姆</t>
  </si>
  <si>
    <t>JTT-430</t>
  </si>
  <si>
    <t>SMLVN6RGB1W1</t>
  </si>
  <si>
    <r>
      <t>0</t>
    </r>
    <r>
      <rPr>
        <sz val="12"/>
        <rFont val="宋体"/>
        <charset val="134"/>
      </rPr>
      <t xml:space="preserve">20 RGB </t>
    </r>
  </si>
  <si>
    <t>JST-1255</t>
  </si>
  <si>
    <r>
      <t>0</t>
    </r>
    <r>
      <rPr>
        <sz val="12"/>
        <rFont val="宋体"/>
        <charset val="134"/>
      </rPr>
      <t>2SGYN59M08K</t>
    </r>
  </si>
  <si>
    <t>020黄灯</t>
  </si>
  <si>
    <t>侧放灯</t>
  </si>
  <si>
    <r>
      <t>W</t>
    </r>
    <r>
      <rPr>
        <sz val="12"/>
        <rFont val="宋体"/>
        <charset val="134"/>
      </rPr>
      <t>CX623-020</t>
    </r>
  </si>
  <si>
    <t>020红灯</t>
  </si>
  <si>
    <r>
      <t>W</t>
    </r>
    <r>
      <rPr>
        <sz val="12"/>
        <rFont val="宋体"/>
        <charset val="134"/>
      </rPr>
      <t>CX081-020</t>
    </r>
  </si>
  <si>
    <t>020蓝灯</t>
  </si>
  <si>
    <r>
      <t>W</t>
    </r>
    <r>
      <rPr>
        <sz val="12"/>
        <rFont val="宋体"/>
        <charset val="134"/>
      </rPr>
      <t>CX-02SGGN52M2K</t>
    </r>
  </si>
  <si>
    <t>020绿灯</t>
  </si>
  <si>
    <r>
      <t>W</t>
    </r>
    <r>
      <rPr>
        <sz val="12"/>
        <rFont val="宋体"/>
        <charset val="134"/>
      </rPr>
      <t>CX272-020</t>
    </r>
  </si>
  <si>
    <t>020白灯</t>
  </si>
  <si>
    <t>01.JT.CB003ZC-B</t>
  </si>
  <si>
    <t>0.6T 020白灯</t>
  </si>
  <si>
    <r>
      <t>01</t>
    </r>
    <r>
      <rPr>
        <sz val="12"/>
        <rFont val="宋体"/>
        <charset val="134"/>
      </rPr>
      <t>.JB.CBS206W-A3</t>
    </r>
  </si>
  <si>
    <t>`</t>
  </si>
  <si>
    <r>
      <t>01</t>
    </r>
    <r>
      <rPr>
        <sz val="12"/>
        <rFont val="宋体"/>
        <charset val="134"/>
      </rPr>
      <t>.JB.CAS206R65N11</t>
    </r>
  </si>
  <si>
    <t>0.6T 020 红灯</t>
  </si>
  <si>
    <r>
      <t>01</t>
    </r>
    <r>
      <rPr>
        <sz val="12"/>
        <rFont val="宋体"/>
        <charset val="134"/>
      </rPr>
      <t>.JB.CAS206G65N10</t>
    </r>
  </si>
  <si>
    <t>0.6T 020 绿灯</t>
  </si>
  <si>
    <r>
      <t>01</t>
    </r>
    <r>
      <rPr>
        <sz val="12"/>
        <rFont val="宋体"/>
        <charset val="134"/>
      </rPr>
      <t>.JB.CAS206Y65N11</t>
    </r>
  </si>
  <si>
    <t>0.6T 020 橙灯</t>
  </si>
  <si>
    <r>
      <t>01</t>
    </r>
    <r>
      <rPr>
        <sz val="12"/>
        <rFont val="宋体"/>
        <charset val="134"/>
      </rPr>
      <t>.JB.CAS206B65N10</t>
    </r>
  </si>
  <si>
    <t>0.6T 020 蓝灯</t>
  </si>
  <si>
    <r>
      <t>0</t>
    </r>
    <r>
      <rPr>
        <sz val="12"/>
        <rFont val="宋体"/>
        <charset val="134"/>
      </rPr>
      <t>1.JB.EC3806F65N00</t>
    </r>
  </si>
  <si>
    <t>三色灯</t>
  </si>
  <si>
    <t>HT-F190UY(0603黄灯)</t>
  </si>
  <si>
    <t>HT19-210/UYC82</t>
  </si>
  <si>
    <t>HT-F190UR(0603红灯)</t>
  </si>
  <si>
    <t>HT-F190UG(0603翠绿)</t>
  </si>
  <si>
    <t>HT19-210/UBGC92</t>
  </si>
  <si>
    <t>JH-190SYGC06H（0603黄绿灯）</t>
  </si>
  <si>
    <t>HT-F170UY(0805黄灯)</t>
  </si>
  <si>
    <t>JH-0805UYC08H</t>
  </si>
  <si>
    <t>HT-F170UYG(0805黄绿灯)</t>
  </si>
  <si>
    <t>JH-0805SYGC11H</t>
  </si>
  <si>
    <t>HT-F170UR(0805红灯)</t>
  </si>
  <si>
    <t>HQ17-2102SURC62</t>
  </si>
  <si>
    <t>HT-150USD(3216红灯)</t>
  </si>
  <si>
    <t>HT-150UY(3216黄灯)</t>
  </si>
  <si>
    <t>HT-150UYG(3216绿灯)</t>
  </si>
  <si>
    <t>JH-170UYAC(0805琥珀灯)</t>
  </si>
  <si>
    <t>JH-170USB(0805蓝灯)</t>
  </si>
  <si>
    <t>JH-17UYOC(0805橙灯)</t>
  </si>
  <si>
    <t>JH-175WE(0805白灯)</t>
  </si>
  <si>
    <t>JH-170YG（0805绿灯）</t>
  </si>
  <si>
    <t>JH-1206SYG11C(3216翠绿)</t>
  </si>
  <si>
    <t>替代JH-150USG</t>
  </si>
  <si>
    <t>JH-1206UYOYGC(3216橙绿)</t>
  </si>
  <si>
    <t>JH-150UY(3216黄灯)</t>
  </si>
  <si>
    <t>JH-150YG(3216黄绿)</t>
  </si>
  <si>
    <t>JH-150HR(3216红灯)</t>
  </si>
  <si>
    <r>
      <t>J</t>
    </r>
    <r>
      <rPr>
        <sz val="12"/>
        <rFont val="宋体"/>
        <charset val="134"/>
      </rPr>
      <t>H-0605URSYGC06H</t>
    </r>
  </si>
  <si>
    <r>
      <t>0</t>
    </r>
    <r>
      <rPr>
        <sz val="12"/>
        <rFont val="宋体"/>
        <charset val="134"/>
      </rPr>
      <t>605红绿双色灯</t>
    </r>
  </si>
  <si>
    <t>JH-1206URSYGC</t>
  </si>
  <si>
    <t>1206红绿双色灯</t>
  </si>
  <si>
    <t>JH-150USB</t>
  </si>
  <si>
    <t>高度0.75H蓝灯</t>
  </si>
  <si>
    <t>JH-150UY</t>
  </si>
  <si>
    <t>高度0.75H黄灯</t>
  </si>
  <si>
    <t>JH-150YG</t>
  </si>
  <si>
    <t>高度0.75H黄绿灯</t>
  </si>
  <si>
    <t>CYG1615SURSYGC</t>
  </si>
  <si>
    <t>(0603红绿灯)</t>
  </si>
  <si>
    <t>CYG3210RGBC</t>
  </si>
  <si>
    <t>CYG0603RGB（共阴）</t>
  </si>
  <si>
    <t>红蓝绿3色灯</t>
  </si>
  <si>
    <t>用于GF-520/530</t>
  </si>
  <si>
    <r>
      <t>C</t>
    </r>
    <r>
      <rPr>
        <sz val="12"/>
        <rFont val="宋体"/>
        <charset val="134"/>
      </rPr>
      <t>YG0603URC</t>
    </r>
  </si>
  <si>
    <r>
      <t>0</t>
    </r>
    <r>
      <rPr>
        <sz val="12"/>
        <rFont val="宋体"/>
        <charset val="134"/>
      </rPr>
      <t>603 反极红光</t>
    </r>
  </si>
  <si>
    <r>
      <t>C</t>
    </r>
    <r>
      <rPr>
        <sz val="12"/>
        <rFont val="宋体"/>
        <charset val="134"/>
      </rPr>
      <t>YG0603UGC</t>
    </r>
  </si>
  <si>
    <r>
      <t>0</t>
    </r>
    <r>
      <rPr>
        <sz val="12"/>
        <rFont val="宋体"/>
        <charset val="134"/>
      </rPr>
      <t>603 反极翠绿光</t>
    </r>
  </si>
  <si>
    <r>
      <t>C</t>
    </r>
    <r>
      <rPr>
        <sz val="12"/>
        <rFont val="宋体"/>
        <charset val="134"/>
      </rPr>
      <t>YG020SUYC</t>
    </r>
  </si>
  <si>
    <r>
      <t>0</t>
    </r>
    <r>
      <rPr>
        <sz val="12"/>
        <rFont val="宋体"/>
        <charset val="134"/>
      </rPr>
      <t>20黄灯</t>
    </r>
  </si>
  <si>
    <t>GF-573</t>
  </si>
  <si>
    <r>
      <t>C</t>
    </r>
    <r>
      <rPr>
        <sz val="12"/>
        <rFont val="宋体"/>
        <charset val="134"/>
      </rPr>
      <t>YG020SUGC</t>
    </r>
  </si>
  <si>
    <r>
      <t>0</t>
    </r>
    <r>
      <rPr>
        <sz val="12"/>
        <rFont val="宋体"/>
        <charset val="134"/>
      </rPr>
      <t>20翠绿</t>
    </r>
  </si>
  <si>
    <t>JB3030AWT-P</t>
  </si>
  <si>
    <t>闪烁灯</t>
  </si>
  <si>
    <t>用于GF-520/530/584</t>
  </si>
  <si>
    <r>
      <t>C</t>
    </r>
    <r>
      <rPr>
        <sz val="12"/>
        <rFont val="宋体"/>
        <charset val="134"/>
      </rPr>
      <t>GL-6028正白</t>
    </r>
  </si>
  <si>
    <t>JTT-728</t>
  </si>
  <si>
    <r>
      <t>C</t>
    </r>
    <r>
      <rPr>
        <sz val="12"/>
        <rFont val="宋体"/>
        <charset val="134"/>
      </rPr>
      <t>GL-020RGB六脚</t>
    </r>
  </si>
  <si>
    <t>19-223/R6BHC-A03/2T</t>
  </si>
  <si>
    <t>19-223/R7BHC-A03/2T</t>
  </si>
  <si>
    <t>红蓝双色灯</t>
  </si>
  <si>
    <t>JTT-656/572</t>
  </si>
  <si>
    <r>
      <t>19-226/R6Y2C-A301</t>
    </r>
    <r>
      <rPr>
        <sz val="12"/>
        <rFont val="宋体"/>
        <charset val="134"/>
      </rPr>
      <t>-</t>
    </r>
    <r>
      <rPr>
        <sz val="12"/>
        <rFont val="宋体"/>
        <charset val="134"/>
      </rPr>
      <t>2T</t>
    </r>
  </si>
  <si>
    <r>
      <t>19-226/</t>
    </r>
    <r>
      <rPr>
        <sz val="12"/>
        <rFont val="宋体"/>
        <charset val="134"/>
      </rPr>
      <t>R6GHC</t>
    </r>
    <r>
      <rPr>
        <sz val="12"/>
        <rFont val="宋体"/>
        <charset val="134"/>
      </rPr>
      <t>-A0</t>
    </r>
    <r>
      <rPr>
        <sz val="12"/>
        <rFont val="宋体"/>
        <charset val="134"/>
      </rPr>
      <t>3-</t>
    </r>
    <r>
      <rPr>
        <sz val="12"/>
        <rFont val="宋体"/>
        <charset val="134"/>
      </rPr>
      <t>2T</t>
    </r>
  </si>
  <si>
    <t>19-217/S2C-AQ1R1B/3T</t>
  </si>
  <si>
    <t>0603橙色灯</t>
  </si>
  <si>
    <t>19-217/Y5C-AM1N1VY/3T</t>
  </si>
  <si>
    <t>0603黄灯</t>
  </si>
  <si>
    <t>2024.10.16</t>
  </si>
  <si>
    <t>19-217/G7C-AN1P2/3T</t>
  </si>
  <si>
    <t>0603黄绿灯</t>
  </si>
  <si>
    <t>19-217/R6C-AL1M2VY-3T</t>
  </si>
  <si>
    <t>0603红灯</t>
  </si>
  <si>
    <t>19-217-BHC-ZL1M2RY/3T</t>
  </si>
  <si>
    <t>0603蓝灯</t>
  </si>
  <si>
    <t>19-217/W1D-APQHY/3T</t>
  </si>
  <si>
    <t>0603白灯</t>
  </si>
  <si>
    <t>19-213/GHC-YR1S2/3T/19-217GHC-YR1S2-3T</t>
  </si>
  <si>
    <t>0603翠绿</t>
  </si>
  <si>
    <t>JTT-459/JTT-460</t>
  </si>
  <si>
    <t>19-213UYC/S530-A3/TR8</t>
  </si>
  <si>
    <t>0603超高亮黄灯</t>
  </si>
  <si>
    <t>JTT-573</t>
  </si>
  <si>
    <t>19-213SUBC/S530-A3/TR8</t>
  </si>
  <si>
    <t>0603超高亮蓝灯</t>
  </si>
  <si>
    <t>19-213SURC/S530-A3/TR8</t>
  </si>
  <si>
    <t>0603超高亮红灯</t>
  </si>
  <si>
    <t>19-213GHC/S530-A3/TR8</t>
  </si>
  <si>
    <t>0603超高亮绿灯</t>
  </si>
  <si>
    <t>19-22SURSYGC/S530-A3/E2/TR8</t>
  </si>
  <si>
    <t xml:space="preserve">红绿双色灯 </t>
  </si>
  <si>
    <t>JTT-087 JTT-189</t>
  </si>
  <si>
    <t>19-22SURSUB/S530-A3/TR8</t>
  </si>
  <si>
    <r>
      <t>1</t>
    </r>
    <r>
      <rPr>
        <sz val="12"/>
        <rFont val="宋体"/>
        <charset val="134"/>
      </rPr>
      <t>9-237/R6CHBHCC-A01/2T</t>
    </r>
  </si>
  <si>
    <t>红绿蓝灯</t>
  </si>
  <si>
    <t>JST-926</t>
  </si>
  <si>
    <t>17-215SYGC/S530-E3/TR8</t>
  </si>
  <si>
    <t>高亮黄绿灯（GF-208用）</t>
  </si>
  <si>
    <r>
      <t>17-215SURC/S530-</t>
    </r>
    <r>
      <rPr>
        <sz val="12"/>
        <color indexed="10"/>
        <rFont val="宋体"/>
        <charset val="134"/>
      </rPr>
      <t>A4</t>
    </r>
    <r>
      <rPr>
        <sz val="12"/>
        <rFont val="宋体"/>
        <charset val="134"/>
      </rPr>
      <t>/TR8</t>
    </r>
  </si>
  <si>
    <t>高亮红灯（GF-208用）</t>
  </si>
  <si>
    <t>17-215UYC/S530-A2/TR8</t>
  </si>
  <si>
    <t>0805黄灯</t>
  </si>
  <si>
    <t>17-215SYGC/S530-E2/TR8</t>
  </si>
  <si>
    <t>0805黄绿</t>
  </si>
  <si>
    <t>JST-291</t>
  </si>
  <si>
    <t>17-215SURC/S530-A2-TR8</t>
  </si>
  <si>
    <t>0805红灯</t>
  </si>
  <si>
    <t>替代17-21SURC/S530-A2-TR8红（高度1.1）</t>
  </si>
  <si>
    <t>17-215/BHC-AN1P2/3T</t>
  </si>
  <si>
    <t>替代17-21/BHC-AN1P2/3T蓝灯</t>
  </si>
  <si>
    <t>JST-800/JST-342等同17-215/BHC-AN1P2/3T蓝灯（高度0.8）</t>
  </si>
  <si>
    <t>17-215/T7D-DO2R2B35Y/灯</t>
  </si>
  <si>
    <t>17-21/W1D-ANPHY-3T白灯</t>
  </si>
  <si>
    <t>15-215/BHC-AN2Q1/2T</t>
  </si>
  <si>
    <t>15-21SURC/S530-A3/TR8</t>
  </si>
  <si>
    <t>1206红灯</t>
  </si>
  <si>
    <t>用于GF-395</t>
  </si>
  <si>
    <t>15-21SYGC/S530-E1/TR8</t>
  </si>
  <si>
    <t>1206绿灯</t>
  </si>
  <si>
    <t>15-21UYC/S530-A2/TR8</t>
  </si>
  <si>
    <t>1206黄灯</t>
  </si>
  <si>
    <t>15-22UYOC/S530-A3/TR8</t>
  </si>
  <si>
    <t>1206橙灯</t>
  </si>
  <si>
    <t>15-22UYSUBC/S530-A4/TR8</t>
  </si>
  <si>
    <t>黄蓝双色灯</t>
  </si>
  <si>
    <t>15-22UYSYGC/S530-A2/TR8</t>
  </si>
  <si>
    <t>黄绿双色燈</t>
  </si>
  <si>
    <t>15-22SURUYC/S530-A3/TR8</t>
  </si>
  <si>
    <t>红黄双色燈</t>
  </si>
  <si>
    <r>
      <t>15-22SUR</t>
    </r>
    <r>
      <rPr>
        <sz val="12"/>
        <rFont val="宋体"/>
        <charset val="134"/>
      </rPr>
      <t>S</t>
    </r>
    <r>
      <rPr>
        <sz val="12"/>
        <rFont val="宋体"/>
        <charset val="134"/>
      </rPr>
      <t>Y</t>
    </r>
    <r>
      <rPr>
        <sz val="12"/>
        <rFont val="宋体"/>
        <charset val="134"/>
      </rPr>
      <t>G</t>
    </r>
    <r>
      <rPr>
        <sz val="12"/>
        <rFont val="宋体"/>
        <charset val="134"/>
      </rPr>
      <t>C/S530-A</t>
    </r>
    <r>
      <rPr>
        <sz val="12"/>
        <rFont val="宋体"/>
        <charset val="134"/>
      </rPr>
      <t>2</t>
    </r>
    <r>
      <rPr>
        <sz val="12"/>
        <rFont val="宋体"/>
        <charset val="134"/>
      </rPr>
      <t>/TR8</t>
    </r>
  </si>
  <si>
    <t>红绿双色燈</t>
  </si>
  <si>
    <t>JTT-969</t>
  </si>
  <si>
    <t>GT-197</t>
  </si>
  <si>
    <t>白灯</t>
  </si>
  <si>
    <t>JST-531</t>
  </si>
  <si>
    <t>19-213UYC/S3432/TR8</t>
  </si>
  <si>
    <t>黄灯</t>
  </si>
  <si>
    <t>WW119-1213SURC/S530-A2/TR8</t>
  </si>
  <si>
    <t>红灯(世行)</t>
  </si>
  <si>
    <t>ZUY55W-05</t>
  </si>
  <si>
    <r>
      <t>ZU</t>
    </r>
    <r>
      <rPr>
        <sz val="12"/>
        <rFont val="宋体"/>
        <charset val="134"/>
      </rPr>
      <t>R</t>
    </r>
    <r>
      <rPr>
        <sz val="12"/>
        <rFont val="宋体"/>
        <charset val="134"/>
      </rPr>
      <t>55W-05</t>
    </r>
  </si>
  <si>
    <t>红灯</t>
  </si>
  <si>
    <t>ZMG55W-06</t>
  </si>
  <si>
    <t>绿灯</t>
  </si>
  <si>
    <r>
      <t>C</t>
    </r>
    <r>
      <rPr>
        <sz val="12"/>
        <rFont val="宋体"/>
        <charset val="134"/>
      </rPr>
      <t>YG0807RGBXC</t>
    </r>
  </si>
  <si>
    <r>
      <t>0</t>
    </r>
    <r>
      <rPr>
        <sz val="12"/>
        <rFont val="宋体"/>
        <charset val="134"/>
      </rPr>
      <t>807炫彩</t>
    </r>
  </si>
  <si>
    <t>JTT-817</t>
  </si>
  <si>
    <t>APHCM2012CGCK-F01</t>
  </si>
  <si>
    <t>用于GF-264</t>
  </si>
  <si>
    <t>APHCM2012SURCK-F01</t>
  </si>
  <si>
    <t>APHBM2012SURKCGKC</t>
  </si>
  <si>
    <t>KPHCM-2012SECK</t>
  </si>
  <si>
    <t>橙灯</t>
  </si>
  <si>
    <t>KPHCM-2012FGCK</t>
  </si>
  <si>
    <t>KPHCM-2012QBC-D</t>
  </si>
  <si>
    <t>蓝灯</t>
  </si>
  <si>
    <t>KPHCM-2012SYCK</t>
  </si>
  <si>
    <t>KPHBM-2012QBDCGKC/APHBM2012QBDCGKC</t>
  </si>
  <si>
    <t>蓝绿双色灯</t>
  </si>
  <si>
    <t>JST-800</t>
  </si>
  <si>
    <t>电子网订型号：2012QBDCGKC</t>
  </si>
  <si>
    <t>KPT-3216SECK</t>
  </si>
  <si>
    <t>KPT-3216SURCK</t>
  </si>
  <si>
    <t>KPT-3216FGCK</t>
  </si>
  <si>
    <t>APG1608SURKC-T</t>
  </si>
  <si>
    <t>APTF1616SURKCGKSYKC</t>
  </si>
  <si>
    <t>红绿黄三色灯</t>
  </si>
  <si>
    <t>GF-528</t>
  </si>
  <si>
    <r>
      <t>X</t>
    </r>
    <r>
      <rPr>
        <sz val="12"/>
        <rFont val="宋体"/>
        <charset val="134"/>
      </rPr>
      <t>L-3216SURC</t>
    </r>
  </si>
  <si>
    <r>
      <t>1</t>
    </r>
    <r>
      <rPr>
        <sz val="12"/>
        <rFont val="宋体"/>
        <charset val="134"/>
      </rPr>
      <t>206 红</t>
    </r>
  </si>
  <si>
    <r>
      <t>X</t>
    </r>
    <r>
      <rPr>
        <sz val="12"/>
        <rFont val="宋体"/>
        <charset val="134"/>
      </rPr>
      <t>L-3216SYGC</t>
    </r>
  </si>
  <si>
    <r>
      <t>120</t>
    </r>
    <r>
      <rPr>
        <sz val="12"/>
        <rFont val="宋体"/>
        <charset val="134"/>
      </rPr>
      <t>6 黄绿</t>
    </r>
  </si>
  <si>
    <r>
      <t>X</t>
    </r>
    <r>
      <rPr>
        <sz val="12"/>
        <rFont val="宋体"/>
        <charset val="134"/>
      </rPr>
      <t>L-1608SURC-04</t>
    </r>
  </si>
  <si>
    <r>
      <t>0</t>
    </r>
    <r>
      <rPr>
        <sz val="12"/>
        <rFont val="宋体"/>
        <charset val="134"/>
      </rPr>
      <t>603 红 0.4T</t>
    </r>
  </si>
  <si>
    <r>
      <t>X</t>
    </r>
    <r>
      <rPr>
        <sz val="12"/>
        <rFont val="宋体"/>
        <charset val="134"/>
      </rPr>
      <t>L-1608SYGC-04</t>
    </r>
  </si>
  <si>
    <r>
      <t>0</t>
    </r>
    <r>
      <rPr>
        <sz val="12"/>
        <rFont val="宋体"/>
        <charset val="134"/>
      </rPr>
      <t>603 黄绿0.4T</t>
    </r>
  </si>
  <si>
    <r>
      <t>X</t>
    </r>
    <r>
      <rPr>
        <sz val="12"/>
        <rFont val="宋体"/>
        <charset val="134"/>
      </rPr>
      <t>L-1608UYC-04</t>
    </r>
  </si>
  <si>
    <r>
      <t>0</t>
    </r>
    <r>
      <rPr>
        <sz val="12"/>
        <rFont val="宋体"/>
        <charset val="134"/>
      </rPr>
      <t>603 黄0.4T</t>
    </r>
  </si>
  <si>
    <r>
      <t>X</t>
    </r>
    <r>
      <rPr>
        <sz val="12"/>
        <rFont val="宋体"/>
        <charset val="134"/>
      </rPr>
      <t>L-1608UBC-04</t>
    </r>
  </si>
  <si>
    <r>
      <t>0</t>
    </r>
    <r>
      <rPr>
        <sz val="12"/>
        <rFont val="宋体"/>
        <charset val="134"/>
      </rPr>
      <t>603 蓝0.4T</t>
    </r>
  </si>
  <si>
    <r>
      <t>X</t>
    </r>
    <r>
      <rPr>
        <sz val="12"/>
        <rFont val="宋体"/>
        <charset val="134"/>
      </rPr>
      <t>L-1608UGC-04</t>
    </r>
  </si>
  <si>
    <r>
      <t>0</t>
    </r>
    <r>
      <rPr>
        <sz val="12"/>
        <rFont val="宋体"/>
        <charset val="134"/>
      </rPr>
      <t>603 翠绿0.4T</t>
    </r>
  </si>
  <si>
    <r>
      <t>X</t>
    </r>
    <r>
      <rPr>
        <sz val="12"/>
        <rFont val="宋体"/>
        <charset val="134"/>
      </rPr>
      <t>L-2106UYC</t>
    </r>
  </si>
  <si>
    <r>
      <t>0</t>
    </r>
    <r>
      <rPr>
        <sz val="12"/>
        <rFont val="宋体"/>
        <charset val="134"/>
      </rPr>
      <t>802 黄</t>
    </r>
  </si>
  <si>
    <r>
      <t>5</t>
    </r>
    <r>
      <rPr>
        <sz val="12"/>
        <rFont val="宋体"/>
        <charset val="134"/>
      </rPr>
      <t>98-8610-207F</t>
    </r>
  </si>
  <si>
    <r>
      <t>L</t>
    </r>
    <r>
      <rPr>
        <sz val="12"/>
        <rFont val="宋体"/>
        <charset val="134"/>
      </rPr>
      <t>ED</t>
    </r>
  </si>
  <si>
    <t>0603 91 0hw/0.1W</t>
  </si>
  <si>
    <t>0603 91R 1/10W</t>
  </si>
  <si>
    <r>
      <t>0</t>
    </r>
    <r>
      <rPr>
        <sz val="12"/>
        <rFont val="宋体"/>
        <charset val="134"/>
      </rPr>
      <t>402 10k+/-5% 1K16W 电阻</t>
    </r>
  </si>
  <si>
    <r>
      <t>0</t>
    </r>
    <r>
      <rPr>
        <sz val="12"/>
        <rFont val="宋体"/>
        <charset val="134"/>
      </rPr>
      <t>402 1k+/-5% 1/16W 电阻</t>
    </r>
  </si>
  <si>
    <r>
      <t>0</t>
    </r>
    <r>
      <rPr>
        <sz val="12"/>
        <rFont val="宋体"/>
        <charset val="134"/>
      </rPr>
      <t>402 J R-07 1/K5 电阻</t>
    </r>
  </si>
  <si>
    <r>
      <t xml:space="preserve">0603 J </t>
    </r>
    <r>
      <rPr>
        <sz val="12"/>
        <rFont val="宋体"/>
        <charset val="134"/>
      </rPr>
      <t>N 33</t>
    </r>
    <r>
      <rPr>
        <sz val="12"/>
        <rFont val="宋体"/>
        <charset val="134"/>
      </rPr>
      <t>R电阻</t>
    </r>
  </si>
  <si>
    <t>JTT-889</t>
  </si>
  <si>
    <t>0603 J 100R电阻</t>
  </si>
  <si>
    <t>0603 J 120R电阻</t>
  </si>
  <si>
    <t>120欧 5V</t>
  </si>
  <si>
    <t>0603 F 220R电阻</t>
  </si>
  <si>
    <t>0603 F 2K55电阻</t>
  </si>
  <si>
    <t>2.5K/0.125W</t>
  </si>
  <si>
    <t>0603 J 470R电阻</t>
  </si>
  <si>
    <t>0603 J 499R电阻</t>
  </si>
  <si>
    <t>0603 J 1K电阻</t>
  </si>
  <si>
    <r>
      <t xml:space="preserve">0603  </t>
    </r>
    <r>
      <rPr>
        <sz val="12"/>
        <rFont val="宋体"/>
        <charset val="134"/>
      </rPr>
      <t>8</t>
    </r>
    <r>
      <rPr>
        <sz val="12"/>
        <rFont val="宋体"/>
        <charset val="134"/>
      </rPr>
      <t>K</t>
    </r>
    <r>
      <rPr>
        <sz val="12"/>
        <rFont val="宋体"/>
        <charset val="134"/>
      </rPr>
      <t>2</t>
    </r>
    <r>
      <rPr>
        <sz val="12"/>
        <rFont val="宋体"/>
        <charset val="134"/>
      </rPr>
      <t>电阻</t>
    </r>
  </si>
  <si>
    <t>GF-591</t>
  </si>
  <si>
    <t>0603  10K电阻</t>
  </si>
  <si>
    <t>JTT-459</t>
  </si>
  <si>
    <t>0603 2K52电阻</t>
  </si>
  <si>
    <r>
      <t>0</t>
    </r>
    <r>
      <rPr>
        <sz val="12"/>
        <rFont val="宋体"/>
        <charset val="134"/>
      </rPr>
      <t>603 200R电阻</t>
    </r>
  </si>
  <si>
    <r>
      <t>正负5</t>
    </r>
    <r>
      <rPr>
        <sz val="12"/>
        <rFont val="宋体"/>
        <charset val="134"/>
      </rPr>
      <t>%</t>
    </r>
  </si>
  <si>
    <t>JTT-789</t>
  </si>
  <si>
    <r>
      <t>0</t>
    </r>
    <r>
      <rPr>
        <sz val="12"/>
        <rFont val="宋体"/>
        <charset val="134"/>
      </rPr>
      <t>603 500R电阻</t>
    </r>
  </si>
  <si>
    <r>
      <t>0</t>
    </r>
    <r>
      <rPr>
        <sz val="12"/>
        <rFont val="宋体"/>
        <charset val="134"/>
      </rPr>
      <t>603 680R电阻</t>
    </r>
  </si>
  <si>
    <r>
      <t>0</t>
    </r>
    <r>
      <rPr>
        <sz val="12"/>
        <rFont val="宋体"/>
        <charset val="134"/>
      </rPr>
      <t>603 604R电阻</t>
    </r>
  </si>
  <si>
    <r>
      <t>0805 1</t>
    </r>
    <r>
      <rPr>
        <sz val="12"/>
        <rFont val="宋体"/>
        <charset val="134"/>
      </rPr>
      <t>00R电阻</t>
    </r>
  </si>
  <si>
    <t>0805 140R电阻</t>
  </si>
  <si>
    <r>
      <t xml:space="preserve">0805 </t>
    </r>
    <r>
      <rPr>
        <sz val="12"/>
        <rFont val="宋体"/>
        <charset val="134"/>
      </rPr>
      <t>910R电阻</t>
    </r>
  </si>
  <si>
    <r>
      <t>0</t>
    </r>
    <r>
      <rPr>
        <sz val="12"/>
        <rFont val="宋体"/>
        <charset val="134"/>
      </rPr>
      <t>.1UF/50V</t>
    </r>
  </si>
  <si>
    <t>电容</t>
  </si>
  <si>
    <t>GF-586</t>
  </si>
  <si>
    <r>
      <t xml:space="preserve">1608 B </t>
    </r>
    <r>
      <rPr>
        <sz val="12"/>
        <rFont val="宋体"/>
        <charset val="134"/>
      </rPr>
      <t>1</t>
    </r>
    <r>
      <rPr>
        <sz val="12"/>
        <rFont val="宋体"/>
        <charset val="134"/>
      </rPr>
      <t>00nF</t>
    </r>
  </si>
  <si>
    <r>
      <t>1</t>
    </r>
    <r>
      <rPr>
        <sz val="12"/>
        <rFont val="宋体"/>
        <charset val="134"/>
      </rPr>
      <t>00nF/50V/X7R</t>
    </r>
  </si>
  <si>
    <t>jtt-848</t>
  </si>
  <si>
    <t>47pF/50V/X7R</t>
  </si>
  <si>
    <t xml:space="preserve">CC0603JRNPO9BN101 </t>
  </si>
  <si>
    <t>JST-1283</t>
  </si>
  <si>
    <r>
      <t>R</t>
    </r>
    <r>
      <rPr>
        <sz val="12"/>
        <rFont val="宋体"/>
        <charset val="134"/>
      </rPr>
      <t>B521S30</t>
    </r>
  </si>
  <si>
    <t>二极管</t>
  </si>
  <si>
    <r>
      <t>L</t>
    </r>
    <r>
      <rPr>
        <sz val="12"/>
        <rFont val="宋体"/>
        <charset val="134"/>
      </rPr>
      <t>C8812B-3210(RGB)(色彩）</t>
    </r>
  </si>
  <si>
    <r>
      <t>L</t>
    </r>
    <r>
      <rPr>
        <sz val="12"/>
        <rFont val="宋体"/>
        <charset val="134"/>
      </rPr>
      <t>T8A22-54-UR96-T5</t>
    </r>
  </si>
  <si>
    <t>JTT-849</t>
  </si>
  <si>
    <t>1206 J 6K8电阻（诚亿光）</t>
  </si>
  <si>
    <t>1206 J 6K8</t>
  </si>
  <si>
    <t>GF-287</t>
  </si>
  <si>
    <t>91欧电阻（诚亿光）</t>
  </si>
  <si>
    <t>0606J330R电阻</t>
  </si>
  <si>
    <r>
      <t>C</t>
    </r>
    <r>
      <rPr>
        <sz val="12"/>
        <rFont val="宋体"/>
        <charset val="134"/>
      </rPr>
      <t>L21C101JBANNNC 电容</t>
    </r>
  </si>
  <si>
    <r>
      <t>1</t>
    </r>
    <r>
      <rPr>
        <sz val="12"/>
        <rFont val="宋体"/>
        <charset val="134"/>
      </rPr>
      <t>00PF</t>
    </r>
  </si>
  <si>
    <r>
      <t>C</t>
    </r>
    <r>
      <rPr>
        <sz val="12"/>
        <rFont val="宋体"/>
        <charset val="134"/>
      </rPr>
      <t>L</t>
    </r>
    <r>
      <rPr>
        <sz val="12"/>
        <rFont val="宋体"/>
        <charset val="134"/>
      </rPr>
      <t>05</t>
    </r>
    <r>
      <rPr>
        <sz val="12"/>
        <rFont val="宋体"/>
        <charset val="134"/>
      </rPr>
      <t>C101JB</t>
    </r>
    <r>
      <rPr>
        <sz val="12"/>
        <rFont val="宋体"/>
        <charset val="134"/>
      </rPr>
      <t>5</t>
    </r>
    <r>
      <rPr>
        <sz val="12"/>
        <rFont val="宋体"/>
        <charset val="134"/>
      </rPr>
      <t>NNNC 电容</t>
    </r>
  </si>
  <si>
    <r>
      <t>C</t>
    </r>
    <r>
      <rPr>
        <sz val="12"/>
        <rFont val="宋体"/>
        <charset val="134"/>
      </rPr>
      <t>C0805JRNPO9BN101 电容</t>
    </r>
  </si>
  <si>
    <r>
      <t>C</t>
    </r>
    <r>
      <rPr>
        <sz val="12"/>
        <rFont val="宋体"/>
        <charset val="134"/>
      </rPr>
      <t>0603X7R1C104KT000F 电容</t>
    </r>
  </si>
  <si>
    <t>S2005ISW30MP-Y1(银亮）</t>
  </si>
  <si>
    <t>0802暖白燈</t>
  </si>
  <si>
    <t>S2005ISY87TP-Y1（银亮）</t>
  </si>
  <si>
    <t>0802黃燈</t>
  </si>
  <si>
    <t>S2005ISW65TP-Y1(銀亮）</t>
  </si>
  <si>
    <t>0802白燈</t>
  </si>
  <si>
    <t>S2005ISB65TP-Y1(銀亮）</t>
  </si>
  <si>
    <t>0802藍燈</t>
  </si>
  <si>
    <t>S2005ISR20TP-Y1(銀亮）</t>
  </si>
  <si>
    <t>0802紅燈</t>
  </si>
  <si>
    <t>S2005ISG20TP-Y1(銀亮）</t>
  </si>
  <si>
    <t>0802翠綠燈</t>
  </si>
  <si>
    <r>
      <t>S</t>
    </r>
    <r>
      <rPr>
        <sz val="12"/>
        <rFont val="宋体"/>
        <charset val="134"/>
      </rPr>
      <t>2006JAW30MP-F1(銀亮）</t>
    </r>
  </si>
  <si>
    <r>
      <t>S</t>
    </r>
    <r>
      <rPr>
        <sz val="12"/>
        <rFont val="宋体"/>
        <charset val="134"/>
      </rPr>
      <t>2006JAG20TP-F1(銀亮）</t>
    </r>
  </si>
  <si>
    <t>LTST-C193KRKT-5A（浩正芯）</t>
  </si>
  <si>
    <t>S020EHB65TP-C3</t>
  </si>
  <si>
    <t>GF-453</t>
  </si>
  <si>
    <t>S020EHG20TP-C3</t>
  </si>
  <si>
    <t>S020EHR20TP-C3</t>
  </si>
  <si>
    <t>S020EHW65TP-G3</t>
  </si>
  <si>
    <t>下面是：铭板印刷  材料</t>
  </si>
  <si>
    <t>下面是; 拉丝 材料</t>
  </si>
  <si>
    <t>0.5 XE PC 抗UV</t>
  </si>
  <si>
    <t>305*228</t>
  </si>
  <si>
    <t>跟拉丝材料，放一起</t>
  </si>
  <si>
    <t>C区架二，一层-2格</t>
  </si>
  <si>
    <r>
      <t>0.254mm拉丝PC(</t>
    </r>
    <r>
      <rPr>
        <sz val="12"/>
        <color indexed="12"/>
        <rFont val="宋体"/>
        <charset val="134"/>
      </rPr>
      <t>兴富成）</t>
    </r>
  </si>
  <si>
    <r>
      <t>1</t>
    </r>
    <r>
      <rPr>
        <sz val="12"/>
        <rFont val="宋体"/>
        <charset val="134"/>
      </rPr>
      <t>80*300</t>
    </r>
  </si>
  <si>
    <t>16.11.18</t>
  </si>
  <si>
    <t>,标签 LJ-047</t>
  </si>
  <si>
    <t>460*300</t>
  </si>
  <si>
    <t>16.11.17</t>
  </si>
  <si>
    <r>
      <t>0.2</t>
    </r>
    <r>
      <rPr>
        <sz val="12"/>
        <rFont val="宋体"/>
        <charset val="134"/>
      </rPr>
      <t>0mm拉丝PC(成浩林</t>
    </r>
    <r>
      <rPr>
        <sz val="12"/>
        <color indexed="12"/>
        <rFont val="宋体"/>
        <charset val="134"/>
      </rPr>
      <t>）</t>
    </r>
  </si>
  <si>
    <t>22.01.01</t>
  </si>
  <si>
    <t>盘点入账，24.10.09</t>
  </si>
  <si>
    <r>
      <t>0.2</t>
    </r>
    <r>
      <rPr>
        <sz val="12"/>
        <rFont val="宋体"/>
        <charset val="134"/>
      </rPr>
      <t>0mm拉丝S200(成浩林</t>
    </r>
    <r>
      <rPr>
        <sz val="12"/>
        <color indexed="12"/>
        <rFont val="宋体"/>
        <charset val="134"/>
      </rPr>
      <t>）</t>
    </r>
  </si>
  <si>
    <t>22.04.25</t>
  </si>
  <si>
    <r>
      <t>0.5mm拉丝PC(</t>
    </r>
    <r>
      <rPr>
        <sz val="12"/>
        <color indexed="12"/>
        <rFont val="宋体"/>
        <charset val="134"/>
      </rPr>
      <t>龙跃宇</t>
    </r>
    <r>
      <rPr>
        <sz val="12"/>
        <rFont val="宋体"/>
        <charset val="134"/>
      </rPr>
      <t>）</t>
    </r>
  </si>
  <si>
    <t>185*280</t>
  </si>
  <si>
    <t>22.03.29</t>
  </si>
  <si>
    <r>
      <t>0.5mm拉丝PC(</t>
    </r>
    <r>
      <rPr>
        <sz val="12"/>
        <color indexed="12"/>
        <rFont val="宋体"/>
        <charset val="134"/>
      </rPr>
      <t>共耘</t>
    </r>
    <r>
      <rPr>
        <sz val="12"/>
        <rFont val="宋体"/>
        <charset val="134"/>
      </rPr>
      <t>）</t>
    </r>
  </si>
  <si>
    <t>186*280</t>
  </si>
  <si>
    <t>23.12.29</t>
  </si>
  <si>
    <t>S200（SH）</t>
  </si>
  <si>
    <t>21.03.08</t>
  </si>
  <si>
    <t>19.04.09</t>
  </si>
  <si>
    <r>
      <t>S200（</t>
    </r>
    <r>
      <rPr>
        <sz val="12"/>
        <color indexed="12"/>
        <rFont val="宋体"/>
        <charset val="134"/>
      </rPr>
      <t>CHL</t>
    </r>
    <r>
      <rPr>
        <sz val="12"/>
        <rFont val="宋体"/>
        <charset val="134"/>
      </rPr>
      <t>）</t>
    </r>
  </si>
  <si>
    <t>20.09.24</t>
  </si>
  <si>
    <r>
      <t>HP92</t>
    </r>
    <r>
      <rPr>
        <sz val="12"/>
        <rFont val="宋体"/>
        <charset val="134"/>
      </rPr>
      <t>XTY</t>
    </r>
    <r>
      <rPr>
        <sz val="12"/>
        <rFont val="宋体"/>
        <charset val="134"/>
      </rPr>
      <t xml:space="preserve"> 0.25mm（客供)</t>
    </r>
  </si>
  <si>
    <t>610*1220</t>
  </si>
  <si>
    <t>25.06.03</t>
  </si>
  <si>
    <r>
      <t>25.06.07</t>
    </r>
    <r>
      <rPr>
        <b/>
        <sz val="8"/>
        <color indexed="11"/>
        <rFont val="宋体"/>
        <charset val="134"/>
      </rPr>
      <t>盘点</t>
    </r>
  </si>
  <si>
    <r>
      <t>客供材料，</t>
    </r>
    <r>
      <rPr>
        <sz val="12"/>
        <color indexed="10"/>
        <rFont val="宋体"/>
        <charset val="134"/>
      </rPr>
      <t>暂没用过</t>
    </r>
  </si>
  <si>
    <t>F区架一，一层-1格</t>
  </si>
  <si>
    <t>HP92W 0.25mm（客供)</t>
  </si>
  <si>
    <t>客供材料，</t>
  </si>
  <si>
    <t>HP92X-20 0.5mm（客供)</t>
  </si>
  <si>
    <r>
      <t>6</t>
    </r>
    <r>
      <rPr>
        <sz val="12"/>
        <rFont val="宋体"/>
        <charset val="134"/>
      </rPr>
      <t>10*610</t>
    </r>
  </si>
  <si>
    <t>25.06.25</t>
  </si>
  <si>
    <r>
      <t>J</t>
    </r>
    <r>
      <rPr>
        <sz val="12"/>
        <rFont val="宋体"/>
        <charset val="134"/>
      </rPr>
      <t>ST-1258专用</t>
    </r>
  </si>
  <si>
    <r>
      <t>26.03.14</t>
    </r>
    <r>
      <rPr>
        <b/>
        <sz val="8"/>
        <color indexed="11"/>
        <rFont val="宋体"/>
        <charset val="134"/>
      </rPr>
      <t>盘点</t>
    </r>
  </si>
  <si>
    <r>
      <t>6</t>
    </r>
    <r>
      <rPr>
        <sz val="12"/>
        <rFont val="宋体"/>
        <charset val="134"/>
      </rPr>
      <t>10*145</t>
    </r>
  </si>
  <si>
    <t>23.06.16</t>
  </si>
  <si>
    <r>
      <t>J</t>
    </r>
    <r>
      <rPr>
        <sz val="12"/>
        <rFont val="宋体"/>
        <charset val="134"/>
      </rPr>
      <t>ST-1258,切出来的余料</t>
    </r>
  </si>
  <si>
    <r>
      <t>HP92</t>
    </r>
    <r>
      <rPr>
        <sz val="12"/>
        <rFont val="宋体"/>
        <charset val="134"/>
      </rPr>
      <t>W</t>
    </r>
    <r>
      <rPr>
        <sz val="12"/>
        <rFont val="宋体"/>
        <charset val="134"/>
      </rPr>
      <t xml:space="preserve"> 0.</t>
    </r>
    <r>
      <rPr>
        <sz val="12"/>
        <rFont val="宋体"/>
        <charset val="134"/>
      </rPr>
      <t>5</t>
    </r>
    <r>
      <rPr>
        <sz val="12"/>
        <rFont val="宋体"/>
        <charset val="134"/>
      </rPr>
      <t>mm（客供)</t>
    </r>
  </si>
  <si>
    <t>26.02.08</t>
  </si>
  <si>
    <r>
      <t>26.02.08</t>
    </r>
    <r>
      <rPr>
        <b/>
        <sz val="8"/>
        <color indexed="11"/>
        <rFont val="宋体"/>
        <charset val="134"/>
      </rPr>
      <t>盘点</t>
    </r>
  </si>
  <si>
    <t>客供材料 样品材料，</t>
  </si>
  <si>
    <t>放在SDT188上面板层</t>
  </si>
  <si>
    <t>HP92S  0.254mm</t>
  </si>
  <si>
    <r>
      <t>2</t>
    </r>
    <r>
      <rPr>
        <sz val="12"/>
        <rFont val="宋体"/>
        <charset val="134"/>
      </rPr>
      <t>60*330</t>
    </r>
  </si>
  <si>
    <t>19.10.08</t>
  </si>
  <si>
    <t>说明; 能不能、用，？</t>
  </si>
  <si>
    <t>HP92S  0.76mm</t>
  </si>
  <si>
    <r>
      <t>2</t>
    </r>
    <r>
      <rPr>
        <sz val="12"/>
        <rFont val="宋体"/>
        <charset val="134"/>
      </rPr>
      <t>60*280</t>
    </r>
  </si>
  <si>
    <r>
      <t>2</t>
    </r>
    <r>
      <rPr>
        <sz val="12"/>
        <rFont val="宋体"/>
        <charset val="134"/>
      </rPr>
      <t>28*310</t>
    </r>
  </si>
  <si>
    <t>20.06.17</t>
  </si>
  <si>
    <t>下面是; EBG180材料</t>
  </si>
  <si>
    <r>
      <t>EBG</t>
    </r>
    <r>
      <rPr>
        <b/>
        <sz val="12"/>
        <rFont val="微软雅黑"/>
        <family val="2"/>
        <charset val="134"/>
      </rPr>
      <t>130</t>
    </r>
    <r>
      <rPr>
        <sz val="12"/>
        <rFont val="微软雅黑"/>
        <family val="2"/>
        <charset val="134"/>
      </rPr>
      <t>(</t>
    </r>
    <r>
      <rPr>
        <sz val="12"/>
        <rFont val="宋体"/>
        <charset val="134"/>
      </rPr>
      <t>AGK）</t>
    </r>
  </si>
  <si>
    <t>25.05.19</t>
  </si>
  <si>
    <r>
      <t>25.05.19</t>
    </r>
    <r>
      <rPr>
        <b/>
        <sz val="8"/>
        <color indexed="11"/>
        <rFont val="宋体"/>
        <charset val="134"/>
      </rPr>
      <t>盘点</t>
    </r>
  </si>
  <si>
    <t>JST-1218/1219</t>
  </si>
  <si>
    <t>D区架二，四层-1格</t>
  </si>
  <si>
    <r>
      <t>26.07.16</t>
    </r>
    <r>
      <rPr>
        <b/>
        <sz val="8"/>
        <color indexed="11"/>
        <rFont val="宋体"/>
        <charset val="134"/>
      </rPr>
      <t>盘点</t>
    </r>
  </si>
  <si>
    <t>JST-1140</t>
  </si>
  <si>
    <r>
      <t>EBG</t>
    </r>
    <r>
      <rPr>
        <sz val="12"/>
        <rFont val="宋体"/>
        <charset val="134"/>
      </rPr>
      <t>180(</t>
    </r>
    <r>
      <rPr>
        <sz val="12"/>
        <rFont val="宋体"/>
        <charset val="134"/>
      </rPr>
      <t>SH</t>
    </r>
    <r>
      <rPr>
        <sz val="12"/>
        <rFont val="宋体"/>
        <charset val="134"/>
      </rPr>
      <t>)</t>
    </r>
  </si>
  <si>
    <r>
      <t>26.07.17</t>
    </r>
    <r>
      <rPr>
        <b/>
        <sz val="8"/>
        <color indexed="11"/>
        <rFont val="宋体"/>
        <charset val="134"/>
      </rPr>
      <t>盘点</t>
    </r>
  </si>
  <si>
    <t>材料放在，自动烤箱处</t>
  </si>
  <si>
    <t>26.04.30</t>
  </si>
  <si>
    <r>
      <t>26.04.30</t>
    </r>
    <r>
      <rPr>
        <b/>
        <sz val="8"/>
        <color indexed="11"/>
        <rFont val="宋体"/>
        <charset val="134"/>
      </rPr>
      <t>盘点</t>
    </r>
  </si>
  <si>
    <r>
      <t>26.05.11</t>
    </r>
    <r>
      <rPr>
        <b/>
        <sz val="8"/>
        <color indexed="11"/>
        <rFont val="宋体"/>
        <charset val="134"/>
      </rPr>
      <t>盘点</t>
    </r>
  </si>
  <si>
    <t>EBG180(SH)</t>
  </si>
  <si>
    <r>
      <t>2</t>
    </r>
    <r>
      <rPr>
        <sz val="12"/>
        <rFont val="宋体"/>
        <charset val="134"/>
      </rPr>
      <t>80*190</t>
    </r>
  </si>
  <si>
    <t>26.05.01</t>
  </si>
  <si>
    <r>
      <t>26.05.01</t>
    </r>
    <r>
      <rPr>
        <b/>
        <sz val="8"/>
        <color indexed="11"/>
        <rFont val="宋体"/>
        <charset val="134"/>
      </rPr>
      <t>盘点</t>
    </r>
  </si>
  <si>
    <r>
      <t>EBG180（CHL）</t>
    </r>
    <r>
      <rPr>
        <b/>
        <sz val="12"/>
        <color indexed="10"/>
        <rFont val="宋体"/>
        <charset val="134"/>
      </rPr>
      <t>不能印消光</t>
    </r>
  </si>
  <si>
    <t>380*315</t>
  </si>
  <si>
    <t>25.05.29</t>
  </si>
  <si>
    <t>26.03.03盘点</t>
  </si>
  <si>
    <t>JTT-036,面板材料</t>
  </si>
  <si>
    <t>放在自动机处</t>
  </si>
  <si>
    <t>退货暂放我司</t>
  </si>
  <si>
    <t>26.04.01盘点</t>
  </si>
  <si>
    <t>待处理26.04.02,有问题</t>
  </si>
  <si>
    <t>EBG180（CHL）不能印刷透明黑</t>
  </si>
  <si>
    <r>
      <t>26.05.12</t>
    </r>
    <r>
      <rPr>
        <b/>
        <sz val="8"/>
        <color indexed="11"/>
        <rFont val="宋体"/>
        <charset val="134"/>
      </rPr>
      <t>盘点</t>
    </r>
  </si>
  <si>
    <t>可以印刷消光，不能印刷透明黑</t>
  </si>
  <si>
    <t>下面是; EBG250材料</t>
  </si>
  <si>
    <r>
      <t>EBG250</t>
    </r>
    <r>
      <rPr>
        <sz val="12"/>
        <color indexed="12"/>
        <rFont val="宋体"/>
        <charset val="134"/>
      </rPr>
      <t>(SH)</t>
    </r>
  </si>
  <si>
    <t>D区架二，四层-2格</t>
  </si>
  <si>
    <t>下面是; EBA180 材料</t>
  </si>
  <si>
    <t>EBA180(AGK)</t>
  </si>
  <si>
    <r>
      <t>26.04.29</t>
    </r>
    <r>
      <rPr>
        <b/>
        <sz val="8"/>
        <color indexed="11"/>
        <rFont val="宋体"/>
        <charset val="134"/>
      </rPr>
      <t>盘点</t>
    </r>
  </si>
  <si>
    <r>
      <t>EBA180</t>
    </r>
    <r>
      <rPr>
        <sz val="12"/>
        <rFont val="宋体"/>
        <charset val="134"/>
      </rPr>
      <t>(</t>
    </r>
    <r>
      <rPr>
        <sz val="12"/>
        <rFont val="宋体"/>
        <charset val="134"/>
      </rPr>
      <t>SH</t>
    </r>
    <r>
      <rPr>
        <sz val="12"/>
        <rFont val="宋体"/>
        <charset val="134"/>
      </rPr>
      <t>)</t>
    </r>
  </si>
  <si>
    <t>230*230</t>
  </si>
  <si>
    <t>24.05.31</t>
  </si>
  <si>
    <r>
      <t>EBA180</t>
    </r>
    <r>
      <rPr>
        <sz val="12"/>
        <rFont val="宋体"/>
        <charset val="134"/>
      </rPr>
      <t>(</t>
    </r>
    <r>
      <rPr>
        <sz val="12"/>
        <rFont val="宋体"/>
        <charset val="134"/>
      </rPr>
      <t>SH</t>
    </r>
    <r>
      <rPr>
        <sz val="12"/>
        <rFont val="宋体"/>
        <charset val="134"/>
      </rPr>
      <t>)-</t>
    </r>
    <r>
      <rPr>
        <sz val="12"/>
        <color indexed="10"/>
        <rFont val="宋体"/>
        <charset val="134"/>
      </rPr>
      <t>不能用在大窗口</t>
    </r>
  </si>
  <si>
    <r>
      <t>3</t>
    </r>
    <r>
      <rPr>
        <sz val="12"/>
        <rFont val="宋体"/>
        <charset val="134"/>
      </rPr>
      <t>20*290</t>
    </r>
  </si>
  <si>
    <t>材料有异常，标注清楚</t>
  </si>
  <si>
    <t>26.04.13</t>
  </si>
  <si>
    <r>
      <t>26.04.13</t>
    </r>
    <r>
      <rPr>
        <b/>
        <sz val="8"/>
        <color indexed="11"/>
        <rFont val="宋体"/>
        <charset val="134"/>
      </rPr>
      <t>盘点</t>
    </r>
  </si>
  <si>
    <r>
      <t>4</t>
    </r>
    <r>
      <rPr>
        <sz val="12"/>
        <rFont val="宋体"/>
        <charset val="134"/>
      </rPr>
      <t>55*320</t>
    </r>
  </si>
  <si>
    <t>25.09.04</t>
  </si>
  <si>
    <r>
      <t>25.09.04</t>
    </r>
    <r>
      <rPr>
        <b/>
        <sz val="8"/>
        <color indexed="11"/>
        <rFont val="宋体"/>
        <charset val="134"/>
      </rPr>
      <t>盘点</t>
    </r>
  </si>
  <si>
    <r>
      <t>26.03.07</t>
    </r>
    <r>
      <rPr>
        <b/>
        <sz val="8"/>
        <color indexed="11"/>
        <rFont val="宋体"/>
        <charset val="134"/>
      </rPr>
      <t>盘点</t>
    </r>
  </si>
  <si>
    <r>
      <t>EBA180</t>
    </r>
    <r>
      <rPr>
        <sz val="12"/>
        <rFont val="宋体"/>
        <charset val="134"/>
      </rPr>
      <t>(SH)</t>
    </r>
  </si>
  <si>
    <r>
      <t>25.07.25</t>
    </r>
    <r>
      <rPr>
        <b/>
        <sz val="8"/>
        <color indexed="11"/>
        <rFont val="宋体"/>
        <charset val="134"/>
      </rPr>
      <t>盘点</t>
    </r>
  </si>
  <si>
    <t>目前，理由，不用</t>
  </si>
  <si>
    <r>
      <t>26.04.09</t>
    </r>
    <r>
      <rPr>
        <b/>
        <sz val="8"/>
        <color indexed="11"/>
        <rFont val="宋体"/>
        <charset val="134"/>
      </rPr>
      <t>盘点</t>
    </r>
  </si>
  <si>
    <t>25.07.31</t>
  </si>
  <si>
    <t>25.11.18,出库记录 ，不能印刷窗口</t>
  </si>
  <si>
    <r>
      <t>EBA180(</t>
    </r>
    <r>
      <rPr>
        <b/>
        <sz val="12"/>
        <color indexed="12"/>
        <rFont val="宋体"/>
        <charset val="134"/>
      </rPr>
      <t>CHL</t>
    </r>
    <r>
      <rPr>
        <b/>
        <sz val="12"/>
        <rFont val="宋体"/>
        <charset val="134"/>
      </rPr>
      <t>）</t>
    </r>
  </si>
  <si>
    <t>放在蓝色大框里 纸箱小鹏</t>
  </si>
  <si>
    <t>下面是; EBA250 材料</t>
  </si>
  <si>
    <t>EBA250(AGK)</t>
  </si>
  <si>
    <t>21.04.06</t>
  </si>
  <si>
    <t>下面是; F150 材料</t>
  </si>
  <si>
    <r>
      <t>F150</t>
    </r>
    <r>
      <rPr>
        <sz val="12"/>
        <rFont val="宋体"/>
        <charset val="134"/>
      </rPr>
      <t>(</t>
    </r>
    <r>
      <rPr>
        <b/>
        <sz val="12"/>
        <color indexed="12"/>
        <rFont val="微软雅黑"/>
        <family val="2"/>
        <charset val="134"/>
      </rPr>
      <t>CHL</t>
    </r>
    <r>
      <rPr>
        <sz val="12"/>
        <rFont val="宋体"/>
        <charset val="134"/>
      </rPr>
      <t>)</t>
    </r>
  </si>
  <si>
    <r>
      <t>26.03.10</t>
    </r>
    <r>
      <rPr>
        <b/>
        <sz val="8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</si>
  <si>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30宽，当215宽用</t>
    </r>
  </si>
  <si>
    <t>D区架二，二层-1格</t>
  </si>
  <si>
    <t>26.04.17</t>
  </si>
  <si>
    <r>
      <t>26.04.17</t>
    </r>
    <r>
      <rPr>
        <b/>
        <sz val="8"/>
        <color indexed="11"/>
        <rFont val="宋体"/>
        <charset val="134"/>
      </rPr>
      <t>盘点</t>
    </r>
  </si>
  <si>
    <r>
      <t>26.04.01</t>
    </r>
    <r>
      <rPr>
        <b/>
        <sz val="8"/>
        <color indexed="11"/>
        <rFont val="宋体"/>
        <charset val="134"/>
      </rPr>
      <t>盘点</t>
    </r>
  </si>
  <si>
    <r>
      <t>3</t>
    </r>
    <r>
      <rPr>
        <sz val="12"/>
        <rFont val="宋体"/>
        <charset val="134"/>
      </rPr>
      <t>05*150</t>
    </r>
  </si>
  <si>
    <t>F150(XXT)</t>
  </si>
  <si>
    <r>
      <t>4</t>
    </r>
    <r>
      <rPr>
        <sz val="12"/>
        <rFont val="宋体"/>
        <charset val="134"/>
      </rPr>
      <t>15*350</t>
    </r>
  </si>
  <si>
    <t>26.02.03</t>
  </si>
  <si>
    <r>
      <t>26.02.03</t>
    </r>
    <r>
      <rPr>
        <b/>
        <sz val="8"/>
        <color indexed="11"/>
        <rFont val="宋体"/>
        <charset val="134"/>
      </rPr>
      <t>盘点</t>
    </r>
  </si>
  <si>
    <t>F150(AGK)</t>
  </si>
  <si>
    <r>
      <t>3</t>
    </r>
    <r>
      <rPr>
        <sz val="12"/>
        <rFont val="宋体"/>
        <charset val="134"/>
      </rPr>
      <t>75*230</t>
    </r>
  </si>
  <si>
    <t>26.07.01</t>
  </si>
  <si>
    <r>
      <t>26.07.01</t>
    </r>
    <r>
      <rPr>
        <b/>
        <sz val="8"/>
        <color indexed="11"/>
        <rFont val="宋体"/>
        <charset val="134"/>
      </rPr>
      <t>盘点</t>
    </r>
  </si>
  <si>
    <r>
      <t>F150</t>
    </r>
    <r>
      <rPr>
        <sz val="12"/>
        <rFont val="宋体"/>
        <charset val="134"/>
      </rPr>
      <t>(</t>
    </r>
    <r>
      <rPr>
        <b/>
        <sz val="12"/>
        <color indexed="12"/>
        <rFont val="微软雅黑"/>
        <family val="2"/>
        <charset val="134"/>
      </rPr>
      <t>SH</t>
    </r>
    <r>
      <rPr>
        <sz val="12"/>
        <rFont val="宋体"/>
        <charset val="134"/>
      </rPr>
      <t>)</t>
    </r>
  </si>
  <si>
    <r>
      <t>F150</t>
    </r>
    <r>
      <rPr>
        <sz val="12"/>
        <rFont val="宋体"/>
        <charset val="134"/>
      </rPr>
      <t>(</t>
    </r>
    <r>
      <rPr>
        <sz val="12"/>
        <rFont val="宋体"/>
        <charset val="134"/>
      </rPr>
      <t>AGK</t>
    </r>
    <r>
      <rPr>
        <sz val="12"/>
        <rFont val="宋体"/>
        <charset val="134"/>
      </rPr>
      <t>)</t>
    </r>
  </si>
  <si>
    <r>
      <t>F150</t>
    </r>
    <r>
      <rPr>
        <sz val="12"/>
        <rFont val="宋体"/>
        <charset val="134"/>
      </rPr>
      <t>(SH)</t>
    </r>
  </si>
  <si>
    <t>下面是; XE  F150 材料</t>
  </si>
  <si>
    <r>
      <t>XE</t>
    </r>
    <r>
      <rPr>
        <sz val="12"/>
        <rFont val="宋体"/>
        <charset val="134"/>
      </rPr>
      <t xml:space="preserve"> F150</t>
    </r>
    <r>
      <rPr>
        <sz val="12"/>
        <rFont val="宋体"/>
        <charset val="134"/>
      </rPr>
      <t>(</t>
    </r>
    <r>
      <rPr>
        <sz val="12"/>
        <rFont val="宋体"/>
        <charset val="134"/>
      </rPr>
      <t>AGK</t>
    </r>
    <r>
      <rPr>
        <sz val="12"/>
        <rFont val="宋体"/>
        <charset val="134"/>
      </rPr>
      <t>)</t>
    </r>
  </si>
  <si>
    <t>25.08.26</t>
  </si>
  <si>
    <r>
      <t>25.08.28</t>
    </r>
    <r>
      <rPr>
        <b/>
        <sz val="8"/>
        <color indexed="11"/>
        <rFont val="宋体"/>
        <charset val="134"/>
      </rPr>
      <t>盘点</t>
    </r>
  </si>
  <si>
    <t>JTT-890</t>
  </si>
  <si>
    <t>下面是;  F200 材料</t>
  </si>
  <si>
    <r>
      <t>F200(</t>
    </r>
    <r>
      <rPr>
        <b/>
        <sz val="12"/>
        <color indexed="12"/>
        <rFont val="宋体"/>
        <charset val="134"/>
      </rPr>
      <t>CHL)</t>
    </r>
  </si>
  <si>
    <r>
      <t>3</t>
    </r>
    <r>
      <rPr>
        <sz val="12"/>
        <rFont val="宋体"/>
        <charset val="134"/>
      </rPr>
      <t>05*235</t>
    </r>
  </si>
  <si>
    <t>25.10.09</t>
  </si>
  <si>
    <r>
      <t>25.10.09</t>
    </r>
    <r>
      <rPr>
        <b/>
        <sz val="8"/>
        <color indexed="11"/>
        <rFont val="宋体"/>
        <charset val="134"/>
      </rPr>
      <t>盘点</t>
    </r>
  </si>
  <si>
    <r>
      <t>测试，透明黑，效果O</t>
    </r>
    <r>
      <rPr>
        <sz val="12"/>
        <rFont val="宋体"/>
        <charset val="134"/>
      </rPr>
      <t>K 25.10.09</t>
    </r>
  </si>
  <si>
    <r>
      <t>F200</t>
    </r>
    <r>
      <rPr>
        <sz val="12"/>
        <rFont val="宋体"/>
        <charset val="134"/>
      </rPr>
      <t>(</t>
    </r>
    <r>
      <rPr>
        <sz val="12"/>
        <rFont val="宋体"/>
        <charset val="134"/>
      </rPr>
      <t>AGK</t>
    </r>
    <r>
      <rPr>
        <sz val="12"/>
        <rFont val="宋体"/>
        <charset val="134"/>
      </rPr>
      <t>)</t>
    </r>
  </si>
  <si>
    <r>
      <t>3</t>
    </r>
    <r>
      <rPr>
        <sz val="12"/>
        <rFont val="宋体"/>
        <charset val="134"/>
      </rPr>
      <t>05*335</t>
    </r>
  </si>
  <si>
    <t>材料正面贴有。PE+60NPET网纹</t>
  </si>
  <si>
    <t>23.03.01</t>
  </si>
  <si>
    <r>
      <t>26.03.30</t>
    </r>
    <r>
      <rPr>
        <b/>
        <sz val="8"/>
        <color indexed="11"/>
        <rFont val="宋体"/>
        <charset val="134"/>
      </rPr>
      <t>盘点</t>
    </r>
  </si>
  <si>
    <r>
      <t>F200</t>
    </r>
    <r>
      <rPr>
        <sz val="12"/>
        <rFont val="宋体"/>
        <charset val="134"/>
      </rPr>
      <t>+网格PET膜</t>
    </r>
    <r>
      <rPr>
        <sz val="12"/>
        <color indexed="10"/>
        <rFont val="宋体"/>
        <charset val="134"/>
      </rPr>
      <t>XXT</t>
    </r>
    <r>
      <rPr>
        <sz val="12"/>
        <rFont val="宋体"/>
        <charset val="134"/>
      </rPr>
      <t>(</t>
    </r>
    <r>
      <rPr>
        <sz val="12"/>
        <rFont val="宋体"/>
        <charset val="134"/>
      </rPr>
      <t>AGK</t>
    </r>
    <r>
      <rPr>
        <sz val="12"/>
        <rFont val="宋体"/>
        <charset val="134"/>
      </rPr>
      <t>)</t>
    </r>
  </si>
  <si>
    <r>
      <t>特别说明;有</t>
    </r>
    <r>
      <rPr>
        <sz val="12"/>
        <rFont val="宋体"/>
        <charset val="134"/>
      </rPr>
      <t>=187M贴膜</t>
    </r>
  </si>
  <si>
    <t>F200(SH)</t>
  </si>
  <si>
    <r>
      <t>25.12.19</t>
    </r>
    <r>
      <rPr>
        <b/>
        <sz val="8"/>
        <color indexed="11"/>
        <rFont val="宋体"/>
        <charset val="134"/>
      </rPr>
      <t>盘点</t>
    </r>
  </si>
  <si>
    <t>25.12.03</t>
  </si>
  <si>
    <r>
      <t>25.12.03</t>
    </r>
    <r>
      <rPr>
        <b/>
        <sz val="8"/>
        <color indexed="11"/>
        <rFont val="宋体"/>
        <charset val="134"/>
      </rPr>
      <t>盘点</t>
    </r>
  </si>
  <si>
    <r>
      <t>3</t>
    </r>
    <r>
      <rPr>
        <sz val="12"/>
        <rFont val="宋体"/>
        <charset val="134"/>
      </rPr>
      <t>50*250</t>
    </r>
  </si>
  <si>
    <t>不能印刷透明黑</t>
  </si>
  <si>
    <r>
      <t>5</t>
    </r>
    <r>
      <rPr>
        <sz val="12"/>
        <rFont val="宋体"/>
        <charset val="134"/>
      </rPr>
      <t>00*260</t>
    </r>
  </si>
  <si>
    <t>25.12.29</t>
  </si>
  <si>
    <r>
      <t>25.12.29</t>
    </r>
    <r>
      <rPr>
        <b/>
        <sz val="8"/>
        <color indexed="11"/>
        <rFont val="宋体"/>
        <charset val="134"/>
      </rPr>
      <t>盘点</t>
    </r>
  </si>
  <si>
    <t>可以印刷，亮窗口液，透明黑</t>
  </si>
  <si>
    <r>
      <t>F200(</t>
    </r>
    <r>
      <rPr>
        <b/>
        <sz val="12"/>
        <color indexed="16"/>
        <rFont val="宋体"/>
        <charset val="134"/>
      </rPr>
      <t>CHL)</t>
    </r>
    <r>
      <rPr>
        <b/>
        <sz val="12"/>
        <rFont val="宋体"/>
        <charset val="134"/>
      </rPr>
      <t>-PY3</t>
    </r>
  </si>
  <si>
    <t>25.05.27</t>
  </si>
  <si>
    <r>
      <t>25.05.27</t>
    </r>
    <r>
      <rPr>
        <b/>
        <sz val="8"/>
        <color indexed="11"/>
        <rFont val="宋体"/>
        <charset val="134"/>
      </rPr>
      <t>盘点</t>
    </r>
  </si>
  <si>
    <r>
      <t>样品材料，2</t>
    </r>
    <r>
      <rPr>
        <sz val="12"/>
        <rFont val="宋体"/>
        <charset val="134"/>
      </rPr>
      <t>5.05.27</t>
    </r>
  </si>
  <si>
    <t>24.06.25</t>
  </si>
  <si>
    <t>F200(CHL)</t>
  </si>
  <si>
    <r>
      <t>F200-2M(</t>
    </r>
    <r>
      <rPr>
        <b/>
        <sz val="12"/>
        <color indexed="12"/>
        <rFont val="宋体"/>
        <charset val="134"/>
      </rPr>
      <t>XXT</t>
    </r>
    <r>
      <rPr>
        <b/>
        <sz val="12"/>
        <rFont val="宋体"/>
        <charset val="134"/>
      </rPr>
      <t>)</t>
    </r>
  </si>
  <si>
    <r>
      <t>4</t>
    </r>
    <r>
      <rPr>
        <sz val="12"/>
        <rFont val="宋体"/>
        <charset val="134"/>
      </rPr>
      <t>00*135</t>
    </r>
  </si>
  <si>
    <t>26.03.03</t>
  </si>
  <si>
    <t>余料26.03.03</t>
  </si>
  <si>
    <r>
      <t>F200-PY3M(</t>
    </r>
    <r>
      <rPr>
        <b/>
        <sz val="12"/>
        <color indexed="12"/>
        <rFont val="宋体"/>
        <charset val="134"/>
      </rPr>
      <t>XXT</t>
    </r>
    <r>
      <rPr>
        <b/>
        <sz val="12"/>
        <rFont val="宋体"/>
        <charset val="134"/>
      </rPr>
      <t>)</t>
    </r>
  </si>
  <si>
    <r>
      <t>26.07.30</t>
    </r>
    <r>
      <rPr>
        <b/>
        <sz val="8"/>
        <color indexed="11"/>
        <rFont val="宋体"/>
        <charset val="134"/>
      </rPr>
      <t>盘点</t>
    </r>
  </si>
  <si>
    <t>测试可以印刷透明黑</t>
  </si>
  <si>
    <r>
      <t>2</t>
    </r>
    <r>
      <rPr>
        <sz val="12"/>
        <rFont val="宋体"/>
        <charset val="134"/>
      </rPr>
      <t>60*215</t>
    </r>
  </si>
  <si>
    <r>
      <t>26.07.06</t>
    </r>
    <r>
      <rPr>
        <b/>
        <sz val="8"/>
        <color indexed="11"/>
        <rFont val="宋体"/>
        <charset val="134"/>
      </rPr>
      <t>盘点</t>
    </r>
  </si>
  <si>
    <r>
      <t>2</t>
    </r>
    <r>
      <rPr>
        <sz val="12"/>
        <rFont val="宋体"/>
        <charset val="134"/>
      </rPr>
      <t>75*225</t>
    </r>
  </si>
  <si>
    <r>
      <t>3</t>
    </r>
    <r>
      <rPr>
        <sz val="12"/>
        <rFont val="宋体"/>
        <charset val="134"/>
      </rPr>
      <t>50*260</t>
    </r>
  </si>
  <si>
    <t>有=107，PCS是26.07.02回来</t>
  </si>
  <si>
    <r>
      <t>4</t>
    </r>
    <r>
      <rPr>
        <sz val="12"/>
        <rFont val="宋体"/>
        <charset val="134"/>
      </rPr>
      <t>00*260</t>
    </r>
  </si>
  <si>
    <r>
      <t>26.04.22</t>
    </r>
    <r>
      <rPr>
        <b/>
        <sz val="8"/>
        <color indexed="11"/>
        <rFont val="宋体"/>
        <charset val="134"/>
      </rPr>
      <t>盘点</t>
    </r>
  </si>
  <si>
    <t>JTT-993,打样材料</t>
  </si>
  <si>
    <r>
      <t>4</t>
    </r>
    <r>
      <rPr>
        <sz val="12"/>
        <rFont val="宋体"/>
        <charset val="134"/>
      </rPr>
      <t>45*350</t>
    </r>
  </si>
  <si>
    <t>IBN-250HY( SZSW 供应)</t>
  </si>
  <si>
    <r>
      <t>25.11.26</t>
    </r>
    <r>
      <rPr>
        <b/>
        <sz val="8"/>
        <color indexed="11"/>
        <rFont val="宋体"/>
        <charset val="134"/>
      </rPr>
      <t>盘点</t>
    </r>
  </si>
  <si>
    <r>
      <t>D</t>
    </r>
    <r>
      <rPr>
        <sz val="12"/>
        <rFont val="宋体"/>
        <charset val="134"/>
      </rPr>
      <t>K-068.JTT-1030专用</t>
    </r>
  </si>
  <si>
    <r>
      <t>AM F203（</t>
    </r>
    <r>
      <rPr>
        <b/>
        <sz val="12"/>
        <color indexed="12"/>
        <rFont val="宋体"/>
        <charset val="134"/>
      </rPr>
      <t>SH</t>
    </r>
    <r>
      <rPr>
        <b/>
        <sz val="12"/>
        <rFont val="宋体"/>
        <charset val="134"/>
      </rPr>
      <t>）防菌料</t>
    </r>
  </si>
  <si>
    <t>25.06.21</t>
  </si>
  <si>
    <r>
      <t>26.03.19</t>
    </r>
    <r>
      <rPr>
        <b/>
        <sz val="8"/>
        <color indexed="11"/>
        <rFont val="宋体"/>
        <charset val="134"/>
      </rPr>
      <t>盘点</t>
    </r>
  </si>
  <si>
    <r>
      <t>D</t>
    </r>
    <r>
      <rPr>
        <sz val="12"/>
        <rFont val="宋体"/>
        <charset val="134"/>
      </rPr>
      <t>K-048,用它切25.11.12</t>
    </r>
  </si>
  <si>
    <r>
      <t>D</t>
    </r>
    <r>
      <rPr>
        <sz val="12"/>
        <rFont val="宋体"/>
        <charset val="134"/>
      </rPr>
      <t>K 系列</t>
    </r>
  </si>
  <si>
    <t>下面是; XE F200 材料</t>
  </si>
  <si>
    <r>
      <t>XE</t>
    </r>
    <r>
      <rPr>
        <sz val="12"/>
        <rFont val="宋体"/>
        <charset val="134"/>
      </rPr>
      <t xml:space="preserve"> F200</t>
    </r>
    <r>
      <rPr>
        <sz val="12"/>
        <rFont val="宋体"/>
        <charset val="134"/>
      </rPr>
      <t>(SH)</t>
    </r>
  </si>
  <si>
    <r>
      <t>3</t>
    </r>
    <r>
      <rPr>
        <sz val="12"/>
        <rFont val="宋体"/>
        <charset val="134"/>
      </rPr>
      <t>95*250</t>
    </r>
  </si>
  <si>
    <t>25.12.13</t>
  </si>
  <si>
    <r>
      <t>25.12.13</t>
    </r>
    <r>
      <rPr>
        <b/>
        <sz val="8"/>
        <color indexed="11"/>
        <rFont val="宋体"/>
        <charset val="134"/>
      </rPr>
      <t>盘点</t>
    </r>
  </si>
  <si>
    <r>
      <t>26.01.27</t>
    </r>
    <r>
      <rPr>
        <b/>
        <sz val="8"/>
        <color indexed="11"/>
        <rFont val="宋体"/>
        <charset val="134"/>
      </rPr>
      <t>盘点</t>
    </r>
  </si>
  <si>
    <r>
      <t>特别说明从2</t>
    </r>
    <r>
      <rPr>
        <sz val="12"/>
        <rFont val="宋体"/>
        <charset val="134"/>
      </rPr>
      <t>6.03.04-26.03.10,特定处理</t>
    </r>
  </si>
  <si>
    <r>
      <t>26.07.07</t>
    </r>
    <r>
      <rPr>
        <b/>
        <sz val="8"/>
        <color indexed="11"/>
        <rFont val="宋体"/>
        <charset val="134"/>
      </rPr>
      <t>盘点</t>
    </r>
  </si>
  <si>
    <t>25.08.21</t>
  </si>
  <si>
    <r>
      <t>25.08.21</t>
    </r>
    <r>
      <rPr>
        <b/>
        <sz val="8"/>
        <color indexed="11"/>
        <rFont val="宋体"/>
        <charset val="134"/>
      </rPr>
      <t>盘点</t>
    </r>
  </si>
  <si>
    <t>下面是;  V150 材料</t>
  </si>
  <si>
    <t>V150（AGK）</t>
  </si>
  <si>
    <r>
      <t>V150(</t>
    </r>
    <r>
      <rPr>
        <b/>
        <sz val="12"/>
        <color indexed="12"/>
        <rFont val="宋体"/>
        <charset val="134"/>
      </rPr>
      <t>CHL)</t>
    </r>
  </si>
  <si>
    <t>25.07.02</t>
  </si>
  <si>
    <r>
      <t>3</t>
    </r>
    <r>
      <rPr>
        <sz val="12"/>
        <rFont val="宋体"/>
        <charset val="134"/>
      </rPr>
      <t>70*305</t>
    </r>
  </si>
  <si>
    <t>25.09.02</t>
  </si>
  <si>
    <r>
      <t>25.09.02</t>
    </r>
    <r>
      <rPr>
        <b/>
        <sz val="8"/>
        <color indexed="11"/>
        <rFont val="宋体"/>
        <charset val="134"/>
      </rPr>
      <t>盘点</t>
    </r>
  </si>
  <si>
    <t>印刷预收过</t>
  </si>
  <si>
    <r>
      <t>4</t>
    </r>
    <r>
      <rPr>
        <sz val="12"/>
        <rFont val="宋体"/>
        <charset val="134"/>
      </rPr>
      <t>35*244</t>
    </r>
  </si>
  <si>
    <t>下面是; XE V150 材料</t>
  </si>
  <si>
    <r>
      <t xml:space="preserve"> </t>
    </r>
    <r>
      <rPr>
        <sz val="12"/>
        <color indexed="10"/>
        <rFont val="宋体"/>
        <charset val="134"/>
      </rPr>
      <t>XE</t>
    </r>
    <r>
      <rPr>
        <sz val="12"/>
        <rFont val="宋体"/>
        <charset val="134"/>
      </rPr>
      <t xml:space="preserve"> V150</t>
    </r>
    <r>
      <rPr>
        <b/>
        <sz val="12"/>
        <color indexed="8"/>
        <rFont val="宋体"/>
        <charset val="134"/>
      </rPr>
      <t>（SH）</t>
    </r>
  </si>
  <si>
    <t>22.07.16</t>
  </si>
  <si>
    <t>尽量用在，没有亮窗口上 金 记录</t>
  </si>
  <si>
    <t>下面是;  V200 材料</t>
  </si>
  <si>
    <r>
      <t xml:space="preserve"> V200</t>
    </r>
    <r>
      <rPr>
        <sz val="12"/>
        <rFont val="宋体"/>
        <charset val="134"/>
      </rPr>
      <t>(SH）</t>
    </r>
  </si>
  <si>
    <r>
      <t>26.01.08</t>
    </r>
    <r>
      <rPr>
        <b/>
        <sz val="8"/>
        <color indexed="11"/>
        <rFont val="宋体"/>
        <charset val="134"/>
      </rPr>
      <t>盘点</t>
    </r>
  </si>
  <si>
    <t>D区架二，一层-1格</t>
  </si>
  <si>
    <t>22.08.13</t>
  </si>
  <si>
    <t>材料时间很久了</t>
  </si>
  <si>
    <r>
      <t>V200(</t>
    </r>
    <r>
      <rPr>
        <sz val="12"/>
        <color indexed="12"/>
        <rFont val="宋体"/>
        <charset val="134"/>
      </rPr>
      <t>CHL</t>
    </r>
    <r>
      <rPr>
        <sz val="12"/>
        <rFont val="宋体"/>
        <charset val="134"/>
      </rPr>
      <t>）</t>
    </r>
  </si>
  <si>
    <r>
      <t>J</t>
    </r>
    <r>
      <rPr>
        <sz val="12"/>
        <rFont val="宋体"/>
        <charset val="134"/>
      </rPr>
      <t>JX-133</t>
    </r>
  </si>
  <si>
    <t>材料回来，长度不明确，</t>
  </si>
  <si>
    <r>
      <t>2</t>
    </r>
    <r>
      <rPr>
        <sz val="12"/>
        <rFont val="宋体"/>
        <charset val="134"/>
      </rPr>
      <t>5.11.28,入账</t>
    </r>
  </si>
  <si>
    <t>下面是; XE  V200 材料</t>
  </si>
  <si>
    <r>
      <t>XE</t>
    </r>
    <r>
      <rPr>
        <sz val="12"/>
        <rFont val="宋体"/>
        <charset val="134"/>
      </rPr>
      <t xml:space="preserve"> V200（</t>
    </r>
    <r>
      <rPr>
        <sz val="12"/>
        <rFont val="宋体"/>
        <charset val="134"/>
      </rPr>
      <t>SH</t>
    </r>
    <r>
      <rPr>
        <sz val="12"/>
        <rFont val="宋体"/>
        <charset val="134"/>
      </rPr>
      <t>）</t>
    </r>
  </si>
  <si>
    <r>
      <t>3</t>
    </r>
    <r>
      <rPr>
        <sz val="12"/>
        <rFont val="宋体"/>
        <charset val="134"/>
      </rPr>
      <t>45*145</t>
    </r>
  </si>
  <si>
    <r>
      <t>后续用在，L</t>
    </r>
    <r>
      <rPr>
        <sz val="12"/>
        <rFont val="宋体"/>
        <charset val="134"/>
      </rPr>
      <t>WJ-008系列</t>
    </r>
  </si>
  <si>
    <r>
      <t>3</t>
    </r>
    <r>
      <rPr>
        <sz val="12"/>
        <rFont val="宋体"/>
        <charset val="134"/>
      </rPr>
      <t>50*230</t>
    </r>
  </si>
  <si>
    <r>
      <t>3</t>
    </r>
    <r>
      <rPr>
        <sz val="12"/>
        <rFont val="宋体"/>
        <charset val="134"/>
      </rPr>
      <t>80*290</t>
    </r>
  </si>
  <si>
    <t>下面是：泡棉 /+型号 材料</t>
  </si>
  <si>
    <t>0.3mm黑色泡棉+胶=0.36</t>
  </si>
  <si>
    <r>
      <t>25.12.02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</si>
  <si>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TT-935/936/937</t>
    </r>
  </si>
  <si>
    <t>I区架二，顶层 格</t>
  </si>
  <si>
    <t>1.0mm黑色泡棉EVA+3M</t>
  </si>
  <si>
    <t>24.09.04</t>
  </si>
  <si>
    <r>
      <t>G</t>
    </r>
    <r>
      <rPr>
        <sz val="12"/>
        <rFont val="宋体"/>
        <charset val="134"/>
      </rPr>
      <t>F-528</t>
    </r>
  </si>
  <si>
    <t>1.0mm黑色泡棉+双面胶</t>
  </si>
  <si>
    <t>25.08.01</t>
  </si>
  <si>
    <r>
      <t>25.08.01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</si>
  <si>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TT-873/874</t>
    </r>
  </si>
  <si>
    <r>
      <t>4</t>
    </r>
    <r>
      <rPr>
        <sz val="12"/>
        <rFont val="宋体"/>
        <charset val="134"/>
      </rPr>
      <t>1-30045</t>
    </r>
    <r>
      <rPr>
        <sz val="12"/>
        <rFont val="宋体"/>
        <charset val="134"/>
      </rPr>
      <t>( 罗杰斯泡棉）</t>
    </r>
  </si>
  <si>
    <r>
      <t>1</t>
    </r>
    <r>
      <rPr>
        <sz val="12"/>
        <rFont val="宋体"/>
        <charset val="134"/>
      </rPr>
      <t>372*900</t>
    </r>
  </si>
  <si>
    <r>
      <t>26.03.11</t>
    </r>
    <r>
      <rPr>
        <b/>
        <sz val="8"/>
        <color indexed="11"/>
        <rFont val="宋体"/>
        <charset val="134"/>
      </rPr>
      <t>盘点</t>
    </r>
  </si>
  <si>
    <r>
      <t>J</t>
    </r>
    <r>
      <rPr>
        <sz val="12"/>
        <rFont val="宋体"/>
        <charset val="134"/>
      </rPr>
      <t>ST-1286,专用</t>
    </r>
  </si>
  <si>
    <r>
      <t>25.08.19</t>
    </r>
    <r>
      <rPr>
        <b/>
        <sz val="8"/>
        <color indexed="11"/>
        <rFont val="宋体"/>
        <charset val="134"/>
      </rPr>
      <t>盘点</t>
    </r>
  </si>
  <si>
    <t>2.0mm E-4308泡棉</t>
  </si>
  <si>
    <t>250*1000</t>
  </si>
  <si>
    <t>24.07.09</t>
  </si>
  <si>
    <t>JST-1173,专用</t>
  </si>
  <si>
    <t>85*160</t>
  </si>
  <si>
    <t>24.07.13</t>
  </si>
  <si>
    <t>JST-1173,余料</t>
  </si>
  <si>
    <t>2.0mm黑色泡棉EVA+DSKH2</t>
  </si>
  <si>
    <t>JST-794/798</t>
  </si>
  <si>
    <t>3.5mm38度B料黑色EVA（3.5T无胶)</t>
  </si>
  <si>
    <t>1372*900</t>
  </si>
  <si>
    <t>26.02.07</t>
  </si>
  <si>
    <t>样品材料</t>
  </si>
  <si>
    <t xml:space="preserve">在印刷，贴膜房间 </t>
  </si>
  <si>
    <r>
      <t>4701-30-20062( 罗杰斯泡棉）</t>
    </r>
    <r>
      <rPr>
        <sz val="12"/>
        <rFont val="宋体"/>
        <charset val="134"/>
      </rPr>
      <t>+3M9495MP</t>
    </r>
  </si>
  <si>
    <t>138*225</t>
  </si>
  <si>
    <t>好多批</t>
  </si>
  <si>
    <t>JST-932,余料</t>
  </si>
  <si>
    <t>生产撕下余料</t>
  </si>
  <si>
    <t>4701-30-20062( 罗杰斯泡棉）</t>
  </si>
  <si>
    <t>JST-932大垫圈</t>
  </si>
  <si>
    <t>客供-F157</t>
  </si>
  <si>
    <t>330*405</t>
  </si>
  <si>
    <t>很久了</t>
  </si>
  <si>
    <t>蓝色PU</t>
  </si>
  <si>
    <t>YQ用</t>
  </si>
  <si>
    <t>无纺布1.0硬</t>
  </si>
  <si>
    <t>？</t>
  </si>
  <si>
    <r>
      <t>H</t>
    </r>
    <r>
      <rPr>
        <sz val="12"/>
        <rFont val="宋体"/>
        <charset val="134"/>
      </rPr>
      <t>ZLT用</t>
    </r>
  </si>
  <si>
    <t>防窥膜</t>
  </si>
  <si>
    <t>500*500</t>
  </si>
  <si>
    <t>FASTAPE-239（GF客供)</t>
  </si>
  <si>
    <t>F-157(GF-297客供)</t>
  </si>
  <si>
    <t>410*280</t>
  </si>
  <si>
    <t>抗菌PET188（QF-105客供）</t>
  </si>
  <si>
    <t>NOMEX4100-0.13（KC客供）</t>
  </si>
  <si>
    <t>FR83 0.175（LJ-084客供）</t>
  </si>
  <si>
    <t>NT-704WF（KC客供）</t>
  </si>
  <si>
    <t>405*145</t>
  </si>
  <si>
    <t xml:space="preserve"> GX320胶（KC客供）</t>
  </si>
  <si>
    <t>490*300</t>
  </si>
  <si>
    <t>SII00-125 样品 （SH)</t>
  </si>
  <si>
    <r>
      <t>25.05.04</t>
    </r>
    <r>
      <rPr>
        <b/>
        <sz val="10"/>
        <color indexed="11"/>
        <rFont val="宋体"/>
        <charset val="134"/>
      </rPr>
      <t>盘点</t>
    </r>
  </si>
  <si>
    <t>PET-250 白色 样品 （YA)</t>
  </si>
  <si>
    <t>0.3mm 透明PC 样品 （SS)</t>
  </si>
  <si>
    <t>PET-188 双雾 样品 （CHL)</t>
  </si>
  <si>
    <t>EM-ST012 样品 （国外)</t>
  </si>
  <si>
    <t>YG-100 样品 （CHL)</t>
  </si>
  <si>
    <t>DT125BL 样品 (新亚洲)</t>
  </si>
  <si>
    <t>25.09.25</t>
  </si>
  <si>
    <r>
      <t>25.09.25</t>
    </r>
    <r>
      <rPr>
        <b/>
        <sz val="10"/>
        <color indexed="11"/>
        <rFont val="宋体"/>
        <charset val="134"/>
      </rPr>
      <t>盘点</t>
    </r>
  </si>
  <si>
    <t>提供的 样品材料，</t>
  </si>
  <si>
    <r>
      <t>1</t>
    </r>
    <r>
      <rPr>
        <sz val="12"/>
        <rFont val="宋体"/>
        <charset val="134"/>
      </rPr>
      <t>纸箱放</t>
    </r>
  </si>
  <si>
    <t>CY3100B 样品 (新亚洲)</t>
  </si>
  <si>
    <t>CY5100G 样品 (新亚洲)</t>
  </si>
  <si>
    <t>CY3200B 样品 (新亚洲)</t>
  </si>
  <si>
    <t>DG68 样品 (新亚洲)</t>
  </si>
  <si>
    <t>DG67 样品 (新亚洲)</t>
  </si>
  <si>
    <t>CY3701 样品 (新亚洲)</t>
  </si>
  <si>
    <t>CY3160 样品 (新亚洲)</t>
  </si>
  <si>
    <t>CYSM100B 样品 (新亚洲)</t>
  </si>
  <si>
    <t>CYSM50B 样品 (新亚洲)</t>
  </si>
  <si>
    <t>CYSM150B 样品 (新亚洲)</t>
  </si>
  <si>
    <t>CY50W 样品 (新亚洲)</t>
  </si>
  <si>
    <t>CY3610A 样品 (新亚洲)</t>
  </si>
  <si>
    <t>2纸箱放</t>
  </si>
  <si>
    <t>CY3608A 样品 (新亚洲)</t>
  </si>
  <si>
    <t>CY3604A 样品 (新亚洲)</t>
  </si>
  <si>
    <t>CY3606W 样品 (新亚洲)</t>
  </si>
  <si>
    <t>3纸箱放</t>
  </si>
  <si>
    <t>CY3604W 样品 (新亚洲)</t>
  </si>
  <si>
    <t>CY3603W 样品 (新亚洲)</t>
  </si>
  <si>
    <t>CY3602W 样品 (新亚洲)</t>
  </si>
  <si>
    <t>请示    ：  以下，黄色，部分，盘点，现场未发现材料， 评估一下，处理方法，24.09.28，金</t>
  </si>
  <si>
    <t>25-06月份</t>
  </si>
  <si>
    <t>统一使用9# 字粗</t>
  </si>
  <si>
    <r>
      <t>0.38mm (AG-80)单面加硬PC</t>
    </r>
    <r>
      <rPr>
        <sz val="12"/>
        <color indexed="12"/>
        <rFont val="宋体"/>
        <charset val="134"/>
      </rPr>
      <t>(尚昇)</t>
    </r>
  </si>
  <si>
    <t>315*450</t>
  </si>
  <si>
    <t>材料，很久了,报废处理</t>
  </si>
  <si>
    <t>F区架一，一层-1</t>
  </si>
  <si>
    <t>0.38mm 幼砂加硬PC(共耘)</t>
  </si>
  <si>
    <t>390*450</t>
  </si>
  <si>
    <t>F区架二，二层-1</t>
  </si>
  <si>
    <t>410*290</t>
  </si>
  <si>
    <t>242PCS</t>
  </si>
  <si>
    <t xml:space="preserve">原卷材 410*290宽，切片材：发料 消账 </t>
  </si>
  <si>
    <t>391PCS</t>
  </si>
  <si>
    <t>QF-133</t>
  </si>
  <si>
    <t>440*220</t>
  </si>
  <si>
    <t>220PCS</t>
  </si>
  <si>
    <t xml:space="preserve">原卷材 440*255宽，切片材：发料 消账 </t>
  </si>
  <si>
    <t>QF-145</t>
  </si>
  <si>
    <t>365*255</t>
  </si>
  <si>
    <t>500PCS</t>
  </si>
  <si>
    <t xml:space="preserve">原卷材 365*255宽，切片材：发料 消账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</si>
</sst>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E+00"/>
    <numFmt numFmtId="178" formatCode="0.0000_ "/>
  </numFmts>
  <fonts count="9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indexed="8"/>
      <name val="宋体"/>
      <charset val="134"/>
    </font>
    <font>
      <sz val="12"/>
      <color indexed="10"/>
      <name val="宋体"/>
      <charset val="134"/>
    </font>
    <font>
      <sz val="12"/>
      <color indexed="12"/>
      <name val="宋体"/>
      <charset val="134"/>
    </font>
    <font>
      <b/>
      <sz val="12"/>
      <name val="宋体"/>
      <charset val="134"/>
    </font>
    <font>
      <b/>
      <sz val="12"/>
      <color indexed="12"/>
      <name val="微软雅黑"/>
      <family val="2"/>
      <charset val="134"/>
    </font>
    <font>
      <sz val="11"/>
      <name val="宋体"/>
      <charset val="134"/>
    </font>
    <font>
      <sz val="10"/>
      <name val="宋体"/>
      <charset val="134"/>
    </font>
    <font>
      <sz val="11"/>
      <color indexed="10"/>
      <name val="宋体"/>
      <charset val="134"/>
    </font>
    <font>
      <b/>
      <sz val="11"/>
      <color indexed="12"/>
      <name val="宋体"/>
      <charset val="134"/>
    </font>
    <font>
      <b/>
      <sz val="10"/>
      <color indexed="11"/>
      <name val="宋体"/>
      <charset val="134"/>
    </font>
    <font>
      <b/>
      <sz val="9"/>
      <color indexed="12"/>
      <name val="宋体"/>
      <charset val="134"/>
    </font>
    <font>
      <b/>
      <sz val="12"/>
      <color indexed="12"/>
      <name val="宋体"/>
      <charset val="134"/>
    </font>
    <font>
      <sz val="10"/>
      <color indexed="8"/>
      <name val="宋体"/>
      <charset val="134"/>
    </font>
    <font>
      <b/>
      <sz val="10"/>
      <color indexed="12"/>
      <name val="宋体"/>
      <charset val="134"/>
    </font>
    <font>
      <sz val="11"/>
      <color indexed="8"/>
      <name val="宋体"/>
      <charset val="134"/>
    </font>
    <font>
      <sz val="11"/>
      <color indexed="12"/>
      <name val="宋体"/>
      <charset val="134"/>
    </font>
    <font>
      <b/>
      <sz val="8"/>
      <name val="宋体"/>
      <charset val="134"/>
    </font>
    <font>
      <sz val="8"/>
      <name val="宋体"/>
      <charset val="134"/>
    </font>
    <font>
      <b/>
      <sz val="9"/>
      <name val="宋体"/>
      <charset val="134"/>
    </font>
    <font>
      <b/>
      <sz val="12"/>
      <name val="微软雅黑"/>
      <family val="2"/>
      <charset val="134"/>
    </font>
    <font>
      <sz val="9"/>
      <name val="宋体"/>
      <charset val="134"/>
    </font>
    <font>
      <sz val="9"/>
      <color indexed="10"/>
      <name val="宋体"/>
      <charset val="134"/>
    </font>
    <font>
      <b/>
      <sz val="9"/>
      <color indexed="10"/>
      <name val="宋体"/>
      <charset val="134"/>
    </font>
    <font>
      <b/>
      <sz val="12"/>
      <color indexed="8"/>
      <name val="宋体"/>
      <charset val="134"/>
    </font>
    <font>
      <b/>
      <sz val="8"/>
      <color indexed="12"/>
      <name val="宋体"/>
      <charset val="134"/>
    </font>
    <font>
      <b/>
      <sz val="9"/>
      <color indexed="12"/>
      <name val="微软雅黑"/>
      <family val="2"/>
      <charset val="134"/>
    </font>
    <font>
      <b/>
      <sz val="10"/>
      <name val="宋体"/>
      <charset val="134"/>
    </font>
    <font>
      <b/>
      <sz val="12"/>
      <color indexed="10"/>
      <name val="宋体"/>
      <charset val="134"/>
    </font>
    <font>
      <sz val="8"/>
      <color indexed="10"/>
      <name val="宋体"/>
      <charset val="134"/>
    </font>
    <font>
      <sz val="9"/>
      <color indexed="8"/>
      <name val="宋体"/>
      <charset val="134"/>
    </font>
    <font>
      <b/>
      <sz val="12"/>
      <color indexed="8"/>
      <name val="微软雅黑"/>
      <family val="2"/>
      <charset val="134"/>
    </font>
    <font>
      <b/>
      <sz val="12"/>
      <color indexed="20"/>
      <name val="宋体"/>
      <charset val="134"/>
    </font>
    <font>
      <b/>
      <sz val="11"/>
      <name val="宋体"/>
      <charset val="134"/>
    </font>
    <font>
      <sz val="12"/>
      <color indexed="12"/>
      <name val="微软雅黑"/>
      <family val="2"/>
      <charset val="134"/>
    </font>
    <font>
      <b/>
      <sz val="8"/>
      <color indexed="10"/>
      <name val="宋体"/>
      <charset val="134"/>
    </font>
    <font>
      <b/>
      <sz val="8"/>
      <color indexed="12"/>
      <name val="微软雅黑"/>
      <family val="2"/>
      <charset val="134"/>
    </font>
    <font>
      <sz val="6"/>
      <name val="宋体"/>
      <charset val="134"/>
    </font>
    <font>
      <b/>
      <sz val="11"/>
      <color indexed="10"/>
      <name val="宋体"/>
      <charset val="134"/>
    </font>
    <font>
      <sz val="11"/>
      <color indexed="48"/>
      <name val="宋体"/>
      <charset val="134"/>
    </font>
    <font>
      <sz val="11"/>
      <color indexed="18"/>
      <name val="宋体"/>
      <charset val="134"/>
    </font>
    <font>
      <sz val="11"/>
      <color indexed="20"/>
      <name val="宋体"/>
      <charset val="134"/>
    </font>
    <font>
      <sz val="9"/>
      <color indexed="12"/>
      <name val="宋体"/>
      <charset val="134"/>
    </font>
    <font>
      <sz val="8"/>
      <color indexed="12"/>
      <name val="宋体"/>
      <charset val="134"/>
    </font>
    <font>
      <sz val="12"/>
      <color indexed="10"/>
      <name val="微软雅黑"/>
      <family val="2"/>
      <charset val="134"/>
    </font>
    <font>
      <sz val="6"/>
      <color indexed="12"/>
      <name val="宋体"/>
      <charset val="134"/>
    </font>
    <font>
      <b/>
      <sz val="12"/>
      <color indexed="11"/>
      <name val="宋体"/>
      <charset val="134"/>
    </font>
    <font>
      <b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indexed="11"/>
      <name val="宋体"/>
      <charset val="134"/>
    </font>
    <font>
      <sz val="12"/>
      <color indexed="20"/>
      <name val="宋体"/>
      <charset val="134"/>
    </font>
    <font>
      <sz val="12"/>
      <color indexed="57"/>
      <name val="宋体"/>
      <charset val="134"/>
    </font>
    <font>
      <b/>
      <sz val="12"/>
      <color indexed="53"/>
      <name val="微软雅黑"/>
      <family val="2"/>
      <charset val="134"/>
    </font>
    <font>
      <b/>
      <sz val="9"/>
      <color indexed="11"/>
      <name val="宋体"/>
      <charset val="134"/>
    </font>
    <font>
      <b/>
      <sz val="12"/>
      <color indexed="57"/>
      <name val="宋体"/>
      <charset val="134"/>
    </font>
    <font>
      <b/>
      <sz val="14"/>
      <color indexed="12"/>
      <name val="微软雅黑"/>
      <family val="2"/>
      <charset val="134"/>
    </font>
    <font>
      <b/>
      <sz val="12"/>
      <color indexed="16"/>
      <name val="宋体"/>
      <charset val="134"/>
    </font>
    <font>
      <sz val="12"/>
      <color indexed="48"/>
      <name val="宋体"/>
      <charset val="134"/>
    </font>
    <font>
      <b/>
      <sz val="12"/>
      <color indexed="48"/>
      <name val="微软雅黑"/>
      <family val="2"/>
      <charset val="134"/>
    </font>
    <font>
      <sz val="12"/>
      <name val="微软雅黑"/>
      <family val="2"/>
      <charset val="134"/>
    </font>
    <font>
      <sz val="12"/>
      <color indexed="17"/>
      <name val="宋体"/>
      <charset val="134"/>
    </font>
    <font>
      <b/>
      <sz val="12"/>
      <color indexed="53"/>
      <name val="宋体"/>
      <charset val="134"/>
    </font>
    <font>
      <sz val="12"/>
      <color indexed="53"/>
      <name val="宋体"/>
      <charset val="134"/>
    </font>
    <font>
      <b/>
      <sz val="12"/>
      <color indexed="20"/>
      <name val="微软雅黑"/>
      <family val="2"/>
      <charset val="134"/>
    </font>
    <font>
      <b/>
      <sz val="12"/>
      <color indexed="61"/>
      <name val="宋体"/>
      <charset val="134"/>
    </font>
    <font>
      <b/>
      <sz val="12"/>
      <color indexed="14"/>
      <name val="宋体"/>
      <charset val="134"/>
    </font>
    <font>
      <b/>
      <sz val="14"/>
      <name val="微软雅黑"/>
      <family val="2"/>
      <charset val="134"/>
    </font>
    <font>
      <b/>
      <sz val="12"/>
      <color indexed="48"/>
      <name val="宋体"/>
      <charset val="134"/>
    </font>
    <font>
      <b/>
      <sz val="12"/>
      <color indexed="16"/>
      <name val="微软雅黑"/>
      <family val="2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indexed="12"/>
      <name val="微软雅黑"/>
      <charset val="134"/>
    </font>
    <font>
      <sz val="9"/>
      <color indexed="12"/>
      <name val="宋体"/>
      <charset val="134"/>
    </font>
    <font>
      <b/>
      <sz val="9"/>
      <name val="微软雅黑"/>
      <charset val="134"/>
    </font>
    <font>
      <b/>
      <sz val="6"/>
      <name val="宋体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5" applyNumberFormat="0" applyFill="0" applyAlignment="0" applyProtection="0">
      <alignment vertical="center"/>
    </xf>
    <xf numFmtId="0" fontId="55" fillId="0" borderId="5" applyNumberFormat="0" applyFill="0" applyAlignment="0" applyProtection="0">
      <alignment vertical="center"/>
    </xf>
    <xf numFmtId="0" fontId="56" fillId="0" borderId="6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1" borderId="7" applyNumberFormat="0" applyAlignment="0" applyProtection="0">
      <alignment vertical="center"/>
    </xf>
    <xf numFmtId="0" fontId="58" fillId="22" borderId="8" applyNumberFormat="0" applyAlignment="0" applyProtection="0">
      <alignment vertical="center"/>
    </xf>
    <xf numFmtId="0" fontId="59" fillId="22" borderId="7" applyNumberFormat="0" applyAlignment="0" applyProtection="0">
      <alignment vertical="center"/>
    </xf>
    <xf numFmtId="0" fontId="60" fillId="23" borderId="9" applyNumberFormat="0" applyAlignment="0" applyProtection="0">
      <alignment vertical="center"/>
    </xf>
    <xf numFmtId="0" fontId="61" fillId="0" borderId="10" applyNumberFormat="0" applyFill="0" applyAlignment="0" applyProtection="0">
      <alignment vertical="center"/>
    </xf>
    <xf numFmtId="0" fontId="62" fillId="0" borderId="11" applyNumberFormat="0" applyFill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7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7" fillId="40" borderId="0" applyNumberFormat="0" applyBorder="0" applyAlignment="0" applyProtection="0">
      <alignment vertical="center"/>
    </xf>
    <xf numFmtId="0" fontId="67" fillId="41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44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1" fillId="0" borderId="0"/>
  </cellStyleXfs>
  <cellXfs count="23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shrinkToFit="1"/>
    </xf>
    <xf numFmtId="0" fontId="1" fillId="2" borderId="0" xfId="0" applyFont="1" applyFill="1" applyBorder="1" applyAlignment="1">
      <alignment horizontal="center" vertical="center" shrinkToFit="1"/>
    </xf>
    <xf numFmtId="0" fontId="1" fillId="2" borderId="0" xfId="0" applyFont="1" applyFill="1" applyBorder="1" applyAlignment="1">
      <alignment vertical="center" shrinkToFit="1"/>
    </xf>
    <xf numFmtId="0" fontId="1" fillId="2" borderId="0" xfId="0" applyFont="1" applyFill="1" applyBorder="1" applyAlignment="1">
      <alignment vertical="center" shrinkToFit="1"/>
    </xf>
    <xf numFmtId="0" fontId="1" fillId="2" borderId="0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vertical="center" shrinkToFit="1"/>
    </xf>
    <xf numFmtId="0" fontId="4" fillId="0" borderId="0" xfId="0" applyFont="1" applyFill="1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 shrinkToFit="1"/>
    </xf>
    <xf numFmtId="0" fontId="6" fillId="3" borderId="1" xfId="49" applyFont="1" applyFill="1" applyBorder="1" applyAlignment="1">
      <alignment horizontal="center" vertical="center" shrinkToFit="1"/>
    </xf>
    <xf numFmtId="0" fontId="1" fillId="2" borderId="1" xfId="49" applyFont="1" applyFill="1" applyBorder="1" applyAlignment="1">
      <alignment horizontal="center" vertical="center" shrinkToFit="1"/>
    </xf>
    <xf numFmtId="0" fontId="7" fillId="2" borderId="1" xfId="49" applyFont="1" applyFill="1" applyBorder="1" applyAlignment="1">
      <alignment horizontal="center" vertical="center" shrinkToFit="1"/>
    </xf>
    <xf numFmtId="0" fontId="8" fillId="2" borderId="1" xfId="49" applyFont="1" applyFill="1" applyBorder="1" applyAlignment="1">
      <alignment horizontal="center" vertical="center" shrinkToFit="1"/>
    </xf>
    <xf numFmtId="0" fontId="8" fillId="0" borderId="1" xfId="49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shrinkToFit="1"/>
    </xf>
    <xf numFmtId="176" fontId="9" fillId="2" borderId="1" xfId="0" applyNumberFormat="1" applyFont="1" applyFill="1" applyBorder="1" applyAlignment="1">
      <alignment horizontal="center" vertical="center" shrinkToFit="1"/>
    </xf>
    <xf numFmtId="176" fontId="10" fillId="2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4" fillId="2" borderId="1" xfId="49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 shrinkToFit="1"/>
    </xf>
    <xf numFmtId="0" fontId="2" fillId="2" borderId="1" xfId="49" applyFont="1" applyFill="1" applyBorder="1" applyAlignment="1">
      <alignment horizontal="center" vertical="center" shrinkToFit="1"/>
    </xf>
    <xf numFmtId="0" fontId="7" fillId="0" borderId="1" xfId="49" applyFont="1" applyFill="1" applyBorder="1" applyAlignment="1">
      <alignment horizontal="center" vertical="center" shrinkToFit="1"/>
    </xf>
    <xf numFmtId="0" fontId="16" fillId="0" borderId="1" xfId="49" applyFont="1" applyFill="1" applyBorder="1" applyAlignment="1">
      <alignment horizontal="center" vertical="center" shrinkToFit="1"/>
    </xf>
    <xf numFmtId="0" fontId="7" fillId="0" borderId="1" xfId="49" applyFont="1" applyFill="1" applyBorder="1" applyAlignment="1">
      <alignment horizontal="center" shrinkToFit="1"/>
    </xf>
    <xf numFmtId="176" fontId="17" fillId="2" borderId="1" xfId="0" applyNumberFormat="1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 shrinkToFit="1"/>
    </xf>
    <xf numFmtId="0" fontId="19" fillId="0" borderId="1" xfId="0" applyFont="1" applyFill="1" applyBorder="1" applyAlignment="1">
      <alignment horizontal="left"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 shrinkToFit="1"/>
    </xf>
    <xf numFmtId="0" fontId="5" fillId="2" borderId="1" xfId="49" applyFont="1" applyFill="1" applyBorder="1" applyAlignment="1">
      <alignment horizontal="center" vertical="center" shrinkToFit="1"/>
    </xf>
    <xf numFmtId="0" fontId="1" fillId="4" borderId="1" xfId="49" applyFont="1" applyFill="1" applyBorder="1" applyAlignment="1">
      <alignment horizontal="center" vertical="center" shrinkToFit="1"/>
    </xf>
    <xf numFmtId="0" fontId="1" fillId="0" borderId="1" xfId="49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left" vertical="center" shrinkToFit="1"/>
    </xf>
    <xf numFmtId="0" fontId="5" fillId="0" borderId="1" xfId="49" applyFont="1" applyFill="1" applyBorder="1" applyAlignment="1">
      <alignment horizontal="center" vertical="center" shrinkToFit="1"/>
    </xf>
    <xf numFmtId="176" fontId="9" fillId="0" borderId="1" xfId="0" applyNumberFormat="1" applyFont="1" applyFill="1" applyBorder="1" applyAlignment="1">
      <alignment horizontal="center" vertical="center" shrinkToFit="1"/>
    </xf>
    <xf numFmtId="176" fontId="17" fillId="0" borderId="1" xfId="0" applyNumberFormat="1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shrinkToFit="1"/>
    </xf>
    <xf numFmtId="0" fontId="18" fillId="2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vertical="center"/>
    </xf>
    <xf numFmtId="0" fontId="6" fillId="2" borderId="1" xfId="49" applyFont="1" applyFill="1" applyBorder="1" applyAlignment="1">
      <alignment horizontal="center" vertical="center" shrinkToFit="1"/>
    </xf>
    <xf numFmtId="0" fontId="21" fillId="2" borderId="1" xfId="49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left" vertical="center" shrinkToFit="1"/>
    </xf>
    <xf numFmtId="176" fontId="9" fillId="2" borderId="1" xfId="1" applyNumberFormat="1" applyFont="1" applyFill="1" applyBorder="1" applyAlignment="1">
      <alignment horizontal="center" vertical="center" shrinkToFit="1"/>
    </xf>
    <xf numFmtId="0" fontId="3" fillId="2" borderId="1" xfId="49" applyFont="1" applyFill="1" applyBorder="1" applyAlignment="1">
      <alignment horizontal="center" vertical="center" shrinkToFit="1"/>
    </xf>
    <xf numFmtId="0" fontId="13" fillId="2" borderId="1" xfId="49" applyFont="1" applyFill="1" applyBorder="1" applyAlignment="1">
      <alignment horizontal="center" vertical="center" shrinkToFit="1"/>
    </xf>
    <xf numFmtId="0" fontId="1" fillId="0" borderId="1" xfId="49" applyFont="1" applyFill="1" applyBorder="1" applyAlignment="1">
      <alignment horizontal="center" shrinkToFit="1"/>
    </xf>
    <xf numFmtId="176" fontId="9" fillId="0" borderId="1" xfId="1" applyNumberFormat="1" applyFont="1" applyFill="1" applyBorder="1" applyAlignment="1">
      <alignment horizontal="center" vertical="center" shrinkToFit="1"/>
    </xf>
    <xf numFmtId="176" fontId="17" fillId="2" borderId="1" xfId="1" applyNumberFormat="1" applyFont="1" applyFill="1" applyBorder="1" applyAlignment="1">
      <alignment horizontal="center" vertical="center" shrinkToFit="1"/>
    </xf>
    <xf numFmtId="0" fontId="22" fillId="0" borderId="1" xfId="0" applyFont="1" applyFill="1" applyBorder="1" applyAlignment="1">
      <alignment horizontal="left" vertical="center" shrinkToFit="1"/>
    </xf>
    <xf numFmtId="0" fontId="1" fillId="5" borderId="1" xfId="49" applyFont="1" applyFill="1" applyBorder="1" applyAlignment="1">
      <alignment horizontal="center" vertical="center" shrinkToFit="1"/>
    </xf>
    <xf numFmtId="176" fontId="9" fillId="5" borderId="1" xfId="1" applyNumberFormat="1" applyFont="1" applyFill="1" applyBorder="1" applyAlignment="1">
      <alignment horizontal="center" vertical="center" shrinkToFit="1"/>
    </xf>
    <xf numFmtId="0" fontId="2" fillId="0" borderId="1" xfId="49" applyFont="1" applyFill="1" applyBorder="1" applyAlignment="1">
      <alignment horizontal="center" vertical="center" shrinkToFit="1"/>
    </xf>
    <xf numFmtId="0" fontId="23" fillId="0" borderId="1" xfId="0" applyFont="1" applyFill="1" applyBorder="1" applyAlignment="1">
      <alignment horizontal="left" vertical="center" shrinkToFit="1"/>
    </xf>
    <xf numFmtId="0" fontId="2" fillId="5" borderId="1" xfId="49" applyFont="1" applyFill="1" applyBorder="1" applyAlignment="1">
      <alignment horizontal="center" vertical="center" shrinkToFit="1"/>
    </xf>
    <xf numFmtId="0" fontId="23" fillId="5" borderId="1" xfId="0" applyFont="1" applyFill="1" applyBorder="1" applyAlignment="1">
      <alignment horizontal="left" vertical="center" shrinkToFit="1"/>
    </xf>
    <xf numFmtId="0" fontId="24" fillId="2" borderId="1" xfId="0" applyFont="1" applyFill="1" applyBorder="1" applyAlignment="1">
      <alignment horizontal="center" vertical="center" shrinkToFit="1"/>
    </xf>
    <xf numFmtId="0" fontId="2" fillId="4" borderId="1" xfId="49" applyFont="1" applyFill="1" applyBorder="1" applyAlignment="1">
      <alignment horizontal="center" vertical="center" shrinkToFit="1"/>
    </xf>
    <xf numFmtId="0" fontId="25" fillId="2" borderId="1" xfId="49" applyFont="1" applyFill="1" applyBorder="1" applyAlignment="1">
      <alignment horizontal="center" vertical="center" shrinkToFit="1"/>
    </xf>
    <xf numFmtId="0" fontId="25" fillId="0" borderId="1" xfId="49" applyFont="1" applyFill="1" applyBorder="1" applyAlignment="1">
      <alignment horizontal="center" vertical="center" shrinkToFit="1"/>
    </xf>
    <xf numFmtId="176" fontId="17" fillId="0" borderId="1" xfId="1" applyNumberFormat="1" applyFont="1" applyFill="1" applyBorder="1" applyAlignment="1">
      <alignment horizontal="center" vertical="center" shrinkToFit="1"/>
    </xf>
    <xf numFmtId="0" fontId="2" fillId="6" borderId="1" xfId="49" applyFont="1" applyFill="1" applyBorder="1" applyAlignment="1">
      <alignment horizontal="center" vertical="center" shrinkToFit="1"/>
    </xf>
    <xf numFmtId="0" fontId="26" fillId="0" borderId="1" xfId="0" applyFont="1" applyFill="1" applyBorder="1" applyAlignment="1">
      <alignment horizontal="center" vertical="center" shrinkToFit="1"/>
    </xf>
    <xf numFmtId="176" fontId="17" fillId="6" borderId="1" xfId="1" applyNumberFormat="1" applyFont="1" applyFill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center" vertical="center" shrinkToFit="1"/>
    </xf>
    <xf numFmtId="0" fontId="19" fillId="5" borderId="1" xfId="0" applyFont="1" applyFill="1" applyBorder="1" applyAlignment="1">
      <alignment horizontal="left" vertical="center" shrinkToFit="1"/>
    </xf>
    <xf numFmtId="0" fontId="21" fillId="0" borderId="1" xfId="49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left" vertical="center" shrinkToFit="1"/>
    </xf>
    <xf numFmtId="0" fontId="5" fillId="7" borderId="1" xfId="49" applyFont="1" applyFill="1" applyBorder="1" applyAlignment="1">
      <alignment horizontal="center" vertical="center" shrinkToFit="1"/>
    </xf>
    <xf numFmtId="0" fontId="20" fillId="2" borderId="0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left" vertical="center" shrinkToFit="1"/>
    </xf>
    <xf numFmtId="0" fontId="22" fillId="5" borderId="1" xfId="0" applyFont="1" applyFill="1" applyBorder="1" applyAlignment="1">
      <alignment horizontal="left" vertical="center" shrinkToFit="1"/>
    </xf>
    <xf numFmtId="0" fontId="6" fillId="0" borderId="1" xfId="49" applyFont="1" applyFill="1" applyBorder="1" applyAlignment="1">
      <alignment horizontal="center" vertical="center" shrinkToFit="1"/>
    </xf>
    <xf numFmtId="0" fontId="6" fillId="7" borderId="1" xfId="49" applyFont="1" applyFill="1" applyBorder="1" applyAlignment="1">
      <alignment horizontal="center" vertical="center" shrinkToFit="1"/>
    </xf>
    <xf numFmtId="0" fontId="9" fillId="0" borderId="1" xfId="49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vertical="center" shrinkToFit="1"/>
    </xf>
    <xf numFmtId="0" fontId="22" fillId="3" borderId="1" xfId="0" applyFont="1" applyFill="1" applyBorder="1" applyAlignment="1">
      <alignment horizontal="left" vertical="center" shrinkToFit="1"/>
    </xf>
    <xf numFmtId="0" fontId="25" fillId="7" borderId="1" xfId="49" applyFont="1" applyFill="1" applyBorder="1" applyAlignment="1">
      <alignment horizontal="center" vertical="center" shrinkToFit="1"/>
    </xf>
    <xf numFmtId="0" fontId="25" fillId="8" borderId="1" xfId="49" applyFont="1" applyFill="1" applyBorder="1" applyAlignment="1">
      <alignment horizontal="center" vertical="center" shrinkToFit="1"/>
    </xf>
    <xf numFmtId="0" fontId="7" fillId="0" borderId="1" xfId="49" applyFont="1" applyFill="1" applyBorder="1" applyAlignment="1">
      <alignment horizontal="center" vertical="center" shrinkToFit="1"/>
    </xf>
    <xf numFmtId="0" fontId="27" fillId="9" borderId="1" xfId="0" applyFont="1" applyFill="1" applyBorder="1" applyAlignment="1">
      <alignment horizontal="left" vertical="center" shrinkToFit="1"/>
    </xf>
    <xf numFmtId="0" fontId="2" fillId="9" borderId="1" xfId="49" applyFont="1" applyFill="1" applyBorder="1" applyAlignment="1">
      <alignment horizontal="center" vertical="center" shrinkToFit="1"/>
    </xf>
    <xf numFmtId="0" fontId="28" fillId="0" borderId="1" xfId="0" applyFont="1" applyFill="1" applyBorder="1" applyAlignment="1">
      <alignment horizontal="center" vertical="center" shrinkToFit="1"/>
    </xf>
    <xf numFmtId="0" fontId="29" fillId="2" borderId="1" xfId="49" applyFont="1" applyFill="1" applyBorder="1" applyAlignment="1">
      <alignment horizontal="center" vertical="center" shrinkToFit="1"/>
    </xf>
    <xf numFmtId="0" fontId="30" fillId="0" borderId="1" xfId="0" applyFont="1" applyFill="1" applyBorder="1" applyAlignment="1">
      <alignment horizontal="left" vertical="center" shrinkToFit="1"/>
    </xf>
    <xf numFmtId="0" fontId="1" fillId="10" borderId="1" xfId="49" applyFont="1" applyFill="1" applyBorder="1" applyAlignment="1">
      <alignment horizontal="center" vertical="center" shrinkToFit="1"/>
    </xf>
    <xf numFmtId="0" fontId="19" fillId="2" borderId="1" xfId="0" applyFont="1" applyFill="1" applyBorder="1" applyAlignment="1">
      <alignment horizontal="left" vertical="center" shrinkToFit="1"/>
    </xf>
    <xf numFmtId="0" fontId="22" fillId="2" borderId="1" xfId="0" applyFont="1" applyFill="1" applyBorder="1" applyAlignment="1">
      <alignment horizontal="left" vertical="center" shrinkToFit="1"/>
    </xf>
    <xf numFmtId="176" fontId="10" fillId="2" borderId="1" xfId="1" applyNumberFormat="1" applyFont="1" applyFill="1" applyBorder="1" applyAlignment="1">
      <alignment horizontal="center" vertical="center" shrinkToFit="1"/>
    </xf>
    <xf numFmtId="0" fontId="20" fillId="4" borderId="1" xfId="0" applyFont="1" applyFill="1" applyBorder="1" applyAlignment="1">
      <alignment horizontal="center" vertical="center" shrinkToFit="1"/>
    </xf>
    <xf numFmtId="0" fontId="1" fillId="2" borderId="1" xfId="49" applyFont="1" applyFill="1" applyBorder="1" applyAlignment="1">
      <alignment horizontal="center" vertical="center" shrinkToFit="1"/>
    </xf>
    <xf numFmtId="0" fontId="7" fillId="2" borderId="1" xfId="49" applyFont="1" applyFill="1" applyBorder="1" applyAlignment="1">
      <alignment horizontal="center" vertical="center" shrinkToFit="1"/>
    </xf>
    <xf numFmtId="0" fontId="16" fillId="0" borderId="1" xfId="49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 shrinkToFit="1"/>
    </xf>
    <xf numFmtId="0" fontId="13" fillId="3" borderId="1" xfId="49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vertical="center" shrinkToFit="1"/>
    </xf>
    <xf numFmtId="0" fontId="1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vertical="center" shrinkToFit="1"/>
    </xf>
    <xf numFmtId="0" fontId="29" fillId="0" borderId="1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vertical="center" shrinkToFit="1"/>
    </xf>
    <xf numFmtId="0" fontId="5" fillId="0" borderId="1" xfId="0" applyFont="1" applyFill="1" applyBorder="1" applyAlignment="1">
      <alignment horizontal="left" vertical="center" shrinkToFit="1"/>
    </xf>
    <xf numFmtId="0" fontId="20" fillId="3" borderId="1" xfId="0" applyFont="1" applyFill="1" applyBorder="1" applyAlignment="1">
      <alignment horizontal="center" vertical="center" shrinkToFit="1"/>
    </xf>
    <xf numFmtId="0" fontId="22" fillId="0" borderId="1" xfId="0" applyFont="1" applyFill="1" applyBorder="1" applyAlignment="1">
      <alignment horizontal="center" vertical="center" shrinkToFit="1"/>
    </xf>
    <xf numFmtId="41" fontId="7" fillId="0" borderId="1" xfId="4" applyFont="1" applyFill="1" applyBorder="1" applyAlignment="1">
      <alignment horizontal="center" vertical="center" shrinkToFit="1"/>
    </xf>
    <xf numFmtId="0" fontId="16" fillId="2" borderId="1" xfId="49" applyFont="1" applyFill="1" applyBorder="1" applyAlignment="1">
      <alignment horizontal="center" vertical="center" shrinkToFit="1"/>
    </xf>
    <xf numFmtId="41" fontId="16" fillId="0" borderId="1" xfId="4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left"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176" fontId="7" fillId="0" borderId="1" xfId="1" applyNumberFormat="1" applyFont="1" applyFill="1" applyBorder="1" applyAlignment="1">
      <alignment horizontal="center" vertical="center" shrinkToFit="1"/>
    </xf>
    <xf numFmtId="0" fontId="6" fillId="10" borderId="1" xfId="49" applyFont="1" applyFill="1" applyBorder="1" applyAlignment="1">
      <alignment horizontal="center" vertical="center" shrinkToFit="1"/>
    </xf>
    <xf numFmtId="0" fontId="5" fillId="11" borderId="1" xfId="49" applyFont="1" applyFill="1" applyBorder="1" applyAlignment="1">
      <alignment horizontal="center" vertical="center" shrinkToFit="1"/>
    </xf>
    <xf numFmtId="0" fontId="5" fillId="8" borderId="1" xfId="49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vertical="center" shrinkToFit="1"/>
    </xf>
    <xf numFmtId="0" fontId="22" fillId="2" borderId="1" xfId="0" applyFont="1" applyFill="1" applyBorder="1" applyAlignment="1">
      <alignment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12" borderId="1" xfId="49" applyFont="1" applyFill="1" applyBorder="1" applyAlignment="1">
      <alignment horizontal="center" vertical="center" shrinkToFit="1"/>
    </xf>
    <xf numFmtId="0" fontId="20" fillId="13" borderId="1" xfId="0" applyFont="1" applyFill="1" applyBorder="1" applyAlignment="1">
      <alignment horizontal="center" vertical="center" shrinkToFit="1"/>
    </xf>
    <xf numFmtId="0" fontId="20" fillId="14" borderId="1" xfId="0" applyFont="1" applyFill="1" applyBorder="1" applyAlignment="1">
      <alignment horizontal="center" vertical="center" shrinkToFit="1"/>
    </xf>
    <xf numFmtId="0" fontId="20" fillId="11" borderId="1" xfId="0" applyFont="1" applyFill="1" applyBorder="1" applyAlignment="1">
      <alignment horizontal="center" vertical="center" shrinkToFit="1"/>
    </xf>
    <xf numFmtId="176" fontId="9" fillId="3" borderId="1" xfId="1" applyNumberFormat="1" applyFont="1" applyFill="1" applyBorder="1" applyAlignment="1">
      <alignment horizontal="center" vertical="center" shrinkToFit="1"/>
    </xf>
    <xf numFmtId="0" fontId="5" fillId="3" borderId="1" xfId="49" applyFont="1" applyFill="1" applyBorder="1" applyAlignment="1">
      <alignment horizontal="center" vertical="center" shrinkToFit="1"/>
    </xf>
    <xf numFmtId="0" fontId="2" fillId="11" borderId="1" xfId="49" applyFont="1" applyFill="1" applyBorder="1" applyAlignment="1">
      <alignment horizontal="center" vertical="center" shrinkToFit="1"/>
    </xf>
    <xf numFmtId="0" fontId="32" fillId="11" borderId="1" xfId="49" applyFont="1" applyFill="1" applyBorder="1" applyAlignment="1">
      <alignment horizontal="center" vertical="center" shrinkToFit="1"/>
    </xf>
    <xf numFmtId="0" fontId="32" fillId="0" borderId="1" xfId="49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left" vertical="center" shrinkToFit="1"/>
    </xf>
    <xf numFmtId="0" fontId="33" fillId="2" borderId="1" xfId="49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left" vertical="center" shrinkToFit="1"/>
    </xf>
    <xf numFmtId="176" fontId="17" fillId="2" borderId="1" xfId="1" applyNumberFormat="1" applyFont="1" applyFill="1" applyBorder="1" applyAlignment="1">
      <alignment horizontal="center" vertical="center" shrinkToFit="1"/>
    </xf>
    <xf numFmtId="0" fontId="19" fillId="0" borderId="1" xfId="0" applyFont="1" applyFill="1" applyBorder="1" applyAlignment="1">
      <alignment horizontal="left" vertical="center" shrinkToFit="1"/>
    </xf>
    <xf numFmtId="41" fontId="9" fillId="0" borderId="1" xfId="4" applyFont="1" applyFill="1" applyBorder="1" applyAlignment="1">
      <alignment horizontal="center" vertical="center" shrinkToFit="1"/>
    </xf>
    <xf numFmtId="0" fontId="34" fillId="0" borderId="1" xfId="49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/>
    </xf>
    <xf numFmtId="0" fontId="33" fillId="11" borderId="1" xfId="49" applyFont="1" applyFill="1" applyBorder="1" applyAlignment="1">
      <alignment horizontal="center" vertical="center" shrinkToFit="1"/>
    </xf>
    <xf numFmtId="0" fontId="7" fillId="5" borderId="1" xfId="0" applyFont="1" applyFill="1" applyBorder="1" applyAlignment="1">
      <alignment horizontal="center" vertical="center" shrinkToFit="1"/>
    </xf>
    <xf numFmtId="0" fontId="7" fillId="0" borderId="1" xfId="49" applyFont="1" applyFill="1" applyBorder="1" applyAlignment="1">
      <alignment vertical="center" shrinkToFit="1"/>
    </xf>
    <xf numFmtId="0" fontId="21" fillId="10" borderId="1" xfId="49" applyFont="1" applyFill="1" applyBorder="1" applyAlignment="1">
      <alignment horizontal="center" vertical="center" shrinkToFit="1"/>
    </xf>
    <xf numFmtId="0" fontId="9" fillId="0" borderId="1" xfId="49" applyFont="1" applyFill="1" applyBorder="1" applyAlignment="1">
      <alignment horizontal="center" vertical="center" shrinkToFit="1"/>
    </xf>
    <xf numFmtId="0" fontId="28" fillId="0" borderId="1" xfId="0" applyFont="1" applyFill="1" applyBorder="1" applyAlignment="1">
      <alignment horizontal="center"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4" fillId="2" borderId="1" xfId="49" applyFont="1" applyFill="1" applyBorder="1" applyAlignment="1">
      <alignment horizontal="center" vertical="center" shrinkToFit="1"/>
    </xf>
    <xf numFmtId="0" fontId="7" fillId="3" borderId="1" xfId="49" applyFont="1" applyFill="1" applyBorder="1" applyAlignment="1">
      <alignment horizontal="center" vertical="center" shrinkToFit="1"/>
    </xf>
    <xf numFmtId="0" fontId="5" fillId="9" borderId="1" xfId="49" applyFont="1" applyFill="1" applyBorder="1" applyAlignment="1">
      <alignment horizontal="center" vertical="center" shrinkToFit="1"/>
    </xf>
    <xf numFmtId="0" fontId="35" fillId="9" borderId="1" xfId="0" applyFont="1" applyFill="1" applyBorder="1" applyAlignment="1">
      <alignment horizontal="left" vertical="center" shrinkToFit="1"/>
    </xf>
    <xf numFmtId="176" fontId="17" fillId="5" borderId="1" xfId="1" applyNumberFormat="1" applyFont="1" applyFill="1" applyBorder="1" applyAlignment="1">
      <alignment horizontal="center" vertical="center" shrinkToFit="1"/>
    </xf>
    <xf numFmtId="0" fontId="36" fillId="0" borderId="1" xfId="0" applyFont="1" applyFill="1" applyBorder="1" applyAlignment="1">
      <alignment horizontal="left" vertical="center" shrinkToFit="1"/>
    </xf>
    <xf numFmtId="0" fontId="37" fillId="0" borderId="1" xfId="0" applyFont="1" applyFill="1" applyBorder="1" applyAlignment="1">
      <alignment horizontal="left" vertical="center" shrinkToFit="1"/>
    </xf>
    <xf numFmtId="0" fontId="1" fillId="8" borderId="1" xfId="49" applyFont="1" applyFill="1" applyBorder="1" applyAlignment="1">
      <alignment horizontal="center" vertical="center" shrinkToFit="1"/>
    </xf>
    <xf numFmtId="0" fontId="20" fillId="5" borderId="1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22" fillId="0" borderId="1" xfId="49" applyFont="1" applyFill="1" applyBorder="1" applyAlignment="1">
      <alignment horizontal="center" vertical="center" shrinkToFit="1"/>
    </xf>
    <xf numFmtId="177" fontId="8" fillId="0" borderId="1" xfId="49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shrinkToFit="1"/>
    </xf>
    <xf numFmtId="0" fontId="7" fillId="2" borderId="1" xfId="49" applyFont="1" applyFill="1" applyBorder="1" applyAlignment="1">
      <alignment horizontal="left" vertical="center" shrinkToFit="1"/>
    </xf>
    <xf numFmtId="0" fontId="34" fillId="2" borderId="1" xfId="49" applyFont="1" applyFill="1" applyBorder="1" applyAlignment="1">
      <alignment horizontal="center" vertical="center" shrinkToFit="1"/>
    </xf>
    <xf numFmtId="178" fontId="5" fillId="0" borderId="1" xfId="0" applyNumberFormat="1" applyFont="1" applyFill="1" applyBorder="1" applyAlignment="1">
      <alignment horizontal="center" vertical="center" shrinkToFit="1"/>
    </xf>
    <xf numFmtId="0" fontId="5" fillId="14" borderId="1" xfId="49" applyFont="1" applyFill="1" applyBorder="1" applyAlignment="1">
      <alignment horizontal="center" vertical="center" shrinkToFit="1"/>
    </xf>
    <xf numFmtId="0" fontId="38" fillId="0" borderId="1" xfId="0" applyFont="1" applyFill="1" applyBorder="1" applyAlignment="1">
      <alignment horizontal="left" vertical="center" shrinkToFit="1"/>
    </xf>
    <xf numFmtId="0" fontId="38" fillId="2" borderId="1" xfId="0" applyFont="1" applyFill="1" applyBorder="1" applyAlignment="1">
      <alignment vertical="center" shrinkToFit="1"/>
    </xf>
    <xf numFmtId="0" fontId="5" fillId="15" borderId="1" xfId="49" applyFont="1" applyFill="1" applyBorder="1" applyAlignment="1">
      <alignment horizontal="center" vertical="center" shrinkToFit="1"/>
    </xf>
    <xf numFmtId="176" fontId="7" fillId="2" borderId="1" xfId="1" applyNumberFormat="1" applyFont="1" applyFill="1" applyBorder="1" applyAlignment="1">
      <alignment horizontal="center" vertical="center" shrinkToFit="1"/>
    </xf>
    <xf numFmtId="0" fontId="5" fillId="16" borderId="1" xfId="49" applyFont="1" applyFill="1" applyBorder="1" applyAlignment="1">
      <alignment horizontal="center" vertical="center" shrinkToFit="1"/>
    </xf>
    <xf numFmtId="176" fontId="39" fillId="2" borderId="1" xfId="1" applyNumberFormat="1" applyFont="1" applyFill="1" applyBorder="1" applyAlignment="1">
      <alignment horizontal="center" vertical="center" shrinkToFit="1"/>
    </xf>
    <xf numFmtId="0" fontId="1" fillId="3" borderId="1" xfId="49" applyFont="1" applyFill="1" applyBorder="1" applyAlignment="1">
      <alignment horizontal="center" vertical="center" shrinkToFit="1"/>
    </xf>
    <xf numFmtId="0" fontId="1" fillId="6" borderId="1" xfId="49" applyFont="1" applyFill="1" applyBorder="1" applyAlignment="1">
      <alignment horizontal="center" vertical="center" shrinkToFit="1"/>
    </xf>
    <xf numFmtId="0" fontId="5" fillId="4" borderId="1" xfId="49" applyFont="1" applyFill="1" applyBorder="1" applyAlignment="1">
      <alignment horizontal="center" vertical="center" shrinkToFit="1"/>
    </xf>
    <xf numFmtId="176" fontId="9" fillId="2" borderId="1" xfId="1" applyNumberFormat="1" applyFont="1" applyFill="1" applyBorder="1" applyAlignment="1">
      <alignment horizontal="left" vertical="center" shrinkToFit="1"/>
    </xf>
    <xf numFmtId="176" fontId="17" fillId="2" borderId="1" xfId="1" applyNumberFormat="1" applyFont="1" applyFill="1" applyBorder="1" applyAlignment="1">
      <alignment horizontal="left" vertical="center" shrinkToFit="1"/>
    </xf>
    <xf numFmtId="0" fontId="1" fillId="2" borderId="1" xfId="49" applyFont="1" applyFill="1" applyBorder="1" applyAlignment="1">
      <alignment horizontal="center" shrinkToFit="1"/>
    </xf>
    <xf numFmtId="0" fontId="7" fillId="3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1" fillId="2" borderId="1" xfId="49" applyFont="1" applyFill="1" applyBorder="1" applyAlignment="1">
      <alignment vertical="center" shrinkToFit="1"/>
    </xf>
    <xf numFmtId="0" fontId="16" fillId="0" borderId="1" xfId="49" applyFont="1" applyFill="1" applyBorder="1" applyAlignment="1">
      <alignment horizontal="center" shrinkToFit="1"/>
    </xf>
    <xf numFmtId="0" fontId="1" fillId="0" borderId="1" xfId="0" applyFont="1" applyFill="1" applyBorder="1" applyAlignment="1">
      <alignment shrinkToFit="1"/>
    </xf>
    <xf numFmtId="0" fontId="4" fillId="0" borderId="1" xfId="0" applyFont="1" applyFill="1" applyBorder="1" applyAlignment="1">
      <alignment shrinkToFit="1"/>
    </xf>
    <xf numFmtId="0" fontId="40" fillId="0" borderId="1" xfId="49" applyFont="1" applyFill="1" applyBorder="1" applyAlignment="1">
      <alignment horizontal="center" vertical="center" shrinkToFit="1"/>
    </xf>
    <xf numFmtId="11" fontId="7" fillId="0" borderId="1" xfId="49" applyNumberFormat="1" applyFont="1" applyFill="1" applyBorder="1" applyAlignment="1">
      <alignment horizontal="center" vertical="center" shrinkToFit="1"/>
    </xf>
    <xf numFmtId="0" fontId="1" fillId="0" borderId="1" xfId="49" applyFont="1" applyFill="1" applyBorder="1" applyAlignment="1">
      <alignment horizontal="center" shrinkToFit="1"/>
    </xf>
    <xf numFmtId="0" fontId="41" fillId="0" borderId="1" xfId="49" applyFont="1" applyFill="1" applyBorder="1" applyAlignment="1">
      <alignment horizontal="center" vertical="center" shrinkToFit="1"/>
    </xf>
    <xf numFmtId="0" fontId="5" fillId="6" borderId="1" xfId="49" applyFont="1" applyFill="1" applyBorder="1" applyAlignment="1">
      <alignment horizontal="center" vertical="center" shrinkToFit="1"/>
    </xf>
    <xf numFmtId="0" fontId="42" fillId="0" borderId="1" xfId="49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vertical="center" shrinkToFit="1"/>
    </xf>
    <xf numFmtId="0" fontId="36" fillId="0" borderId="1" xfId="0" applyFont="1" applyFill="1" applyBorder="1" applyAlignment="1">
      <alignment horizontal="center" vertical="center" shrinkToFit="1"/>
    </xf>
    <xf numFmtId="0" fontId="5" fillId="5" borderId="1" xfId="49" applyFont="1" applyFill="1" applyBorder="1" applyAlignment="1">
      <alignment horizontal="center" vertical="center" shrinkToFit="1"/>
    </xf>
    <xf numFmtId="0" fontId="43" fillId="0" borderId="1" xfId="0" applyFont="1" applyFill="1" applyBorder="1" applyAlignment="1">
      <alignment horizontal="left" vertical="center" shrinkToFit="1"/>
    </xf>
    <xf numFmtId="0" fontId="4" fillId="5" borderId="1" xfId="0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left" vertical="center" shrinkToFit="1"/>
    </xf>
    <xf numFmtId="0" fontId="38" fillId="6" borderId="1" xfId="0" applyFont="1" applyFill="1" applyBorder="1" applyAlignment="1">
      <alignment horizontal="left" vertical="center" shrinkToFit="1"/>
    </xf>
    <xf numFmtId="0" fontId="44" fillId="0" borderId="1" xfId="0" applyFont="1" applyFill="1" applyBorder="1" applyAlignment="1">
      <alignment horizontal="left" vertical="center" shrinkToFit="1"/>
    </xf>
    <xf numFmtId="0" fontId="45" fillId="5" borderId="1" xfId="0" applyFont="1" applyFill="1" applyBorder="1" applyAlignment="1">
      <alignment horizontal="left" vertical="center" shrinkToFit="1"/>
    </xf>
    <xf numFmtId="0" fontId="43" fillId="2" borderId="1" xfId="0" applyFont="1" applyFill="1" applyBorder="1" applyAlignment="1">
      <alignment horizontal="left" vertical="center" shrinkToFit="1"/>
    </xf>
    <xf numFmtId="0" fontId="46" fillId="2" borderId="1" xfId="0" applyFont="1" applyFill="1" applyBorder="1" applyAlignment="1">
      <alignment horizontal="left" vertical="center" shrinkToFit="1"/>
    </xf>
    <xf numFmtId="0" fontId="1" fillId="13" borderId="1" xfId="49" applyFont="1" applyFill="1" applyBorder="1" applyAlignment="1">
      <alignment horizontal="center" vertical="center" shrinkToFit="1"/>
    </xf>
    <xf numFmtId="0" fontId="2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shrinkToFit="1"/>
    </xf>
    <xf numFmtId="0" fontId="5" fillId="10" borderId="1" xfId="49" applyFont="1" applyFill="1" applyBorder="1" applyAlignment="1">
      <alignment horizontal="center" vertical="center" shrinkToFit="1"/>
    </xf>
    <xf numFmtId="0" fontId="47" fillId="0" borderId="1" xfId="49" applyFont="1" applyFill="1" applyBorder="1" applyAlignment="1">
      <alignment horizontal="center" vertical="center" shrinkToFit="1"/>
    </xf>
    <xf numFmtId="0" fontId="13" fillId="17" borderId="1" xfId="49" applyFont="1" applyFill="1" applyBorder="1" applyAlignment="1">
      <alignment horizontal="center" vertical="center" shrinkToFit="1"/>
    </xf>
    <xf numFmtId="0" fontId="5" fillId="18" borderId="1" xfId="49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vertical="center"/>
    </xf>
    <xf numFmtId="0" fontId="1" fillId="2" borderId="1" xfId="49" applyFont="1" applyFill="1" applyBorder="1" applyAlignment="1">
      <alignment horizontal="center" shrinkToFit="1"/>
    </xf>
    <xf numFmtId="0" fontId="48" fillId="2" borderId="1" xfId="49" applyFont="1" applyFill="1" applyBorder="1" applyAlignment="1">
      <alignment horizontal="center" vertical="center" shrinkToFit="1"/>
    </xf>
    <xf numFmtId="0" fontId="47" fillId="0" borderId="1" xfId="0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left" vertical="center" shrinkToFit="1"/>
    </xf>
    <xf numFmtId="0" fontId="47" fillId="2" borderId="1" xfId="0" applyFont="1" applyFill="1" applyBorder="1" applyAlignment="1">
      <alignment horizontal="center" vertical="center" shrinkToFit="1"/>
    </xf>
    <xf numFmtId="0" fontId="1" fillId="19" borderId="1" xfId="49" applyFont="1" applyFill="1" applyBorder="1" applyAlignment="1">
      <alignment horizontal="center" vertical="center" shrinkToFit="1"/>
    </xf>
    <xf numFmtId="0" fontId="7" fillId="19" borderId="1" xfId="0" applyFont="1" applyFill="1" applyBorder="1" applyAlignment="1">
      <alignment horizontal="center" vertical="center" shrinkToFit="1"/>
    </xf>
    <xf numFmtId="176" fontId="9" fillId="19" borderId="1" xfId="1" applyNumberFormat="1" applyFont="1" applyFill="1" applyBorder="1" applyAlignment="1">
      <alignment horizontal="center" vertical="center" shrinkToFit="1"/>
    </xf>
    <xf numFmtId="176" fontId="17" fillId="19" borderId="1" xfId="0" applyNumberFormat="1" applyFont="1" applyFill="1" applyBorder="1" applyAlignment="1">
      <alignment horizontal="center" vertical="center" shrinkToFit="1"/>
    </xf>
    <xf numFmtId="0" fontId="18" fillId="19" borderId="1" xfId="0" applyFont="1" applyFill="1" applyBorder="1" applyAlignment="1">
      <alignment horizontal="center" vertical="center" shrinkToFit="1"/>
    </xf>
    <xf numFmtId="0" fontId="19" fillId="19" borderId="1" xfId="0" applyFont="1" applyFill="1" applyBorder="1" applyAlignment="1">
      <alignment horizontal="left" vertical="center" shrinkToFit="1"/>
    </xf>
    <xf numFmtId="176" fontId="7" fillId="19" borderId="1" xfId="1" applyNumberFormat="1" applyFont="1" applyFill="1" applyBorder="1" applyAlignment="1">
      <alignment horizontal="center" vertical="center" shrinkToFit="1"/>
    </xf>
    <xf numFmtId="176" fontId="7" fillId="19" borderId="1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vertical="center" shrinkToFit="1"/>
    </xf>
    <xf numFmtId="0" fontId="1" fillId="0" borderId="3" xfId="0" applyFont="1" applyFill="1" applyBorder="1" applyAlignment="1">
      <alignment vertical="center" shrinkToFit="1"/>
    </xf>
    <xf numFmtId="0" fontId="1" fillId="0" borderId="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vertical="center" shrinkToFit="1"/>
    </xf>
    <xf numFmtId="0" fontId="4" fillId="0" borderId="3" xfId="0" applyFont="1" applyFill="1" applyBorder="1" applyAlignment="1">
      <alignment vertical="center" shrinkToFit="1"/>
    </xf>
    <xf numFmtId="0" fontId="5" fillId="0" borderId="3" xfId="0" applyFont="1" applyFill="1" applyBorder="1" applyAlignment="1">
      <alignment horizontal="center" vertical="center" shrinkToFit="1"/>
    </xf>
    <xf numFmtId="0" fontId="1" fillId="0" borderId="3" xfId="0" applyFont="1" applyFill="1" applyBorder="1" applyAlignment="1">
      <alignment horizontal="left" vertical="center" shrinkToFit="1"/>
    </xf>
    <xf numFmtId="0" fontId="1" fillId="0" borderId="0" xfId="0" applyFont="1" applyFill="1" applyBorder="1" applyAlignment="1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2049"/>
  <sheetViews>
    <sheetView tabSelected="1" workbookViewId="0">
      <selection activeCell="BP1" sqref="BP$1:BP$1048576"/>
    </sheetView>
  </sheetViews>
  <sheetFormatPr defaultColWidth="9.45454545454546" defaultRowHeight="22.5" customHeight="1"/>
  <cols>
    <col min="1" max="1" width="27.5454545454545" style="5" customWidth="1"/>
    <col min="2" max="2" width="13.9090909090909" style="6" customWidth="1"/>
    <col min="3" max="3" width="10.0909090909091" style="6" customWidth="1"/>
    <col min="4" max="6" width="6.54545454545455" style="7" hidden="1" customWidth="1"/>
    <col min="7" max="7" width="6.54545454545455" style="6" hidden="1" customWidth="1"/>
    <col min="8" max="9" width="6.54545454545455" style="7" customWidth="1"/>
    <col min="10" max="15" width="6.54545454545455" style="8" customWidth="1"/>
    <col min="16" max="16" width="6.54545454545455" style="9" hidden="1" customWidth="1"/>
    <col min="17" max="17" width="6.54545454545455" style="8" hidden="1" customWidth="1"/>
    <col min="18" max="18" width="6.54545454545455" style="9" hidden="1" customWidth="1"/>
    <col min="19" max="21" width="6.54545454545455" style="8" hidden="1" customWidth="1"/>
    <col min="22" max="22" width="6.54545454545455" style="9" hidden="1" customWidth="1"/>
    <col min="23" max="23" width="6.68181818181818" style="9" hidden="1" customWidth="1"/>
    <col min="24" max="24" width="6.54545454545455" style="8" hidden="1" customWidth="1"/>
    <col min="25" max="25" width="6.68181818181818" style="9" hidden="1" customWidth="1"/>
    <col min="26" max="28" width="6.54545454545455" style="8" hidden="1" customWidth="1"/>
    <col min="29" max="29" width="6.54545454545455" style="9" hidden="1" customWidth="1"/>
    <col min="30" max="32" width="6.54545454545455" style="8" hidden="1" customWidth="1"/>
    <col min="33" max="33" width="6.54545454545455" style="9" hidden="1" customWidth="1"/>
    <col min="34" max="38" width="6.54545454545455" style="8" hidden="1" customWidth="1"/>
    <col min="39" max="39" width="6.54545454545455" style="9" hidden="1" customWidth="1"/>
    <col min="40" max="40" width="6.54545454545455" style="8" hidden="1" customWidth="1"/>
    <col min="41" max="41" width="6.54545454545455" style="9" hidden="1" customWidth="1"/>
    <col min="42" max="44" width="6.54545454545455" style="8" hidden="1" customWidth="1"/>
    <col min="45" max="50" width="6.68181818181818" style="8" hidden="1" customWidth="1"/>
    <col min="51" max="51" width="6.68181818181818" style="9" hidden="1" customWidth="1"/>
    <col min="52" max="56" width="6.13636363636364" style="8" hidden="1" customWidth="1"/>
    <col min="57" max="57" width="6.13636363636364" style="9" hidden="1" customWidth="1"/>
    <col min="58" max="60" width="6.68181818181818" style="8" hidden="1" customWidth="1"/>
    <col min="61" max="61" width="6.54545454545455" style="9" hidden="1" customWidth="1"/>
    <col min="62" max="65" width="6.68181818181818" style="8" hidden="1" customWidth="1"/>
    <col min="66" max="67" width="8.72727272727273" style="10" customWidth="1"/>
    <col min="68" max="68" width="8.72727272727273" style="8" customWidth="1"/>
    <col min="69" max="69" width="11.1818181818182" style="10" customWidth="1"/>
    <col min="70" max="70" width="9.95454545454546" style="11" customWidth="1"/>
    <col min="71" max="71" width="16.5" style="12" customWidth="1"/>
    <col min="72" max="72" width="19.6363636363636" style="13" customWidth="1"/>
    <col min="73" max="73" width="17.0454545454545" style="8" customWidth="1"/>
    <col min="74" max="96" width="9.81818181818182" style="1"/>
    <col min="97" max="16384" width="9.45454545454546" style="1"/>
  </cols>
  <sheetData>
    <row r="1" s="1" customFormat="1" customHeight="1" spans="1:73">
      <c r="A1" s="14" t="s">
        <v>0</v>
      </c>
      <c r="B1" s="15" t="s">
        <v>1</v>
      </c>
      <c r="C1" s="16" t="s">
        <v>2</v>
      </c>
      <c r="D1" s="17" t="s">
        <v>3</v>
      </c>
      <c r="E1" s="17"/>
      <c r="F1" s="18" t="s">
        <v>4</v>
      </c>
      <c r="G1" s="18"/>
      <c r="H1" s="17" t="s">
        <v>5</v>
      </c>
      <c r="I1" s="17"/>
      <c r="J1" s="17" t="s">
        <v>6</v>
      </c>
      <c r="K1" s="17"/>
      <c r="L1" s="17" t="s">
        <v>7</v>
      </c>
      <c r="M1" s="17"/>
      <c r="N1" s="17" t="s">
        <v>8</v>
      </c>
      <c r="O1" s="17"/>
      <c r="P1" s="17" t="s">
        <v>9</v>
      </c>
      <c r="Q1" s="17"/>
      <c r="R1" s="17" t="s">
        <v>10</v>
      </c>
      <c r="S1" s="17"/>
      <c r="T1" s="17" t="s">
        <v>11</v>
      </c>
      <c r="U1" s="17"/>
      <c r="V1" s="17" t="s">
        <v>12</v>
      </c>
      <c r="W1" s="17"/>
      <c r="X1" s="17" t="s">
        <v>13</v>
      </c>
      <c r="Y1" s="19"/>
      <c r="Z1" s="17" t="s">
        <v>14</v>
      </c>
      <c r="AA1" s="17"/>
      <c r="AB1" s="17" t="s">
        <v>15</v>
      </c>
      <c r="AC1" s="17"/>
      <c r="AD1" s="17" t="s">
        <v>16</v>
      </c>
      <c r="AE1" s="17"/>
      <c r="AF1" s="17" t="s">
        <v>17</v>
      </c>
      <c r="AG1" s="17"/>
      <c r="AH1" s="17" t="s">
        <v>18</v>
      </c>
      <c r="AI1" s="17"/>
      <c r="AJ1" s="17" t="s">
        <v>19</v>
      </c>
      <c r="AK1" s="17"/>
      <c r="AL1" s="17" t="s">
        <v>20</v>
      </c>
      <c r="AM1" s="17"/>
      <c r="AN1" s="17" t="s">
        <v>21</v>
      </c>
      <c r="AO1" s="17"/>
      <c r="AP1" s="17" t="s">
        <v>22</v>
      </c>
      <c r="AQ1" s="17"/>
      <c r="AR1" s="17" t="s">
        <v>23</v>
      </c>
      <c r="AS1" s="17"/>
      <c r="AT1" s="17" t="s">
        <v>24</v>
      </c>
      <c r="AU1" s="17"/>
      <c r="AV1" s="17" t="s">
        <v>25</v>
      </c>
      <c r="AW1" s="17"/>
      <c r="AX1" s="17" t="s">
        <v>26</v>
      </c>
      <c r="AY1" s="17"/>
      <c r="AZ1" s="17" t="s">
        <v>27</v>
      </c>
      <c r="BA1" s="17"/>
      <c r="BB1" s="17" t="s">
        <v>28</v>
      </c>
      <c r="BC1" s="17"/>
      <c r="BD1" s="17" t="s">
        <v>29</v>
      </c>
      <c r="BE1" s="17"/>
      <c r="BF1" s="17" t="s">
        <v>30</v>
      </c>
      <c r="BG1" s="17"/>
      <c r="BH1" s="17" t="s">
        <v>31</v>
      </c>
      <c r="BI1" s="17"/>
      <c r="BJ1" s="17" t="s">
        <v>32</v>
      </c>
      <c r="BK1" s="17"/>
      <c r="BL1" s="17" t="s">
        <v>33</v>
      </c>
      <c r="BM1" s="17"/>
      <c r="BN1" s="20" t="s">
        <v>34</v>
      </c>
      <c r="BO1" s="20" t="s">
        <v>35</v>
      </c>
      <c r="BP1" s="20" t="s">
        <v>36</v>
      </c>
      <c r="BQ1" s="21" t="s">
        <v>37</v>
      </c>
      <c r="BR1" s="22" t="s">
        <v>38</v>
      </c>
      <c r="BS1" s="23" t="s">
        <v>39</v>
      </c>
      <c r="BT1" s="24" t="s">
        <v>40</v>
      </c>
      <c r="BU1" s="25" t="s">
        <v>41</v>
      </c>
    </row>
    <row r="2" s="1" customFormat="1" customHeight="1" spans="1:73">
      <c r="A2" s="15" t="s">
        <v>42</v>
      </c>
      <c r="B2" s="15"/>
      <c r="C2" s="16"/>
      <c r="D2" s="17" t="s">
        <v>43</v>
      </c>
      <c r="E2" s="26" t="s">
        <v>44</v>
      </c>
      <c r="F2" s="18" t="s">
        <v>43</v>
      </c>
      <c r="G2" s="18" t="s">
        <v>44</v>
      </c>
      <c r="H2" s="17" t="s">
        <v>43</v>
      </c>
      <c r="I2" s="17" t="s">
        <v>44</v>
      </c>
      <c r="J2" s="17" t="s">
        <v>43</v>
      </c>
      <c r="K2" s="17" t="s">
        <v>44</v>
      </c>
      <c r="L2" s="17" t="s">
        <v>43</v>
      </c>
      <c r="M2" s="17" t="s">
        <v>44</v>
      </c>
      <c r="N2" s="17" t="s">
        <v>43</v>
      </c>
      <c r="O2" s="17" t="s">
        <v>44</v>
      </c>
      <c r="P2" s="17" t="s">
        <v>43</v>
      </c>
      <c r="Q2" s="17" t="s">
        <v>44</v>
      </c>
      <c r="R2" s="17" t="s">
        <v>43</v>
      </c>
      <c r="S2" s="17" t="s">
        <v>44</v>
      </c>
      <c r="T2" s="17" t="s">
        <v>43</v>
      </c>
      <c r="U2" s="17" t="s">
        <v>44</v>
      </c>
      <c r="V2" s="17" t="s">
        <v>43</v>
      </c>
      <c r="W2" s="17" t="s">
        <v>44</v>
      </c>
      <c r="X2" s="17" t="s">
        <v>43</v>
      </c>
      <c r="Y2" s="17" t="s">
        <v>44</v>
      </c>
      <c r="Z2" s="17" t="s">
        <v>43</v>
      </c>
      <c r="AA2" s="17" t="s">
        <v>44</v>
      </c>
      <c r="AB2" s="17" t="s">
        <v>43</v>
      </c>
      <c r="AC2" s="17" t="s">
        <v>44</v>
      </c>
      <c r="AD2" s="17" t="s">
        <v>43</v>
      </c>
      <c r="AE2" s="17" t="s">
        <v>44</v>
      </c>
      <c r="AF2" s="17" t="s">
        <v>43</v>
      </c>
      <c r="AG2" s="26" t="s">
        <v>44</v>
      </c>
      <c r="AH2" s="17" t="s">
        <v>43</v>
      </c>
      <c r="AI2" s="17" t="s">
        <v>44</v>
      </c>
      <c r="AJ2" s="17" t="s">
        <v>43</v>
      </c>
      <c r="AK2" s="26" t="s">
        <v>44</v>
      </c>
      <c r="AL2" s="17" t="s">
        <v>43</v>
      </c>
      <c r="AM2" s="17" t="s">
        <v>44</v>
      </c>
      <c r="AN2" s="17" t="s">
        <v>43</v>
      </c>
      <c r="AO2" s="17" t="s">
        <v>44</v>
      </c>
      <c r="AP2" s="17" t="s">
        <v>43</v>
      </c>
      <c r="AQ2" s="17" t="s">
        <v>44</v>
      </c>
      <c r="AR2" s="17" t="s">
        <v>43</v>
      </c>
      <c r="AS2" s="17" t="s">
        <v>44</v>
      </c>
      <c r="AT2" s="17" t="s">
        <v>43</v>
      </c>
      <c r="AU2" s="17" t="s">
        <v>44</v>
      </c>
      <c r="AV2" s="17" t="s">
        <v>43</v>
      </c>
      <c r="AW2" s="17" t="s">
        <v>44</v>
      </c>
      <c r="AX2" s="17" t="s">
        <v>43</v>
      </c>
      <c r="AY2" s="17" t="s">
        <v>44</v>
      </c>
      <c r="AZ2" s="17" t="s">
        <v>43</v>
      </c>
      <c r="BA2" s="17" t="s">
        <v>44</v>
      </c>
      <c r="BB2" s="17" t="s">
        <v>43</v>
      </c>
      <c r="BC2" s="17" t="s">
        <v>44</v>
      </c>
      <c r="BD2" s="17" t="s">
        <v>43</v>
      </c>
      <c r="BE2" s="17" t="s">
        <v>44</v>
      </c>
      <c r="BF2" s="17" t="s">
        <v>43</v>
      </c>
      <c r="BG2" s="17" t="s">
        <v>44</v>
      </c>
      <c r="BH2" s="17" t="s">
        <v>43</v>
      </c>
      <c r="BI2" s="17" t="s">
        <v>44</v>
      </c>
      <c r="BJ2" s="17" t="s">
        <v>43</v>
      </c>
      <c r="BK2" s="17" t="s">
        <v>44</v>
      </c>
      <c r="BL2" s="17" t="s">
        <v>43</v>
      </c>
      <c r="BM2" s="17" t="s">
        <v>44</v>
      </c>
      <c r="BN2" s="20"/>
      <c r="BO2" s="20"/>
      <c r="BP2" s="20"/>
      <c r="BQ2" s="21"/>
      <c r="BR2" s="22" t="s">
        <v>45</v>
      </c>
      <c r="BS2" s="27" t="s">
        <v>46</v>
      </c>
      <c r="BT2" s="24" t="s">
        <v>47</v>
      </c>
      <c r="BU2" s="25" t="s">
        <v>48</v>
      </c>
    </row>
    <row r="3" s="1" customFormat="1" customHeight="1" spans="1:73">
      <c r="A3" s="28" t="s">
        <v>49</v>
      </c>
      <c r="B3" s="15">
        <v>470</v>
      </c>
      <c r="C3" s="16">
        <v>258</v>
      </c>
      <c r="D3" s="29"/>
      <c r="E3" s="30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  <c r="AH3" s="29"/>
      <c r="AI3" s="29"/>
      <c r="AJ3" s="29"/>
      <c r="AK3" s="30"/>
      <c r="AL3" s="29"/>
      <c r="AM3" s="29"/>
      <c r="AN3" s="31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0">
        <f t="shared" ref="BN3:BN66" si="0">D3+F3+H3+J3+L3+N3+P3+R3+T3+V3+X3+Z3+AB3+AD3+AF3+AH3+AJ3+AL3+AN3+AP3+AR3+AT3+AV3+AX3+AZ3+BB3+BD3+BF3+BH3+BJ3+BL3</f>
        <v>0</v>
      </c>
      <c r="BO3" s="20">
        <f t="shared" ref="BO3:BO66" si="1">E3+G3+I3+K3+M3+O3+Q3+S3+U3+W3+Y3+AA3+AC3+AE3+AG3+AI3+AK3+AM3+AO3+AQ3+AS3+AU3+AW3+AY3+BA3+BC3+BE3+BG3+BI3+BK3+BM3</f>
        <v>0</v>
      </c>
      <c r="BP3" s="20">
        <f t="shared" ref="BP3:BP66" si="2">C3+BN3-BO3</f>
        <v>258</v>
      </c>
      <c r="BQ3" s="21">
        <f t="shared" ref="BQ3:BQ7" si="3">B3/1000*BP3</f>
        <v>121.26</v>
      </c>
      <c r="BR3" s="32" t="s">
        <v>50</v>
      </c>
      <c r="BS3" s="33" t="s">
        <v>51</v>
      </c>
      <c r="BT3" s="34" t="s">
        <v>52</v>
      </c>
      <c r="BU3" s="35" t="s">
        <v>53</v>
      </c>
    </row>
    <row r="4" s="1" customFormat="1" customHeight="1" spans="1:73">
      <c r="A4" s="28" t="s">
        <v>49</v>
      </c>
      <c r="B4" s="15">
        <v>460</v>
      </c>
      <c r="C4" s="16">
        <v>298</v>
      </c>
      <c r="D4" s="29"/>
      <c r="E4" s="30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30"/>
      <c r="AH4" s="29"/>
      <c r="AI4" s="29"/>
      <c r="AJ4" s="29"/>
      <c r="AK4" s="30"/>
      <c r="AL4" s="29"/>
      <c r="AM4" s="29"/>
      <c r="AN4" s="31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0">
        <f t="shared" si="0"/>
        <v>0</v>
      </c>
      <c r="BO4" s="20">
        <f t="shared" si="1"/>
        <v>0</v>
      </c>
      <c r="BP4" s="20">
        <f t="shared" si="2"/>
        <v>298</v>
      </c>
      <c r="BQ4" s="21">
        <f t="shared" si="3"/>
        <v>137.08</v>
      </c>
      <c r="BR4" s="32" t="s">
        <v>50</v>
      </c>
      <c r="BS4" s="33" t="s">
        <v>51</v>
      </c>
      <c r="BT4" s="36"/>
      <c r="BU4" s="35" t="s">
        <v>53</v>
      </c>
    </row>
    <row r="5" s="1" customFormat="1" customHeight="1" spans="1:73">
      <c r="A5" s="15" t="s">
        <v>54</v>
      </c>
      <c r="B5" s="15">
        <v>440</v>
      </c>
      <c r="C5" s="16">
        <v>15</v>
      </c>
      <c r="D5" s="29"/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30"/>
      <c r="AH5" s="29"/>
      <c r="AI5" s="29"/>
      <c r="AJ5" s="29"/>
      <c r="AK5" s="30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0">
        <f t="shared" si="0"/>
        <v>0</v>
      </c>
      <c r="BO5" s="20">
        <f t="shared" si="1"/>
        <v>0</v>
      </c>
      <c r="BP5" s="20">
        <f t="shared" si="2"/>
        <v>15</v>
      </c>
      <c r="BQ5" s="21">
        <f t="shared" si="3"/>
        <v>6.6</v>
      </c>
      <c r="BR5" s="32" t="s">
        <v>55</v>
      </c>
      <c r="BS5" s="33" t="s">
        <v>51</v>
      </c>
      <c r="BT5" s="36"/>
      <c r="BU5" s="35" t="s">
        <v>53</v>
      </c>
    </row>
    <row r="6" s="1" customFormat="1" customHeight="1" spans="1:73">
      <c r="A6" s="15" t="s">
        <v>56</v>
      </c>
      <c r="B6" s="15">
        <v>230</v>
      </c>
      <c r="C6" s="16">
        <v>309</v>
      </c>
      <c r="D6" s="29"/>
      <c r="E6" s="3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30"/>
      <c r="AH6" s="29"/>
      <c r="AI6" s="29"/>
      <c r="AJ6" s="29"/>
      <c r="AK6" s="30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0">
        <f t="shared" si="0"/>
        <v>0</v>
      </c>
      <c r="BO6" s="20">
        <f t="shared" si="1"/>
        <v>0</v>
      </c>
      <c r="BP6" s="20">
        <f t="shared" si="2"/>
        <v>309</v>
      </c>
      <c r="BQ6" s="21">
        <f t="shared" si="3"/>
        <v>71.07</v>
      </c>
      <c r="BR6" s="32" t="s">
        <v>57</v>
      </c>
      <c r="BS6" s="33" t="s">
        <v>51</v>
      </c>
      <c r="BT6" s="34" t="s">
        <v>58</v>
      </c>
      <c r="BU6" s="35" t="s">
        <v>59</v>
      </c>
    </row>
    <row r="7" s="1" customFormat="1" customHeight="1" spans="1:73">
      <c r="A7" s="37" t="s">
        <v>60</v>
      </c>
      <c r="B7" s="15">
        <v>500</v>
      </c>
      <c r="C7" s="16">
        <v>3</v>
      </c>
      <c r="D7" s="29"/>
      <c r="E7" s="30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30"/>
      <c r="AH7" s="29"/>
      <c r="AI7" s="29"/>
      <c r="AJ7" s="29"/>
      <c r="AK7" s="30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0">
        <f t="shared" si="0"/>
        <v>0</v>
      </c>
      <c r="BO7" s="20">
        <f t="shared" si="1"/>
        <v>0</v>
      </c>
      <c r="BP7" s="20">
        <f t="shared" si="2"/>
        <v>3</v>
      </c>
      <c r="BQ7" s="21">
        <f t="shared" si="3"/>
        <v>1.5</v>
      </c>
      <c r="BR7" s="32" t="s">
        <v>61</v>
      </c>
      <c r="BS7" s="33" t="s">
        <v>62</v>
      </c>
      <c r="BT7" s="34" t="s">
        <v>63</v>
      </c>
      <c r="BU7" s="35" t="s">
        <v>59</v>
      </c>
    </row>
    <row r="8" s="1" customFormat="1" customHeight="1" spans="1:73">
      <c r="A8" s="15" t="s">
        <v>64</v>
      </c>
      <c r="B8" s="15" t="s">
        <v>65</v>
      </c>
      <c r="C8" s="16">
        <v>42</v>
      </c>
      <c r="D8" s="29"/>
      <c r="E8" s="30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0"/>
      <c r="AH8" s="29"/>
      <c r="AI8" s="29"/>
      <c r="AJ8" s="29"/>
      <c r="AK8" s="30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0">
        <f t="shared" si="0"/>
        <v>0</v>
      </c>
      <c r="BO8" s="20">
        <f t="shared" si="1"/>
        <v>0</v>
      </c>
      <c r="BP8" s="20">
        <f t="shared" si="2"/>
        <v>42</v>
      </c>
      <c r="BQ8" s="21">
        <f>0.3*0.305*BP8</f>
        <v>3.843</v>
      </c>
      <c r="BR8" s="32" t="s">
        <v>66</v>
      </c>
      <c r="BS8" s="33" t="s">
        <v>51</v>
      </c>
      <c r="BT8" s="36"/>
      <c r="BU8" s="35" t="s">
        <v>67</v>
      </c>
    </row>
    <row r="9" s="1" customFormat="1" customHeight="1" spans="1:73">
      <c r="A9" s="38" t="s">
        <v>64</v>
      </c>
      <c r="B9" s="15" t="s">
        <v>68</v>
      </c>
      <c r="C9" s="16">
        <v>123</v>
      </c>
      <c r="D9" s="29"/>
      <c r="E9" s="30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30"/>
      <c r="AH9" s="29"/>
      <c r="AI9" s="29"/>
      <c r="AJ9" s="29"/>
      <c r="AK9" s="30"/>
      <c r="AL9" s="30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0">
        <f t="shared" si="0"/>
        <v>0</v>
      </c>
      <c r="BO9" s="20">
        <f t="shared" si="1"/>
        <v>0</v>
      </c>
      <c r="BP9" s="20">
        <f t="shared" si="2"/>
        <v>123</v>
      </c>
      <c r="BQ9" s="21">
        <f>0.31*0.24*BP9</f>
        <v>9.1512</v>
      </c>
      <c r="BR9" s="32" t="s">
        <v>69</v>
      </c>
      <c r="BS9" s="33" t="s">
        <v>70</v>
      </c>
      <c r="BT9" s="36" t="s">
        <v>71</v>
      </c>
      <c r="BU9" s="35" t="s">
        <v>67</v>
      </c>
    </row>
    <row r="10" s="1" customFormat="1" customHeight="1" spans="1:73">
      <c r="A10" s="38" t="s">
        <v>64</v>
      </c>
      <c r="B10" s="15">
        <v>255</v>
      </c>
      <c r="C10" s="16">
        <v>256</v>
      </c>
      <c r="D10" s="29"/>
      <c r="E10" s="30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18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30"/>
      <c r="AH10" s="29"/>
      <c r="AI10" s="29"/>
      <c r="AJ10" s="29"/>
      <c r="AK10" s="30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0">
        <f t="shared" si="0"/>
        <v>0</v>
      </c>
      <c r="BO10" s="20">
        <f t="shared" si="1"/>
        <v>0</v>
      </c>
      <c r="BP10" s="20">
        <f t="shared" si="2"/>
        <v>256</v>
      </c>
      <c r="BQ10" s="21">
        <f t="shared" ref="BQ10:BQ16" si="4">B10*BP10/1000</f>
        <v>65.28</v>
      </c>
      <c r="BR10" s="32" t="s">
        <v>72</v>
      </c>
      <c r="BS10" s="33" t="s">
        <v>73</v>
      </c>
      <c r="BT10" s="36" t="s">
        <v>74</v>
      </c>
      <c r="BU10" s="35" t="s">
        <v>59</v>
      </c>
    </row>
    <row r="11" s="1" customFormat="1" customHeight="1" spans="1:73">
      <c r="A11" s="38" t="s">
        <v>64</v>
      </c>
      <c r="B11" s="15">
        <v>410</v>
      </c>
      <c r="C11" s="16">
        <v>72.5</v>
      </c>
      <c r="D11" s="29"/>
      <c r="E11" s="30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8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30"/>
      <c r="AH11" s="29"/>
      <c r="AI11" s="29"/>
      <c r="AJ11" s="29"/>
      <c r="AK11" s="30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0">
        <f t="shared" si="0"/>
        <v>0</v>
      </c>
      <c r="BO11" s="20">
        <f t="shared" si="1"/>
        <v>0</v>
      </c>
      <c r="BP11" s="20">
        <f t="shared" si="2"/>
        <v>72.5</v>
      </c>
      <c r="BQ11" s="21">
        <f t="shared" si="4"/>
        <v>29.725</v>
      </c>
      <c r="BR11" s="32" t="s">
        <v>75</v>
      </c>
      <c r="BS11" s="33" t="s">
        <v>76</v>
      </c>
      <c r="BT11" s="34" t="s">
        <v>77</v>
      </c>
      <c r="BU11" s="35" t="s">
        <v>59</v>
      </c>
    </row>
    <row r="12" s="1" customFormat="1" customHeight="1" spans="1:73">
      <c r="A12" s="38" t="s">
        <v>64</v>
      </c>
      <c r="B12" s="15">
        <v>420</v>
      </c>
      <c r="C12" s="16">
        <v>457</v>
      </c>
      <c r="D12" s="29"/>
      <c r="E12" s="30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8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30"/>
      <c r="AH12" s="29"/>
      <c r="AI12" s="29"/>
      <c r="AJ12" s="29"/>
      <c r="AK12" s="30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0">
        <f t="shared" si="0"/>
        <v>0</v>
      </c>
      <c r="BO12" s="20">
        <f t="shared" si="1"/>
        <v>0</v>
      </c>
      <c r="BP12" s="20">
        <f t="shared" si="2"/>
        <v>457</v>
      </c>
      <c r="BQ12" s="21">
        <f t="shared" si="4"/>
        <v>191.94</v>
      </c>
      <c r="BR12" s="32" t="s">
        <v>72</v>
      </c>
      <c r="BS12" s="33" t="s">
        <v>73</v>
      </c>
      <c r="BT12" s="36" t="s">
        <v>74</v>
      </c>
      <c r="BU12" s="35" t="s">
        <v>59</v>
      </c>
    </row>
    <row r="13" s="1" customFormat="1" customHeight="1" spans="1:73">
      <c r="A13" s="15" t="s">
        <v>64</v>
      </c>
      <c r="B13" s="15">
        <v>435</v>
      </c>
      <c r="C13" s="16">
        <v>15</v>
      </c>
      <c r="D13" s="29"/>
      <c r="E13" s="30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18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30"/>
      <c r="AH13" s="29"/>
      <c r="AI13" s="29"/>
      <c r="AJ13" s="29"/>
      <c r="AK13" s="30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0">
        <f t="shared" si="0"/>
        <v>0</v>
      </c>
      <c r="BO13" s="20">
        <f t="shared" si="1"/>
        <v>0</v>
      </c>
      <c r="BP13" s="20">
        <f t="shared" si="2"/>
        <v>15</v>
      </c>
      <c r="BQ13" s="21">
        <f t="shared" si="4"/>
        <v>6.525</v>
      </c>
      <c r="BR13" s="32" t="s">
        <v>78</v>
      </c>
      <c r="BS13" s="33" t="s">
        <v>79</v>
      </c>
      <c r="BT13" s="36" t="s">
        <v>80</v>
      </c>
      <c r="BU13" s="35" t="s">
        <v>59</v>
      </c>
    </row>
    <row r="14" s="1" customFormat="1" customHeight="1" spans="1:73">
      <c r="A14" s="38" t="s">
        <v>81</v>
      </c>
      <c r="B14" s="15">
        <v>495</v>
      </c>
      <c r="C14" s="16">
        <v>47.5</v>
      </c>
      <c r="D14" s="29"/>
      <c r="E14" s="30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18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30"/>
      <c r="AH14" s="29"/>
      <c r="AI14" s="29"/>
      <c r="AJ14" s="29"/>
      <c r="AK14" s="30"/>
      <c r="AL14" s="29"/>
      <c r="AM14" s="30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0">
        <f t="shared" si="0"/>
        <v>0</v>
      </c>
      <c r="BO14" s="20">
        <f t="shared" si="1"/>
        <v>0</v>
      </c>
      <c r="BP14" s="20">
        <f t="shared" si="2"/>
        <v>47.5</v>
      </c>
      <c r="BQ14" s="21">
        <f t="shared" si="4"/>
        <v>23.5125</v>
      </c>
      <c r="BR14" s="32" t="s">
        <v>78</v>
      </c>
      <c r="BS14" s="33" t="s">
        <v>79</v>
      </c>
      <c r="BT14" s="34" t="s">
        <v>82</v>
      </c>
      <c r="BU14" s="35" t="s">
        <v>59</v>
      </c>
    </row>
    <row r="15" s="1" customFormat="1" customHeight="1" spans="1:73">
      <c r="A15" s="39" t="s">
        <v>83</v>
      </c>
      <c r="B15" s="15">
        <v>914</v>
      </c>
      <c r="C15" s="16"/>
      <c r="D15" s="29"/>
      <c r="E15" s="30"/>
      <c r="F15" s="29"/>
      <c r="G15" s="29"/>
      <c r="H15" s="29"/>
      <c r="I15" s="29"/>
      <c r="J15" s="29">
        <v>58</v>
      </c>
      <c r="K15" s="29"/>
      <c r="L15" s="29"/>
      <c r="M15" s="29"/>
      <c r="N15" s="29"/>
      <c r="O15" s="29"/>
      <c r="P15" s="29"/>
      <c r="Q15" s="29"/>
      <c r="R15" s="29"/>
      <c r="S15" s="29"/>
      <c r="T15" s="18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30"/>
      <c r="AH15" s="29"/>
      <c r="AI15" s="29"/>
      <c r="AJ15" s="29"/>
      <c r="AK15" s="30"/>
      <c r="AL15" s="29"/>
      <c r="AM15" s="30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0">
        <f t="shared" si="0"/>
        <v>58</v>
      </c>
      <c r="BO15" s="20">
        <f t="shared" si="1"/>
        <v>0</v>
      </c>
      <c r="BP15" s="20">
        <f t="shared" si="2"/>
        <v>58</v>
      </c>
      <c r="BQ15" s="21">
        <f t="shared" si="4"/>
        <v>53.012</v>
      </c>
      <c r="BR15" s="40" t="s">
        <v>84</v>
      </c>
      <c r="BS15" s="40"/>
      <c r="BT15" s="34"/>
      <c r="BU15" s="35"/>
    </row>
    <row r="16" s="1" customFormat="1" customHeight="1" spans="1:73">
      <c r="A16" s="39" t="s">
        <v>85</v>
      </c>
      <c r="B16" s="15">
        <v>914</v>
      </c>
      <c r="C16" s="16"/>
      <c r="D16" s="29"/>
      <c r="E16" s="30"/>
      <c r="F16" s="29"/>
      <c r="G16" s="29"/>
      <c r="H16" s="29"/>
      <c r="I16" s="29"/>
      <c r="J16" s="29">
        <v>327</v>
      </c>
      <c r="K16" s="29"/>
      <c r="L16" s="29"/>
      <c r="M16" s="29"/>
      <c r="N16" s="29"/>
      <c r="O16" s="29"/>
      <c r="P16" s="29"/>
      <c r="Q16" s="29"/>
      <c r="R16" s="29"/>
      <c r="S16" s="29"/>
      <c r="T16" s="18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30"/>
      <c r="AH16" s="29"/>
      <c r="AI16" s="29"/>
      <c r="AJ16" s="29"/>
      <c r="AK16" s="30"/>
      <c r="AL16" s="29"/>
      <c r="AM16" s="30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0">
        <f t="shared" si="0"/>
        <v>327</v>
      </c>
      <c r="BO16" s="20">
        <f t="shared" si="1"/>
        <v>0</v>
      </c>
      <c r="BP16" s="20">
        <f t="shared" si="2"/>
        <v>327</v>
      </c>
      <c r="BQ16" s="21">
        <f t="shared" si="4"/>
        <v>298.878</v>
      </c>
      <c r="BR16" s="40" t="s">
        <v>84</v>
      </c>
      <c r="BS16" s="40"/>
      <c r="BT16" s="34"/>
      <c r="BU16" s="35"/>
    </row>
    <row r="17" s="1" customFormat="1" customHeight="1" spans="1:73">
      <c r="A17" s="37" t="s">
        <v>86</v>
      </c>
      <c r="B17" s="15" t="s">
        <v>87</v>
      </c>
      <c r="C17" s="16">
        <v>167</v>
      </c>
      <c r="D17" s="29"/>
      <c r="E17" s="30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18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30"/>
      <c r="AH17" s="29"/>
      <c r="AI17" s="29"/>
      <c r="AJ17" s="29"/>
      <c r="AK17" s="30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0">
        <f t="shared" si="0"/>
        <v>0</v>
      </c>
      <c r="BO17" s="20">
        <f t="shared" si="1"/>
        <v>0</v>
      </c>
      <c r="BP17" s="20">
        <f t="shared" si="2"/>
        <v>167</v>
      </c>
      <c r="BQ17" s="21">
        <f>0.465*0.385*BP17</f>
        <v>29.897175</v>
      </c>
      <c r="BR17" s="32" t="s">
        <v>88</v>
      </c>
      <c r="BS17" s="33" t="s">
        <v>89</v>
      </c>
      <c r="BT17" s="34" t="s">
        <v>90</v>
      </c>
      <c r="BU17" s="35" t="s">
        <v>59</v>
      </c>
    </row>
    <row r="18" s="1" customFormat="1" customHeight="1" spans="1:73">
      <c r="A18" s="41" t="s">
        <v>86</v>
      </c>
      <c r="B18" s="15">
        <v>465</v>
      </c>
      <c r="C18" s="29">
        <v>457</v>
      </c>
      <c r="D18" s="29"/>
      <c r="E18" s="30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18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30"/>
      <c r="AH18" s="29"/>
      <c r="AI18" s="29"/>
      <c r="AJ18" s="29"/>
      <c r="AK18" s="30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0">
        <f t="shared" si="0"/>
        <v>0</v>
      </c>
      <c r="BO18" s="20">
        <f t="shared" si="1"/>
        <v>0</v>
      </c>
      <c r="BP18" s="20">
        <f t="shared" si="2"/>
        <v>457</v>
      </c>
      <c r="BQ18" s="42">
        <f t="shared" ref="BQ18:BQ24" si="5">B18*BP18/1000</f>
        <v>212.505</v>
      </c>
      <c r="BR18" s="43" t="s">
        <v>88</v>
      </c>
      <c r="BS18" s="33" t="s">
        <v>89</v>
      </c>
      <c r="BT18" s="34" t="s">
        <v>91</v>
      </c>
      <c r="BU18" s="44" t="s">
        <v>59</v>
      </c>
    </row>
    <row r="19" s="1" customFormat="1" customHeight="1" spans="1:73">
      <c r="A19" s="15" t="s">
        <v>92</v>
      </c>
      <c r="B19" s="15" t="s">
        <v>93</v>
      </c>
      <c r="C19" s="16">
        <v>130</v>
      </c>
      <c r="D19" s="29"/>
      <c r="E19" s="30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30"/>
      <c r="AH19" s="29"/>
      <c r="AI19" s="29"/>
      <c r="AJ19" s="29"/>
      <c r="AK19" s="30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0">
        <f t="shared" si="0"/>
        <v>0</v>
      </c>
      <c r="BO19" s="20">
        <f t="shared" si="1"/>
        <v>0</v>
      </c>
      <c r="BP19" s="20">
        <f t="shared" si="2"/>
        <v>130</v>
      </c>
      <c r="BQ19" s="21">
        <f>0.09*0.265*BP19</f>
        <v>3.1005</v>
      </c>
      <c r="BR19" s="32" t="s">
        <v>55</v>
      </c>
      <c r="BS19" s="45" t="s">
        <v>94</v>
      </c>
      <c r="BT19" s="34" t="s">
        <v>95</v>
      </c>
      <c r="BU19" s="35" t="s">
        <v>96</v>
      </c>
    </row>
    <row r="20" s="1" customFormat="1" customHeight="1" spans="1:73">
      <c r="A20" s="15" t="s">
        <v>97</v>
      </c>
      <c r="B20" s="15" t="s">
        <v>98</v>
      </c>
      <c r="C20" s="16">
        <v>130</v>
      </c>
      <c r="D20" s="29"/>
      <c r="E20" s="30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46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30"/>
      <c r="AH20" s="29"/>
      <c r="AI20" s="29"/>
      <c r="AJ20" s="29"/>
      <c r="AK20" s="30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0">
        <f t="shared" si="0"/>
        <v>0</v>
      </c>
      <c r="BO20" s="20">
        <f t="shared" si="1"/>
        <v>0</v>
      </c>
      <c r="BP20" s="20">
        <f t="shared" si="2"/>
        <v>130</v>
      </c>
      <c r="BQ20" s="21">
        <f>0.425*0.232*BP20</f>
        <v>12.818</v>
      </c>
      <c r="BR20" s="32" t="s">
        <v>99</v>
      </c>
      <c r="BS20" s="33" t="s">
        <v>100</v>
      </c>
      <c r="BT20" s="34"/>
      <c r="BU20" s="35" t="s">
        <v>96</v>
      </c>
    </row>
    <row r="21" s="1" customFormat="1" customHeight="1" spans="1:73">
      <c r="A21" s="15" t="s">
        <v>101</v>
      </c>
      <c r="B21" s="15">
        <v>195</v>
      </c>
      <c r="C21" s="16">
        <v>237</v>
      </c>
      <c r="D21" s="29"/>
      <c r="E21" s="30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30"/>
      <c r="AH21" s="29"/>
      <c r="AI21" s="29"/>
      <c r="AJ21" s="29"/>
      <c r="AK21" s="30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0">
        <f t="shared" si="0"/>
        <v>0</v>
      </c>
      <c r="BO21" s="20">
        <f t="shared" si="1"/>
        <v>0</v>
      </c>
      <c r="BP21" s="20">
        <f t="shared" si="2"/>
        <v>237</v>
      </c>
      <c r="BQ21" s="21">
        <f t="shared" si="5"/>
        <v>46.215</v>
      </c>
      <c r="BR21" s="32" t="s">
        <v>102</v>
      </c>
      <c r="BS21" s="33" t="s">
        <v>103</v>
      </c>
      <c r="BT21" s="33"/>
      <c r="BU21" s="35" t="s">
        <v>104</v>
      </c>
    </row>
    <row r="22" s="1" customFormat="1" customHeight="1" spans="1:73">
      <c r="A22" s="15" t="s">
        <v>101</v>
      </c>
      <c r="B22" s="15">
        <v>465</v>
      </c>
      <c r="C22" s="16">
        <v>86</v>
      </c>
      <c r="D22" s="29"/>
      <c r="E22" s="30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30"/>
      <c r="AH22" s="29"/>
      <c r="AI22" s="29"/>
      <c r="AJ22" s="29"/>
      <c r="AK22" s="30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0">
        <f t="shared" si="0"/>
        <v>0</v>
      </c>
      <c r="BO22" s="20">
        <f t="shared" si="1"/>
        <v>0</v>
      </c>
      <c r="BP22" s="20">
        <f t="shared" si="2"/>
        <v>86</v>
      </c>
      <c r="BQ22" s="21">
        <f t="shared" si="5"/>
        <v>39.99</v>
      </c>
      <c r="BR22" s="32" t="s">
        <v>105</v>
      </c>
      <c r="BS22" s="33" t="s">
        <v>106</v>
      </c>
      <c r="BT22" s="33"/>
      <c r="BU22" s="35" t="s">
        <v>104</v>
      </c>
    </row>
    <row r="23" s="1" customFormat="1" customHeight="1" spans="1:73">
      <c r="A23" s="39" t="s">
        <v>107</v>
      </c>
      <c r="B23" s="15">
        <v>914</v>
      </c>
      <c r="C23" s="16"/>
      <c r="D23" s="29"/>
      <c r="E23" s="30"/>
      <c r="F23" s="29"/>
      <c r="G23" s="29"/>
      <c r="H23" s="29"/>
      <c r="I23" s="29"/>
      <c r="J23" s="29">
        <v>150</v>
      </c>
      <c r="K23" s="29"/>
      <c r="L23" s="29"/>
      <c r="M23" s="29"/>
      <c r="N23" s="29"/>
      <c r="O23" s="29"/>
      <c r="P23" s="29"/>
      <c r="Q23" s="29"/>
      <c r="R23" s="29"/>
      <c r="S23" s="29"/>
      <c r="T23" s="18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30"/>
      <c r="AH23" s="29"/>
      <c r="AI23" s="29"/>
      <c r="AJ23" s="29"/>
      <c r="AK23" s="30"/>
      <c r="AL23" s="29"/>
      <c r="AM23" s="30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0">
        <f t="shared" si="0"/>
        <v>150</v>
      </c>
      <c r="BO23" s="20">
        <f t="shared" si="1"/>
        <v>0</v>
      </c>
      <c r="BP23" s="20">
        <f t="shared" si="2"/>
        <v>150</v>
      </c>
      <c r="BQ23" s="21">
        <f t="shared" si="5"/>
        <v>137.1</v>
      </c>
      <c r="BR23" s="40" t="s">
        <v>84</v>
      </c>
      <c r="BS23" s="33"/>
      <c r="BT23" s="34"/>
      <c r="BU23" s="35"/>
    </row>
    <row r="24" s="1" customFormat="1" customHeight="1" spans="1:73">
      <c r="A24" s="15" t="s">
        <v>108</v>
      </c>
      <c r="B24" s="15">
        <v>460</v>
      </c>
      <c r="C24" s="16">
        <v>3</v>
      </c>
      <c r="D24" s="29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30"/>
      <c r="AH24" s="29"/>
      <c r="AI24" s="29"/>
      <c r="AJ24" s="29"/>
      <c r="AK24" s="30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0">
        <f t="shared" si="0"/>
        <v>0</v>
      </c>
      <c r="BO24" s="20">
        <f t="shared" si="1"/>
        <v>0</v>
      </c>
      <c r="BP24" s="20">
        <f t="shared" si="2"/>
        <v>3</v>
      </c>
      <c r="BQ24" s="21">
        <f t="shared" si="5"/>
        <v>1.38</v>
      </c>
      <c r="BR24" s="32" t="s">
        <v>55</v>
      </c>
      <c r="BS24" s="45" t="s">
        <v>109</v>
      </c>
      <c r="BT24" s="36"/>
      <c r="BU24" s="35" t="s">
        <v>59</v>
      </c>
    </row>
    <row r="25" s="1" customFormat="1" customHeight="1" spans="1:73">
      <c r="A25" s="47" t="s">
        <v>110</v>
      </c>
      <c r="B25" s="15" t="s">
        <v>111</v>
      </c>
      <c r="C25" s="16">
        <v>35</v>
      </c>
      <c r="D25" s="29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30"/>
      <c r="AH25" s="29"/>
      <c r="AI25" s="29"/>
      <c r="AJ25" s="29"/>
      <c r="AK25" s="30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0">
        <f t="shared" si="0"/>
        <v>0</v>
      </c>
      <c r="BO25" s="20">
        <f t="shared" si="1"/>
        <v>0</v>
      </c>
      <c r="BP25" s="20">
        <f t="shared" si="2"/>
        <v>35</v>
      </c>
      <c r="BQ25" s="21">
        <f>0.33*0.2*BP25</f>
        <v>2.31</v>
      </c>
      <c r="BR25" s="32" t="s">
        <v>112</v>
      </c>
      <c r="BS25" s="33" t="s">
        <v>113</v>
      </c>
      <c r="BT25" s="36" t="s">
        <v>63</v>
      </c>
      <c r="BU25" s="35"/>
    </row>
    <row r="26" s="1" customFormat="1" customHeight="1" spans="1:73">
      <c r="A26" s="48" t="s">
        <v>114</v>
      </c>
      <c r="B26" s="15">
        <v>930</v>
      </c>
      <c r="C26" s="29">
        <v>1</v>
      </c>
      <c r="D26" s="29"/>
      <c r="E26" s="30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30"/>
      <c r="AH26" s="29"/>
      <c r="AI26" s="29"/>
      <c r="AJ26" s="29"/>
      <c r="AK26" s="30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0">
        <f t="shared" si="0"/>
        <v>0</v>
      </c>
      <c r="BO26" s="20">
        <f t="shared" si="1"/>
        <v>0</v>
      </c>
      <c r="BP26" s="20">
        <f t="shared" si="2"/>
        <v>1</v>
      </c>
      <c r="BQ26" s="21">
        <f t="shared" ref="BQ26:BQ31" si="6">B26*BP26/1000</f>
        <v>0.93</v>
      </c>
      <c r="BR26" s="32" t="s">
        <v>115</v>
      </c>
      <c r="BS26" s="33" t="s">
        <v>116</v>
      </c>
      <c r="BT26" s="36" t="s">
        <v>117</v>
      </c>
      <c r="BU26" s="49" t="s">
        <v>118</v>
      </c>
    </row>
    <row r="27" s="1" customFormat="1" customHeight="1" spans="1:73">
      <c r="A27" s="15" t="s">
        <v>119</v>
      </c>
      <c r="B27" s="15">
        <v>390</v>
      </c>
      <c r="C27" s="16">
        <v>16.6</v>
      </c>
      <c r="D27" s="29"/>
      <c r="E27" s="30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30"/>
      <c r="R27" s="29"/>
      <c r="S27" s="29"/>
      <c r="T27" s="29"/>
      <c r="U27" s="30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30"/>
      <c r="AH27" s="29"/>
      <c r="AI27" s="29"/>
      <c r="AJ27" s="29"/>
      <c r="AK27" s="30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0">
        <f t="shared" si="0"/>
        <v>0</v>
      </c>
      <c r="BO27" s="20">
        <f t="shared" si="1"/>
        <v>0</v>
      </c>
      <c r="BP27" s="20">
        <f t="shared" si="2"/>
        <v>16.6</v>
      </c>
      <c r="BQ27" s="21">
        <f t="shared" si="6"/>
        <v>6.474</v>
      </c>
      <c r="BR27" s="32" t="s">
        <v>55</v>
      </c>
      <c r="BS27" s="33" t="s">
        <v>51</v>
      </c>
      <c r="BT27" s="36"/>
      <c r="BU27" s="35" t="s">
        <v>104</v>
      </c>
    </row>
    <row r="28" s="1" customFormat="1" customHeight="1" spans="1:73">
      <c r="A28" s="37" t="s">
        <v>120</v>
      </c>
      <c r="B28" s="15" t="s">
        <v>121</v>
      </c>
      <c r="C28" s="16">
        <v>234</v>
      </c>
      <c r="D28" s="29"/>
      <c r="E28" s="30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30"/>
      <c r="R28" s="29"/>
      <c r="S28" s="29"/>
      <c r="T28" s="29"/>
      <c r="U28" s="30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30"/>
      <c r="AH28" s="29"/>
      <c r="AI28" s="29"/>
      <c r="AJ28" s="29"/>
      <c r="AK28" s="30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0">
        <f t="shared" si="0"/>
        <v>0</v>
      </c>
      <c r="BO28" s="20">
        <f t="shared" si="1"/>
        <v>0</v>
      </c>
      <c r="BP28" s="20">
        <f t="shared" si="2"/>
        <v>234</v>
      </c>
      <c r="BQ28" s="21">
        <f>0.535*0.46*BP28</f>
        <v>57.5874</v>
      </c>
      <c r="BR28" s="32" t="s">
        <v>122</v>
      </c>
      <c r="BS28" s="33" t="s">
        <v>123</v>
      </c>
      <c r="BT28" s="36" t="s">
        <v>124</v>
      </c>
      <c r="BU28" s="35" t="s">
        <v>67</v>
      </c>
    </row>
    <row r="29" s="1" customFormat="1" customHeight="1" spans="1:73">
      <c r="A29" s="15" t="s">
        <v>125</v>
      </c>
      <c r="B29" s="15" t="s">
        <v>121</v>
      </c>
      <c r="C29" s="16">
        <v>131</v>
      </c>
      <c r="D29" s="29"/>
      <c r="E29" s="30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30"/>
      <c r="R29" s="29"/>
      <c r="S29" s="29"/>
      <c r="T29" s="29"/>
      <c r="U29" s="30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30"/>
      <c r="AH29" s="29"/>
      <c r="AI29" s="29"/>
      <c r="AJ29" s="29"/>
      <c r="AK29" s="30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0">
        <f t="shared" si="0"/>
        <v>0</v>
      </c>
      <c r="BO29" s="20">
        <f t="shared" si="1"/>
        <v>0</v>
      </c>
      <c r="BP29" s="20">
        <f t="shared" si="2"/>
        <v>131</v>
      </c>
      <c r="BQ29" s="21">
        <f>0.535*0.465*BP29</f>
        <v>32.589525</v>
      </c>
      <c r="BR29" s="32" t="s">
        <v>126</v>
      </c>
      <c r="BS29" s="33" t="s">
        <v>127</v>
      </c>
      <c r="BT29" s="50" t="s">
        <v>128</v>
      </c>
      <c r="BU29" s="35" t="s">
        <v>67</v>
      </c>
    </row>
    <row r="30" s="1" customFormat="1" customHeight="1" spans="1:73">
      <c r="A30" s="15" t="s">
        <v>129</v>
      </c>
      <c r="B30" s="15">
        <v>410</v>
      </c>
      <c r="C30" s="16">
        <v>44</v>
      </c>
      <c r="D30" s="29"/>
      <c r="E30" s="30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30"/>
      <c r="AH30" s="29"/>
      <c r="AI30" s="29"/>
      <c r="AJ30" s="29"/>
      <c r="AK30" s="30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0">
        <f t="shared" si="0"/>
        <v>0</v>
      </c>
      <c r="BO30" s="20">
        <f t="shared" si="1"/>
        <v>0</v>
      </c>
      <c r="BP30" s="20">
        <f t="shared" si="2"/>
        <v>44</v>
      </c>
      <c r="BQ30" s="21">
        <f t="shared" si="6"/>
        <v>18.04</v>
      </c>
      <c r="BR30" s="32" t="s">
        <v>55</v>
      </c>
      <c r="BS30" s="33" t="s">
        <v>51</v>
      </c>
      <c r="BT30" s="36"/>
      <c r="BU30" s="35" t="s">
        <v>104</v>
      </c>
    </row>
    <row r="31" s="1" customFormat="1" customHeight="1" spans="1:73">
      <c r="A31" s="15" t="s">
        <v>130</v>
      </c>
      <c r="B31" s="15">
        <v>190</v>
      </c>
      <c r="C31" s="16">
        <v>244</v>
      </c>
      <c r="D31" s="29"/>
      <c r="E31" s="30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30"/>
      <c r="AH31" s="29"/>
      <c r="AI31" s="29"/>
      <c r="AJ31" s="29"/>
      <c r="AK31" s="30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0">
        <f t="shared" si="0"/>
        <v>0</v>
      </c>
      <c r="BO31" s="20">
        <f t="shared" si="1"/>
        <v>0</v>
      </c>
      <c r="BP31" s="20">
        <f t="shared" si="2"/>
        <v>244</v>
      </c>
      <c r="BQ31" s="21">
        <f t="shared" si="6"/>
        <v>46.36</v>
      </c>
      <c r="BR31" s="32" t="s">
        <v>131</v>
      </c>
      <c r="BS31" s="33" t="s">
        <v>132</v>
      </c>
      <c r="BT31" s="36"/>
      <c r="BU31" s="35" t="s">
        <v>104</v>
      </c>
    </row>
    <row r="32" s="1" customFormat="1" customHeight="1" spans="1:73">
      <c r="A32" s="15" t="s">
        <v>130</v>
      </c>
      <c r="B32" s="15" t="s">
        <v>133</v>
      </c>
      <c r="C32" s="16">
        <v>194</v>
      </c>
      <c r="D32" s="29"/>
      <c r="E32" s="30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30"/>
      <c r="AH32" s="29"/>
      <c r="AI32" s="29"/>
      <c r="AJ32" s="29"/>
      <c r="AK32" s="30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0">
        <f t="shared" si="0"/>
        <v>0</v>
      </c>
      <c r="BO32" s="20">
        <f t="shared" si="1"/>
        <v>0</v>
      </c>
      <c r="BP32" s="20">
        <f t="shared" si="2"/>
        <v>194</v>
      </c>
      <c r="BQ32" s="51">
        <f>0.39*0.15*BP32</f>
        <v>11.349</v>
      </c>
      <c r="BR32" s="32" t="s">
        <v>134</v>
      </c>
      <c r="BS32" s="33" t="s">
        <v>135</v>
      </c>
      <c r="BT32" s="36" t="s">
        <v>136</v>
      </c>
      <c r="BU32" s="35" t="s">
        <v>67</v>
      </c>
    </row>
    <row r="33" s="1" customFormat="1" customHeight="1" spans="1:73">
      <c r="A33" s="15" t="s">
        <v>130</v>
      </c>
      <c r="B33" s="15" t="s">
        <v>137</v>
      </c>
      <c r="C33" s="16">
        <v>70</v>
      </c>
      <c r="D33" s="29"/>
      <c r="E33" s="30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30"/>
      <c r="AH33" s="29"/>
      <c r="AI33" s="29"/>
      <c r="AJ33" s="29"/>
      <c r="AK33" s="30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0">
        <f t="shared" si="0"/>
        <v>0</v>
      </c>
      <c r="BO33" s="20">
        <f t="shared" si="1"/>
        <v>0</v>
      </c>
      <c r="BP33" s="20">
        <f t="shared" si="2"/>
        <v>70</v>
      </c>
      <c r="BQ33" s="51">
        <f>0.225*0.261*BP33</f>
        <v>4.11075</v>
      </c>
      <c r="BR33" s="32" t="s">
        <v>138</v>
      </c>
      <c r="BS33" s="33" t="s">
        <v>139</v>
      </c>
      <c r="BT33" s="36"/>
      <c r="BU33" s="35" t="s">
        <v>67</v>
      </c>
    </row>
    <row r="34" s="1" customFormat="1" customHeight="1" spans="1:73">
      <c r="A34" s="52" t="s">
        <v>140</v>
      </c>
      <c r="B34" s="15">
        <v>305</v>
      </c>
      <c r="C34" s="16">
        <v>25</v>
      </c>
      <c r="D34" s="29"/>
      <c r="E34" s="30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30"/>
      <c r="AH34" s="29"/>
      <c r="AI34" s="29"/>
      <c r="AJ34" s="29"/>
      <c r="AK34" s="30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0">
        <f t="shared" si="0"/>
        <v>0</v>
      </c>
      <c r="BO34" s="20">
        <f t="shared" si="1"/>
        <v>0</v>
      </c>
      <c r="BP34" s="20">
        <f t="shared" si="2"/>
        <v>25</v>
      </c>
      <c r="BQ34" s="51">
        <f t="shared" ref="BQ34:BQ45" si="7">B34*BP34/1000</f>
        <v>7.625</v>
      </c>
      <c r="BR34" s="32" t="s">
        <v>55</v>
      </c>
      <c r="BS34" s="33" t="s">
        <v>51</v>
      </c>
      <c r="BT34" s="36"/>
      <c r="BU34" s="35" t="s">
        <v>104</v>
      </c>
    </row>
    <row r="35" s="1" customFormat="1" customHeight="1" spans="1:73">
      <c r="A35" s="53" t="s">
        <v>141</v>
      </c>
      <c r="B35" s="15"/>
      <c r="C35" s="16"/>
      <c r="D35" s="29"/>
      <c r="E35" s="30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30"/>
      <c r="AH35" s="29"/>
      <c r="AI35" s="29"/>
      <c r="AJ35" s="29"/>
      <c r="AK35" s="30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0">
        <f t="shared" si="0"/>
        <v>0</v>
      </c>
      <c r="BO35" s="20">
        <f t="shared" si="1"/>
        <v>0</v>
      </c>
      <c r="BP35" s="20">
        <f t="shared" si="2"/>
        <v>0</v>
      </c>
      <c r="BQ35" s="51"/>
      <c r="BR35" s="32"/>
      <c r="BS35" s="33"/>
      <c r="BT35" s="36"/>
      <c r="BU35" s="35"/>
    </row>
    <row r="36" s="1" customFormat="1" customHeight="1" spans="1:73">
      <c r="A36" s="15" t="s">
        <v>142</v>
      </c>
      <c r="B36" s="15" t="s">
        <v>143</v>
      </c>
      <c r="C36" s="16">
        <v>138</v>
      </c>
      <c r="D36" s="29"/>
      <c r="E36" s="30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30"/>
      <c r="AH36" s="29"/>
      <c r="AI36" s="29"/>
      <c r="AJ36" s="29"/>
      <c r="AK36" s="30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0">
        <f t="shared" si="0"/>
        <v>0</v>
      </c>
      <c r="BO36" s="20">
        <f t="shared" si="1"/>
        <v>0</v>
      </c>
      <c r="BP36" s="20">
        <f t="shared" si="2"/>
        <v>138</v>
      </c>
      <c r="BQ36" s="51">
        <f>0.46*0.18*BP36</f>
        <v>11.4264</v>
      </c>
      <c r="BR36" s="32" t="s">
        <v>144</v>
      </c>
      <c r="BS36" s="33" t="s">
        <v>145</v>
      </c>
      <c r="BT36" s="36" t="s">
        <v>146</v>
      </c>
      <c r="BU36" s="35" t="s">
        <v>147</v>
      </c>
    </row>
    <row r="37" s="1" customFormat="1" customHeight="1" spans="1:73">
      <c r="A37" s="15" t="s">
        <v>142</v>
      </c>
      <c r="B37" s="15">
        <v>460</v>
      </c>
      <c r="C37" s="16">
        <v>12</v>
      </c>
      <c r="D37" s="29"/>
      <c r="E37" s="30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54"/>
      <c r="AF37" s="29"/>
      <c r="AG37" s="30"/>
      <c r="AH37" s="29"/>
      <c r="AI37" s="29"/>
      <c r="AJ37" s="29"/>
      <c r="AK37" s="30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0">
        <f t="shared" si="0"/>
        <v>0</v>
      </c>
      <c r="BO37" s="20">
        <f t="shared" si="1"/>
        <v>0</v>
      </c>
      <c r="BP37" s="20">
        <f t="shared" si="2"/>
        <v>12</v>
      </c>
      <c r="BQ37" s="51">
        <f t="shared" si="7"/>
        <v>5.52</v>
      </c>
      <c r="BR37" s="32" t="s">
        <v>148</v>
      </c>
      <c r="BS37" s="33" t="s">
        <v>149</v>
      </c>
      <c r="BT37" s="36" t="s">
        <v>150</v>
      </c>
      <c r="BU37" s="35" t="s">
        <v>147</v>
      </c>
    </row>
    <row r="38" s="1" customFormat="1" customHeight="1" spans="1:73">
      <c r="A38" s="28" t="s">
        <v>151</v>
      </c>
      <c r="B38" s="39">
        <v>440</v>
      </c>
      <c r="C38" s="16">
        <v>11</v>
      </c>
      <c r="D38" s="29"/>
      <c r="E38" s="3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54"/>
      <c r="AF38" s="29"/>
      <c r="AG38" s="30"/>
      <c r="AH38" s="29"/>
      <c r="AI38" s="29"/>
      <c r="AJ38" s="29"/>
      <c r="AK38" s="30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0">
        <f t="shared" si="0"/>
        <v>0</v>
      </c>
      <c r="BO38" s="20">
        <f t="shared" si="1"/>
        <v>0</v>
      </c>
      <c r="BP38" s="20">
        <f t="shared" si="2"/>
        <v>11</v>
      </c>
      <c r="BQ38" s="55">
        <f t="shared" si="7"/>
        <v>4.84</v>
      </c>
      <c r="BR38" s="56" t="s">
        <v>152</v>
      </c>
      <c r="BS38" s="33" t="s">
        <v>153</v>
      </c>
      <c r="BT38" s="57" t="s">
        <v>154</v>
      </c>
      <c r="BU38" s="35" t="s">
        <v>147</v>
      </c>
    </row>
    <row r="39" s="1" customFormat="1" customHeight="1" spans="1:73">
      <c r="A39" s="28" t="s">
        <v>151</v>
      </c>
      <c r="B39" s="15">
        <v>226</v>
      </c>
      <c r="C39" s="16">
        <v>55</v>
      </c>
      <c r="D39" s="29"/>
      <c r="E39" s="30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54"/>
      <c r="AF39" s="29"/>
      <c r="AG39" s="30"/>
      <c r="AH39" s="29"/>
      <c r="AI39" s="29"/>
      <c r="AJ39" s="29"/>
      <c r="AK39" s="30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0">
        <f t="shared" si="0"/>
        <v>0</v>
      </c>
      <c r="BO39" s="20">
        <f t="shared" si="1"/>
        <v>0</v>
      </c>
      <c r="BP39" s="20">
        <f t="shared" si="2"/>
        <v>55</v>
      </c>
      <c r="BQ39" s="55">
        <f t="shared" si="7"/>
        <v>12.43</v>
      </c>
      <c r="BR39" s="32" t="s">
        <v>155</v>
      </c>
      <c r="BS39" s="33" t="s">
        <v>156</v>
      </c>
      <c r="BT39" s="36" t="s">
        <v>157</v>
      </c>
      <c r="BU39" s="35" t="s">
        <v>147</v>
      </c>
    </row>
    <row r="40" s="1" customFormat="1" customHeight="1" spans="1:73">
      <c r="A40" s="28" t="s">
        <v>151</v>
      </c>
      <c r="B40" s="15">
        <v>250</v>
      </c>
      <c r="C40" s="16">
        <v>228</v>
      </c>
      <c r="D40" s="29"/>
      <c r="E40" s="30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54"/>
      <c r="AF40" s="29"/>
      <c r="AG40" s="30"/>
      <c r="AH40" s="29"/>
      <c r="AI40" s="29"/>
      <c r="AJ40" s="29"/>
      <c r="AK40" s="30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0">
        <f t="shared" si="0"/>
        <v>0</v>
      </c>
      <c r="BO40" s="20">
        <f t="shared" si="1"/>
        <v>0</v>
      </c>
      <c r="BP40" s="20">
        <f t="shared" si="2"/>
        <v>228</v>
      </c>
      <c r="BQ40" s="55">
        <f t="shared" si="7"/>
        <v>57</v>
      </c>
      <c r="BR40" s="32" t="s">
        <v>155</v>
      </c>
      <c r="BS40" s="33" t="s">
        <v>156</v>
      </c>
      <c r="BT40" s="36" t="s">
        <v>157</v>
      </c>
      <c r="BU40" s="35" t="s">
        <v>147</v>
      </c>
    </row>
    <row r="41" s="1" customFormat="1" customHeight="1" spans="1:73">
      <c r="A41" s="28" t="s">
        <v>151</v>
      </c>
      <c r="B41" s="15">
        <v>275</v>
      </c>
      <c r="C41" s="16">
        <v>5</v>
      </c>
      <c r="D41" s="29"/>
      <c r="E41" s="30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54"/>
      <c r="AF41" s="29"/>
      <c r="AG41" s="30"/>
      <c r="AH41" s="29"/>
      <c r="AI41" s="29"/>
      <c r="AJ41" s="29"/>
      <c r="AK41" s="30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0">
        <f t="shared" si="0"/>
        <v>0</v>
      </c>
      <c r="BO41" s="20">
        <f t="shared" si="1"/>
        <v>0</v>
      </c>
      <c r="BP41" s="20">
        <f t="shared" si="2"/>
        <v>5</v>
      </c>
      <c r="BQ41" s="55">
        <f t="shared" si="7"/>
        <v>1.375</v>
      </c>
      <c r="BR41" s="32" t="s">
        <v>158</v>
      </c>
      <c r="BS41" s="33" t="s">
        <v>159</v>
      </c>
      <c r="BT41" s="36" t="s">
        <v>160</v>
      </c>
      <c r="BU41" s="35" t="s">
        <v>147</v>
      </c>
    </row>
    <row r="42" s="1" customFormat="1" customHeight="1" spans="1:73">
      <c r="A42" s="28" t="s">
        <v>151</v>
      </c>
      <c r="B42" s="15">
        <v>380</v>
      </c>
      <c r="C42" s="16">
        <v>237</v>
      </c>
      <c r="D42" s="29"/>
      <c r="E42" s="30"/>
      <c r="F42" s="29"/>
      <c r="G42" s="29"/>
      <c r="H42" s="29"/>
      <c r="I42" s="29">
        <v>43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54"/>
      <c r="AF42" s="29"/>
      <c r="AG42" s="30"/>
      <c r="AH42" s="29"/>
      <c r="AI42" s="29"/>
      <c r="AJ42" s="29"/>
      <c r="AK42" s="30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0">
        <f t="shared" si="0"/>
        <v>0</v>
      </c>
      <c r="BO42" s="20">
        <f t="shared" si="1"/>
        <v>43</v>
      </c>
      <c r="BP42" s="20">
        <f t="shared" si="2"/>
        <v>194</v>
      </c>
      <c r="BQ42" s="55">
        <f t="shared" si="7"/>
        <v>73.72</v>
      </c>
      <c r="BR42" s="32" t="s">
        <v>158</v>
      </c>
      <c r="BS42" s="33" t="s">
        <v>159</v>
      </c>
      <c r="BT42" s="36"/>
      <c r="BU42" s="35" t="s">
        <v>147</v>
      </c>
    </row>
    <row r="43" s="1" customFormat="1" customHeight="1" spans="1:73">
      <c r="A43" s="28" t="s">
        <v>151</v>
      </c>
      <c r="B43" s="15">
        <v>454</v>
      </c>
      <c r="C43" s="16">
        <v>267</v>
      </c>
      <c r="D43" s="29"/>
      <c r="E43" s="30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54"/>
      <c r="AF43" s="29"/>
      <c r="AG43" s="30"/>
      <c r="AH43" s="29"/>
      <c r="AI43" s="29"/>
      <c r="AJ43" s="29"/>
      <c r="AK43" s="30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0">
        <f t="shared" si="0"/>
        <v>0</v>
      </c>
      <c r="BO43" s="20">
        <f t="shared" si="1"/>
        <v>0</v>
      </c>
      <c r="BP43" s="20">
        <f t="shared" si="2"/>
        <v>267</v>
      </c>
      <c r="BQ43" s="55">
        <f t="shared" si="7"/>
        <v>121.218</v>
      </c>
      <c r="BR43" s="32" t="s">
        <v>155</v>
      </c>
      <c r="BS43" s="33" t="s">
        <v>156</v>
      </c>
      <c r="BT43" s="36" t="s">
        <v>157</v>
      </c>
      <c r="BU43" s="35" t="s">
        <v>147</v>
      </c>
    </row>
    <row r="44" s="1" customFormat="1" customHeight="1" spans="1:73">
      <c r="A44" s="28" t="s">
        <v>151</v>
      </c>
      <c r="B44" s="58">
        <v>440</v>
      </c>
      <c r="C44" s="16">
        <v>11</v>
      </c>
      <c r="D44" s="29"/>
      <c r="E44" s="30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4"/>
      <c r="AF44" s="29"/>
      <c r="AG44" s="30"/>
      <c r="AH44" s="29"/>
      <c r="AI44" s="29"/>
      <c r="AJ44" s="29"/>
      <c r="AK44" s="30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0">
        <f t="shared" si="0"/>
        <v>0</v>
      </c>
      <c r="BO44" s="20">
        <f t="shared" si="1"/>
        <v>0</v>
      </c>
      <c r="BP44" s="20">
        <f t="shared" si="2"/>
        <v>11</v>
      </c>
      <c r="BQ44" s="59">
        <f t="shared" si="7"/>
        <v>4.84</v>
      </c>
      <c r="BR44" s="56" t="s">
        <v>152</v>
      </c>
      <c r="BS44" s="33" t="s">
        <v>153</v>
      </c>
      <c r="BT44" s="57" t="s">
        <v>154</v>
      </c>
      <c r="BU44" s="35" t="s">
        <v>147</v>
      </c>
    </row>
    <row r="45" s="1" customFormat="1" customHeight="1" spans="1:73">
      <c r="A45" s="28" t="s">
        <v>151</v>
      </c>
      <c r="B45" s="58">
        <v>490</v>
      </c>
      <c r="C45" s="16">
        <v>14</v>
      </c>
      <c r="D45" s="29"/>
      <c r="E45" s="30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54"/>
      <c r="AF45" s="29"/>
      <c r="AG45" s="30"/>
      <c r="AH45" s="29"/>
      <c r="AI45" s="29"/>
      <c r="AJ45" s="29"/>
      <c r="AK45" s="30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0">
        <f t="shared" si="0"/>
        <v>0</v>
      </c>
      <c r="BO45" s="20">
        <f t="shared" si="1"/>
        <v>0</v>
      </c>
      <c r="BP45" s="20">
        <f t="shared" si="2"/>
        <v>14</v>
      </c>
      <c r="BQ45" s="59">
        <f t="shared" si="7"/>
        <v>6.86</v>
      </c>
      <c r="BR45" s="56" t="s">
        <v>161</v>
      </c>
      <c r="BS45" s="33" t="s">
        <v>153</v>
      </c>
      <c r="BT45" s="57" t="s">
        <v>154</v>
      </c>
      <c r="BU45" s="35" t="s">
        <v>147</v>
      </c>
    </row>
    <row r="46" s="1" customFormat="1" customHeight="1" spans="1:73">
      <c r="A46" s="60" t="s">
        <v>162</v>
      </c>
      <c r="B46" s="39" t="s">
        <v>163</v>
      </c>
      <c r="C46" s="16">
        <v>300</v>
      </c>
      <c r="D46" s="29"/>
      <c r="E46" s="30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54"/>
      <c r="AF46" s="29"/>
      <c r="AG46" s="30"/>
      <c r="AH46" s="29"/>
      <c r="AI46" s="29"/>
      <c r="AJ46" s="29"/>
      <c r="AK46" s="30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0">
        <f t="shared" si="0"/>
        <v>0</v>
      </c>
      <c r="BO46" s="20">
        <f t="shared" si="1"/>
        <v>0</v>
      </c>
      <c r="BP46" s="20">
        <f t="shared" si="2"/>
        <v>300</v>
      </c>
      <c r="BQ46" s="51">
        <f>0.38*0.235*BP46</f>
        <v>26.79</v>
      </c>
      <c r="BR46" s="56" t="s">
        <v>164</v>
      </c>
      <c r="BS46" s="33" t="s">
        <v>165</v>
      </c>
      <c r="BT46" s="57" t="s">
        <v>166</v>
      </c>
      <c r="BU46" s="35" t="s">
        <v>96</v>
      </c>
    </row>
    <row r="47" s="1" customFormat="1" customHeight="1" spans="1:73">
      <c r="A47" s="60" t="s">
        <v>162</v>
      </c>
      <c r="B47" s="39" t="s">
        <v>167</v>
      </c>
      <c r="C47" s="16">
        <v>280</v>
      </c>
      <c r="D47" s="29"/>
      <c r="E47" s="30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54"/>
      <c r="AF47" s="29"/>
      <c r="AG47" s="30"/>
      <c r="AH47" s="29"/>
      <c r="AI47" s="29"/>
      <c r="AJ47" s="29"/>
      <c r="AK47" s="30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0">
        <f t="shared" si="0"/>
        <v>0</v>
      </c>
      <c r="BO47" s="20">
        <f t="shared" si="1"/>
        <v>0</v>
      </c>
      <c r="BP47" s="20">
        <f t="shared" si="2"/>
        <v>280</v>
      </c>
      <c r="BQ47" s="51">
        <f>0.465*0.25*BP47</f>
        <v>32.55</v>
      </c>
      <c r="BR47" s="56" t="s">
        <v>164</v>
      </c>
      <c r="BS47" s="33" t="s">
        <v>165</v>
      </c>
      <c r="BT47" s="57" t="s">
        <v>166</v>
      </c>
      <c r="BU47" s="35" t="s">
        <v>96</v>
      </c>
    </row>
    <row r="48" s="1" customFormat="1" customHeight="1" spans="1:73">
      <c r="A48" s="60" t="s">
        <v>162</v>
      </c>
      <c r="B48" s="39">
        <v>205</v>
      </c>
      <c r="C48" s="16">
        <v>262</v>
      </c>
      <c r="D48" s="29"/>
      <c r="E48" s="30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54"/>
      <c r="AF48" s="29"/>
      <c r="AG48" s="30"/>
      <c r="AH48" s="29"/>
      <c r="AI48" s="29"/>
      <c r="AJ48" s="29"/>
      <c r="AK48" s="30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0">
        <f t="shared" si="0"/>
        <v>0</v>
      </c>
      <c r="BO48" s="20">
        <f t="shared" si="1"/>
        <v>0</v>
      </c>
      <c r="BP48" s="20">
        <f t="shared" si="2"/>
        <v>262</v>
      </c>
      <c r="BQ48" s="55">
        <f t="shared" ref="BQ48:BQ54" si="8">B48*BP48/1000</f>
        <v>53.71</v>
      </c>
      <c r="BR48" s="56" t="s">
        <v>168</v>
      </c>
      <c r="BS48" s="33" t="s">
        <v>169</v>
      </c>
      <c r="BT48" s="61"/>
      <c r="BU48" s="35" t="s">
        <v>147</v>
      </c>
    </row>
    <row r="49" s="1" customFormat="1" customHeight="1" spans="1:73">
      <c r="A49" s="62" t="s">
        <v>162</v>
      </c>
      <c r="B49" s="39">
        <v>210</v>
      </c>
      <c r="C49" s="16">
        <v>212</v>
      </c>
      <c r="D49" s="29"/>
      <c r="E49" s="30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54"/>
      <c r="AF49" s="29"/>
      <c r="AG49" s="30"/>
      <c r="AH49" s="29"/>
      <c r="AI49" s="29"/>
      <c r="AJ49" s="29"/>
      <c r="AK49" s="30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0">
        <f t="shared" si="0"/>
        <v>0</v>
      </c>
      <c r="BO49" s="20">
        <f t="shared" si="1"/>
        <v>0</v>
      </c>
      <c r="BP49" s="20">
        <f t="shared" si="2"/>
        <v>212</v>
      </c>
      <c r="BQ49" s="55">
        <f t="shared" si="8"/>
        <v>44.52</v>
      </c>
      <c r="BR49" s="56" t="s">
        <v>170</v>
      </c>
      <c r="BS49" s="33" t="s">
        <v>171</v>
      </c>
      <c r="BT49" s="63" t="s">
        <v>172</v>
      </c>
      <c r="BU49" s="64" t="s">
        <v>173</v>
      </c>
    </row>
    <row r="50" s="1" customFormat="1" customHeight="1" spans="1:73">
      <c r="A50" s="62" t="s">
        <v>162</v>
      </c>
      <c r="B50" s="39">
        <v>440</v>
      </c>
      <c r="C50" s="16">
        <v>38</v>
      </c>
      <c r="D50" s="29"/>
      <c r="E50" s="30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54"/>
      <c r="AF50" s="29"/>
      <c r="AG50" s="30"/>
      <c r="AH50" s="29"/>
      <c r="AI50" s="29"/>
      <c r="AJ50" s="29"/>
      <c r="AK50" s="30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0">
        <f t="shared" si="0"/>
        <v>0</v>
      </c>
      <c r="BO50" s="20">
        <f t="shared" si="1"/>
        <v>0</v>
      </c>
      <c r="BP50" s="20">
        <f t="shared" si="2"/>
        <v>38</v>
      </c>
      <c r="BQ50" s="55">
        <f t="shared" si="8"/>
        <v>16.72</v>
      </c>
      <c r="BR50" s="56" t="s">
        <v>174</v>
      </c>
      <c r="BS50" s="33" t="s">
        <v>175</v>
      </c>
      <c r="BT50" s="63" t="s">
        <v>172</v>
      </c>
      <c r="BU50" s="64" t="s">
        <v>173</v>
      </c>
    </row>
    <row r="51" s="1" customFormat="1" customHeight="1" spans="1:73">
      <c r="A51" s="60" t="s">
        <v>162</v>
      </c>
      <c r="B51" s="39">
        <v>465</v>
      </c>
      <c r="C51" s="16">
        <v>24</v>
      </c>
      <c r="D51" s="29"/>
      <c r="E51" s="30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54"/>
      <c r="AF51" s="29"/>
      <c r="AG51" s="30"/>
      <c r="AH51" s="29"/>
      <c r="AI51" s="29"/>
      <c r="AJ51" s="29"/>
      <c r="AK51" s="30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0">
        <f t="shared" si="0"/>
        <v>0</v>
      </c>
      <c r="BO51" s="20">
        <f t="shared" si="1"/>
        <v>0</v>
      </c>
      <c r="BP51" s="20">
        <f t="shared" si="2"/>
        <v>24</v>
      </c>
      <c r="BQ51" s="55">
        <f t="shared" si="8"/>
        <v>11.16</v>
      </c>
      <c r="BR51" s="56" t="s">
        <v>168</v>
      </c>
      <c r="BS51" s="33" t="s">
        <v>169</v>
      </c>
      <c r="BT51" s="61"/>
      <c r="BU51" s="35" t="s">
        <v>147</v>
      </c>
    </row>
    <row r="52" s="1" customFormat="1" customHeight="1" spans="1:73">
      <c r="A52" s="15" t="s">
        <v>176</v>
      </c>
      <c r="B52" s="15">
        <v>195</v>
      </c>
      <c r="C52" s="16">
        <v>11</v>
      </c>
      <c r="D52" s="29"/>
      <c r="E52" s="30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54"/>
      <c r="AF52" s="29"/>
      <c r="AG52" s="30"/>
      <c r="AH52" s="29"/>
      <c r="AI52" s="29"/>
      <c r="AJ52" s="29"/>
      <c r="AK52" s="30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0">
        <f t="shared" si="0"/>
        <v>0</v>
      </c>
      <c r="BO52" s="20">
        <f t="shared" si="1"/>
        <v>0</v>
      </c>
      <c r="BP52" s="20">
        <f t="shared" si="2"/>
        <v>11</v>
      </c>
      <c r="BQ52" s="51">
        <f t="shared" si="8"/>
        <v>2.145</v>
      </c>
      <c r="BR52" s="56" t="s">
        <v>177</v>
      </c>
      <c r="BS52" s="33" t="s">
        <v>178</v>
      </c>
      <c r="BT52" s="57"/>
      <c r="BU52" s="35" t="s">
        <v>96</v>
      </c>
    </row>
    <row r="53" s="1" customFormat="1" customHeight="1" spans="1:73">
      <c r="A53" s="15" t="s">
        <v>176</v>
      </c>
      <c r="B53" s="15">
        <v>265</v>
      </c>
      <c r="C53" s="16">
        <v>13.5</v>
      </c>
      <c r="D53" s="29"/>
      <c r="E53" s="30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54"/>
      <c r="AF53" s="29"/>
      <c r="AG53" s="30"/>
      <c r="AH53" s="29"/>
      <c r="AI53" s="29"/>
      <c r="AJ53" s="29"/>
      <c r="AK53" s="30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0">
        <f t="shared" si="0"/>
        <v>0</v>
      </c>
      <c r="BO53" s="20">
        <f t="shared" si="1"/>
        <v>0</v>
      </c>
      <c r="BP53" s="20">
        <f t="shared" si="2"/>
        <v>13.5</v>
      </c>
      <c r="BQ53" s="51">
        <f t="shared" si="8"/>
        <v>3.5775</v>
      </c>
      <c r="BR53" s="56" t="s">
        <v>177</v>
      </c>
      <c r="BS53" s="33" t="s">
        <v>178</v>
      </c>
      <c r="BT53" s="57"/>
      <c r="BU53" s="35" t="s">
        <v>96</v>
      </c>
    </row>
    <row r="54" s="1" customFormat="1" customHeight="1" spans="1:73">
      <c r="A54" s="15" t="s">
        <v>176</v>
      </c>
      <c r="B54" s="15">
        <v>470</v>
      </c>
      <c r="C54" s="16">
        <v>104</v>
      </c>
      <c r="D54" s="29"/>
      <c r="E54" s="30"/>
      <c r="F54" s="29"/>
      <c r="G54" s="29"/>
      <c r="H54" s="29"/>
      <c r="I54" s="29"/>
      <c r="J54" s="29"/>
      <c r="K54" s="29"/>
      <c r="L54" s="29"/>
      <c r="M54" s="29">
        <v>55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54"/>
      <c r="AF54" s="29"/>
      <c r="AG54" s="30"/>
      <c r="AH54" s="29"/>
      <c r="AI54" s="29"/>
      <c r="AJ54" s="29"/>
      <c r="AK54" s="30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0">
        <f t="shared" si="0"/>
        <v>0</v>
      </c>
      <c r="BO54" s="20">
        <f t="shared" si="1"/>
        <v>55</v>
      </c>
      <c r="BP54" s="20">
        <f t="shared" si="2"/>
        <v>49</v>
      </c>
      <c r="BQ54" s="51">
        <f t="shared" si="8"/>
        <v>23.03</v>
      </c>
      <c r="BR54" s="56" t="s">
        <v>177</v>
      </c>
      <c r="BS54" s="33" t="s">
        <v>178</v>
      </c>
      <c r="BT54" s="57"/>
      <c r="BU54" s="35" t="s">
        <v>96</v>
      </c>
    </row>
    <row r="55" s="1" customFormat="1" customHeight="1" spans="1:73">
      <c r="A55" s="28" t="s">
        <v>179</v>
      </c>
      <c r="B55" s="15" t="s">
        <v>180</v>
      </c>
      <c r="C55" s="16">
        <v>124</v>
      </c>
      <c r="D55" s="29"/>
      <c r="E55" s="30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30"/>
      <c r="AH55" s="29"/>
      <c r="AI55" s="29"/>
      <c r="AJ55" s="29"/>
      <c r="AK55" s="30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0">
        <f t="shared" si="0"/>
        <v>0</v>
      </c>
      <c r="BO55" s="20">
        <f t="shared" si="1"/>
        <v>0</v>
      </c>
      <c r="BP55" s="20">
        <f t="shared" si="2"/>
        <v>124</v>
      </c>
      <c r="BQ55" s="51">
        <f>0.44*0.22*BP55</f>
        <v>12.0032</v>
      </c>
      <c r="BR55" s="56" t="s">
        <v>181</v>
      </c>
      <c r="BS55" s="33" t="s">
        <v>182</v>
      </c>
      <c r="BT55" s="57" t="s">
        <v>183</v>
      </c>
      <c r="BU55" s="35" t="s">
        <v>96</v>
      </c>
    </row>
    <row r="56" s="1" customFormat="1" customHeight="1" spans="1:73">
      <c r="A56" s="28" t="s">
        <v>179</v>
      </c>
      <c r="B56" s="15">
        <v>300</v>
      </c>
      <c r="C56" s="16">
        <v>85</v>
      </c>
      <c r="D56" s="29"/>
      <c r="E56" s="30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30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0">
        <f t="shared" si="0"/>
        <v>0</v>
      </c>
      <c r="BO56" s="20">
        <f t="shared" si="1"/>
        <v>0</v>
      </c>
      <c r="BP56" s="20">
        <f t="shared" si="2"/>
        <v>85</v>
      </c>
      <c r="BQ56" s="51">
        <f t="shared" ref="BQ56:BQ59" si="9">B56*BP56/1000</f>
        <v>25.5</v>
      </c>
      <c r="BR56" s="56" t="s">
        <v>184</v>
      </c>
      <c r="BS56" s="33" t="s">
        <v>185</v>
      </c>
      <c r="BT56" s="57" t="s">
        <v>186</v>
      </c>
      <c r="BU56" s="35" t="s">
        <v>96</v>
      </c>
    </row>
    <row r="57" s="1" customFormat="1" customHeight="1" spans="1:73">
      <c r="A57" s="28" t="s">
        <v>179</v>
      </c>
      <c r="B57" s="15">
        <v>410</v>
      </c>
      <c r="C57" s="16">
        <v>300</v>
      </c>
      <c r="D57" s="29"/>
      <c r="E57" s="30"/>
      <c r="F57" s="29"/>
      <c r="G57" s="29"/>
      <c r="H57" s="29"/>
      <c r="I57" s="29">
        <v>110</v>
      </c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30"/>
      <c r="AH57" s="29"/>
      <c r="AI57" s="29"/>
      <c r="AJ57" s="29"/>
      <c r="AK57" s="30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0">
        <f t="shared" si="0"/>
        <v>0</v>
      </c>
      <c r="BO57" s="20">
        <f t="shared" si="1"/>
        <v>110</v>
      </c>
      <c r="BP57" s="20">
        <f t="shared" si="2"/>
        <v>190</v>
      </c>
      <c r="BQ57" s="51">
        <f t="shared" si="9"/>
        <v>77.9</v>
      </c>
      <c r="BR57" s="56" t="s">
        <v>184</v>
      </c>
      <c r="BS57" s="33" t="s">
        <v>185</v>
      </c>
      <c r="BT57" s="57" t="s">
        <v>186</v>
      </c>
      <c r="BU57" s="35" t="s">
        <v>96</v>
      </c>
    </row>
    <row r="58" s="1" customFormat="1" customHeight="1" spans="1:73">
      <c r="A58" s="65" t="s">
        <v>187</v>
      </c>
      <c r="B58" s="39">
        <v>200</v>
      </c>
      <c r="C58" s="16">
        <v>205</v>
      </c>
      <c r="D58" s="29"/>
      <c r="E58" s="30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54"/>
      <c r="AF58" s="29"/>
      <c r="AG58" s="30"/>
      <c r="AH58" s="29"/>
      <c r="AI58" s="29"/>
      <c r="AJ58" s="29"/>
      <c r="AK58" s="30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0">
        <f t="shared" si="0"/>
        <v>0</v>
      </c>
      <c r="BO58" s="20">
        <f t="shared" si="1"/>
        <v>0</v>
      </c>
      <c r="BP58" s="20">
        <f t="shared" si="2"/>
        <v>205</v>
      </c>
      <c r="BQ58" s="55">
        <f t="shared" si="9"/>
        <v>41</v>
      </c>
      <c r="BR58" s="56" t="s">
        <v>188</v>
      </c>
      <c r="BS58" s="33" t="s">
        <v>189</v>
      </c>
      <c r="BT58" s="57" t="s">
        <v>190</v>
      </c>
      <c r="BU58" s="35" t="s">
        <v>147</v>
      </c>
    </row>
    <row r="59" s="1" customFormat="1" customHeight="1" spans="1:73">
      <c r="A59" s="65" t="s">
        <v>187</v>
      </c>
      <c r="B59" s="39">
        <v>365</v>
      </c>
      <c r="C59" s="16">
        <v>40</v>
      </c>
      <c r="D59" s="29"/>
      <c r="E59" s="30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54"/>
      <c r="AF59" s="29"/>
      <c r="AG59" s="30"/>
      <c r="AH59" s="29"/>
      <c r="AI59" s="29"/>
      <c r="AJ59" s="29"/>
      <c r="AK59" s="30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0">
        <f t="shared" si="0"/>
        <v>0</v>
      </c>
      <c r="BO59" s="20">
        <f t="shared" si="1"/>
        <v>0</v>
      </c>
      <c r="BP59" s="20">
        <f t="shared" si="2"/>
        <v>40</v>
      </c>
      <c r="BQ59" s="55">
        <f t="shared" si="9"/>
        <v>14.6</v>
      </c>
      <c r="BR59" s="56" t="s">
        <v>188</v>
      </c>
      <c r="BS59" s="33" t="s">
        <v>189</v>
      </c>
      <c r="BT59" s="57" t="s">
        <v>190</v>
      </c>
      <c r="BU59" s="35" t="s">
        <v>147</v>
      </c>
    </row>
    <row r="60" s="1" customFormat="1" customHeight="1" spans="1:73">
      <c r="A60" s="65" t="s">
        <v>187</v>
      </c>
      <c r="B60" s="15" t="s">
        <v>191</v>
      </c>
      <c r="C60" s="16">
        <v>100</v>
      </c>
      <c r="D60" s="29"/>
      <c r="E60" s="30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30"/>
      <c r="AH60" s="29"/>
      <c r="AI60" s="29"/>
      <c r="AJ60" s="29"/>
      <c r="AK60" s="30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0">
        <f t="shared" si="0"/>
        <v>0</v>
      </c>
      <c r="BO60" s="20">
        <f t="shared" si="1"/>
        <v>0</v>
      </c>
      <c r="BP60" s="20">
        <f t="shared" si="2"/>
        <v>100</v>
      </c>
      <c r="BQ60" s="51">
        <f>0.31*0.435*BP60</f>
        <v>13.485</v>
      </c>
      <c r="BR60" s="56" t="s">
        <v>192</v>
      </c>
      <c r="BS60" s="33" t="s">
        <v>193</v>
      </c>
      <c r="BT60" s="57"/>
      <c r="BU60" s="35" t="s">
        <v>96</v>
      </c>
    </row>
    <row r="61" s="1" customFormat="1" customHeight="1" spans="1:73">
      <c r="A61" s="15" t="s">
        <v>194</v>
      </c>
      <c r="B61" s="15" t="s">
        <v>195</v>
      </c>
      <c r="C61" s="16">
        <v>963</v>
      </c>
      <c r="D61" s="29"/>
      <c r="E61" s="30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30"/>
      <c r="AH61" s="29"/>
      <c r="AI61" s="29"/>
      <c r="AJ61" s="29"/>
      <c r="AK61" s="30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0">
        <f t="shared" si="0"/>
        <v>0</v>
      </c>
      <c r="BO61" s="20">
        <f t="shared" si="1"/>
        <v>0</v>
      </c>
      <c r="BP61" s="20">
        <f t="shared" si="2"/>
        <v>963</v>
      </c>
      <c r="BQ61" s="51">
        <f>0.415*0.245*BP61</f>
        <v>97.913025</v>
      </c>
      <c r="BR61" s="56" t="s">
        <v>196</v>
      </c>
      <c r="BS61" s="33" t="s">
        <v>197</v>
      </c>
      <c r="BT61" s="57"/>
      <c r="BU61" s="35" t="s">
        <v>198</v>
      </c>
    </row>
    <row r="62" s="1" customFormat="1" customHeight="1" spans="1:73">
      <c r="A62" s="15" t="s">
        <v>194</v>
      </c>
      <c r="B62" s="15">
        <v>245</v>
      </c>
      <c r="C62" s="16">
        <v>40</v>
      </c>
      <c r="D62" s="29"/>
      <c r="E62" s="30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30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0">
        <f t="shared" si="0"/>
        <v>0</v>
      </c>
      <c r="BO62" s="20">
        <f t="shared" si="1"/>
        <v>0</v>
      </c>
      <c r="BP62" s="20">
        <f t="shared" si="2"/>
        <v>40</v>
      </c>
      <c r="BQ62" s="51">
        <f t="shared" ref="BQ62:BQ64" si="10">0.44*0.22*BP62</f>
        <v>3.872</v>
      </c>
      <c r="BR62" s="56" t="s">
        <v>199</v>
      </c>
      <c r="BS62" s="33" t="s">
        <v>200</v>
      </c>
      <c r="BT62" s="36"/>
      <c r="BU62" s="35" t="s">
        <v>198</v>
      </c>
    </row>
    <row r="63" s="1" customFormat="1" customHeight="1" spans="1:73">
      <c r="A63" s="15" t="s">
        <v>194</v>
      </c>
      <c r="B63" s="15">
        <v>265</v>
      </c>
      <c r="C63" s="16">
        <v>85</v>
      </c>
      <c r="D63" s="29"/>
      <c r="E63" s="30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30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0">
        <f t="shared" si="0"/>
        <v>0</v>
      </c>
      <c r="BO63" s="20">
        <f t="shared" si="1"/>
        <v>0</v>
      </c>
      <c r="BP63" s="20">
        <f t="shared" si="2"/>
        <v>85</v>
      </c>
      <c r="BQ63" s="51">
        <f t="shared" si="10"/>
        <v>8.228</v>
      </c>
      <c r="BR63" s="56" t="s">
        <v>201</v>
      </c>
      <c r="BS63" s="33" t="s">
        <v>200</v>
      </c>
      <c r="BT63" s="36"/>
      <c r="BU63" s="35" t="s">
        <v>198</v>
      </c>
    </row>
    <row r="64" s="1" customFormat="1" customHeight="1" spans="1:73">
      <c r="A64" s="15" t="s">
        <v>194</v>
      </c>
      <c r="B64" s="15">
        <v>440</v>
      </c>
      <c r="C64" s="16">
        <v>9</v>
      </c>
      <c r="D64" s="29"/>
      <c r="E64" s="30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30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0">
        <f t="shared" si="0"/>
        <v>0</v>
      </c>
      <c r="BO64" s="20">
        <f t="shared" si="1"/>
        <v>0</v>
      </c>
      <c r="BP64" s="20">
        <f t="shared" si="2"/>
        <v>9</v>
      </c>
      <c r="BQ64" s="51">
        <f t="shared" si="10"/>
        <v>0.8712</v>
      </c>
      <c r="BR64" s="56" t="s">
        <v>196</v>
      </c>
      <c r="BS64" s="33" t="s">
        <v>197</v>
      </c>
      <c r="BT64" s="36"/>
      <c r="BU64" s="35" t="s">
        <v>198</v>
      </c>
    </row>
    <row r="65" s="1" customFormat="1" customHeight="1" spans="1:73">
      <c r="A65" s="15" t="s">
        <v>202</v>
      </c>
      <c r="B65" s="15" t="s">
        <v>203</v>
      </c>
      <c r="C65" s="16">
        <v>109</v>
      </c>
      <c r="D65" s="29"/>
      <c r="E65" s="30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30"/>
      <c r="R65" s="29"/>
      <c r="S65" s="29"/>
      <c r="T65" s="29"/>
      <c r="U65" s="30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30"/>
      <c r="AH65" s="29"/>
      <c r="AI65" s="29"/>
      <c r="AJ65" s="29"/>
      <c r="AK65" s="30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0">
        <f t="shared" si="0"/>
        <v>0</v>
      </c>
      <c r="BO65" s="20">
        <f t="shared" si="1"/>
        <v>0</v>
      </c>
      <c r="BP65" s="20">
        <f t="shared" si="2"/>
        <v>109</v>
      </c>
      <c r="BQ65" s="51">
        <f>0.6*0.73*BP65</f>
        <v>47.742</v>
      </c>
      <c r="BR65" s="32" t="s">
        <v>55</v>
      </c>
      <c r="BS65" s="45" t="s">
        <v>94</v>
      </c>
      <c r="BT65" s="34" t="s">
        <v>204</v>
      </c>
      <c r="BU65" s="35" t="s">
        <v>205</v>
      </c>
    </row>
    <row r="66" s="1" customFormat="1" customHeight="1" spans="1:73">
      <c r="A66" s="66" t="s">
        <v>206</v>
      </c>
      <c r="B66" s="15" t="s">
        <v>207</v>
      </c>
      <c r="C66" s="16">
        <v>71</v>
      </c>
      <c r="D66" s="29"/>
      <c r="E66" s="30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30"/>
      <c r="Z66" s="29"/>
      <c r="AA66" s="29"/>
      <c r="AB66" s="29"/>
      <c r="AC66" s="29"/>
      <c r="AD66" s="29"/>
      <c r="AE66" s="29"/>
      <c r="AF66" s="29"/>
      <c r="AG66" s="30"/>
      <c r="AH66" s="29"/>
      <c r="AI66" s="29"/>
      <c r="AJ66" s="29"/>
      <c r="AK66" s="30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0">
        <f t="shared" si="0"/>
        <v>0</v>
      </c>
      <c r="BO66" s="20">
        <f t="shared" si="1"/>
        <v>0</v>
      </c>
      <c r="BP66" s="20">
        <f t="shared" si="2"/>
        <v>71</v>
      </c>
      <c r="BQ66" s="51">
        <f>0.39*0.165*BP66</f>
        <v>4.56885</v>
      </c>
      <c r="BR66" s="56" t="s">
        <v>208</v>
      </c>
      <c r="BS66" s="33" t="s">
        <v>209</v>
      </c>
      <c r="BT66" s="36" t="s">
        <v>210</v>
      </c>
      <c r="BU66" s="35" t="s">
        <v>211</v>
      </c>
    </row>
    <row r="67" s="1" customFormat="1" customHeight="1" spans="1:73">
      <c r="A67" s="67" t="s">
        <v>206</v>
      </c>
      <c r="B67" s="39" t="s">
        <v>212</v>
      </c>
      <c r="C67" s="29">
        <v>83</v>
      </c>
      <c r="D67" s="29"/>
      <c r="E67" s="30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30"/>
      <c r="Z67" s="29"/>
      <c r="AA67" s="29"/>
      <c r="AB67" s="29"/>
      <c r="AC67" s="29"/>
      <c r="AD67" s="29"/>
      <c r="AE67" s="29"/>
      <c r="AF67" s="29"/>
      <c r="AG67" s="30"/>
      <c r="AH67" s="29"/>
      <c r="AI67" s="29"/>
      <c r="AJ67" s="29"/>
      <c r="AK67" s="30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0">
        <f t="shared" ref="BN67:BN130" si="11">D67+F67+H67+J67+L67+N67+P67+R67+T67+V67+X67+Z67+AB67+AD67+AF67+AH67+AJ67+AL67+AN67+AP67+AR67+AT67+AV67+AX67+AZ67+BB67+BD67+BF67+BH67+BJ67+BL67</f>
        <v>0</v>
      </c>
      <c r="BO67" s="20">
        <f t="shared" ref="BO67:BO130" si="12">E67+G67+I67+K67+M67+O67+Q67+S67+U67+W67+Y67+AA67+AC67+AE67+AG67+AI67+AK67+AM67+AO67+AQ67+AS67+AU67+AW67+AY67+BA67+BC67+BE67+BG67+BI67+BK67+BM67</f>
        <v>0</v>
      </c>
      <c r="BP67" s="20">
        <f t="shared" ref="BP67:BP130" si="13">C67+BN67-BO67</f>
        <v>83</v>
      </c>
      <c r="BQ67" s="55">
        <f>0.23*0.152*BP67</f>
        <v>2.90168</v>
      </c>
      <c r="BR67" s="68" t="s">
        <v>213</v>
      </c>
      <c r="BS67" s="33" t="s">
        <v>214</v>
      </c>
      <c r="BT67" s="36" t="s">
        <v>215</v>
      </c>
      <c r="BU67" s="44" t="s">
        <v>211</v>
      </c>
    </row>
    <row r="68" s="1" customFormat="1" customHeight="1" spans="1:73">
      <c r="A68" s="67" t="s">
        <v>206</v>
      </c>
      <c r="B68" s="39" t="s">
        <v>216</v>
      </c>
      <c r="C68" s="29">
        <v>192</v>
      </c>
      <c r="D68" s="29"/>
      <c r="E68" s="30"/>
      <c r="F68" s="29"/>
      <c r="G68" s="29"/>
      <c r="H68" s="29"/>
      <c r="I68" s="29">
        <v>177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30"/>
      <c r="Z68" s="29"/>
      <c r="AA68" s="29"/>
      <c r="AB68" s="29"/>
      <c r="AC68" s="29"/>
      <c r="AD68" s="29"/>
      <c r="AE68" s="29"/>
      <c r="AF68" s="29"/>
      <c r="AG68" s="30"/>
      <c r="AH68" s="29"/>
      <c r="AI68" s="29"/>
      <c r="AJ68" s="29"/>
      <c r="AK68" s="30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0">
        <f t="shared" si="11"/>
        <v>0</v>
      </c>
      <c r="BO68" s="20">
        <f t="shared" si="12"/>
        <v>177</v>
      </c>
      <c r="BP68" s="20">
        <f t="shared" si="13"/>
        <v>15</v>
      </c>
      <c r="BQ68" s="55">
        <f>0.235*0.152*BP68</f>
        <v>0.5358</v>
      </c>
      <c r="BR68" s="68" t="s">
        <v>213</v>
      </c>
      <c r="BS68" s="33" t="s">
        <v>214</v>
      </c>
      <c r="BT68" s="36" t="s">
        <v>217</v>
      </c>
      <c r="BU68" s="44" t="s">
        <v>211</v>
      </c>
    </row>
    <row r="69" s="1" customFormat="1" customHeight="1" spans="1:73">
      <c r="A69" s="66" t="s">
        <v>206</v>
      </c>
      <c r="B69" s="15" t="s">
        <v>218</v>
      </c>
      <c r="C69" s="16">
        <v>8</v>
      </c>
      <c r="D69" s="29"/>
      <c r="E69" s="30"/>
      <c r="F69" s="29"/>
      <c r="G69" s="29"/>
      <c r="H69" s="29"/>
      <c r="I69" s="29"/>
      <c r="J69" s="29"/>
      <c r="K69" s="29"/>
      <c r="L69" s="29"/>
      <c r="M69" s="29">
        <v>1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30"/>
      <c r="Z69" s="29"/>
      <c r="AA69" s="29"/>
      <c r="AB69" s="29"/>
      <c r="AC69" s="29"/>
      <c r="AD69" s="29"/>
      <c r="AE69" s="29"/>
      <c r="AF69" s="29"/>
      <c r="AG69" s="30"/>
      <c r="AH69" s="29"/>
      <c r="AI69" s="29"/>
      <c r="AJ69" s="29"/>
      <c r="AK69" s="30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0">
        <f t="shared" si="11"/>
        <v>0</v>
      </c>
      <c r="BO69" s="20">
        <f t="shared" si="12"/>
        <v>1</v>
      </c>
      <c r="BP69" s="20">
        <f t="shared" si="13"/>
        <v>7</v>
      </c>
      <c r="BQ69" s="51">
        <f>0.465*0.366*BP69</f>
        <v>1.19133</v>
      </c>
      <c r="BR69" s="56" t="s">
        <v>219</v>
      </c>
      <c r="BS69" s="33" t="s">
        <v>220</v>
      </c>
      <c r="BT69" s="36" t="s">
        <v>221</v>
      </c>
      <c r="BU69" s="35" t="s">
        <v>211</v>
      </c>
    </row>
    <row r="70" s="1" customFormat="1" customHeight="1" spans="1:73">
      <c r="A70" s="66" t="s">
        <v>222</v>
      </c>
      <c r="B70" s="15" t="s">
        <v>223</v>
      </c>
      <c r="C70" s="16">
        <v>150</v>
      </c>
      <c r="D70" s="29"/>
      <c r="E70" s="30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30"/>
      <c r="Z70" s="29"/>
      <c r="AA70" s="29"/>
      <c r="AB70" s="29"/>
      <c r="AC70" s="29"/>
      <c r="AD70" s="29"/>
      <c r="AE70" s="29"/>
      <c r="AF70" s="29"/>
      <c r="AG70" s="30"/>
      <c r="AH70" s="29"/>
      <c r="AI70" s="29"/>
      <c r="AJ70" s="29"/>
      <c r="AK70" s="30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0">
        <f t="shared" si="11"/>
        <v>0</v>
      </c>
      <c r="BO70" s="20">
        <f t="shared" si="12"/>
        <v>0</v>
      </c>
      <c r="BP70" s="20">
        <f t="shared" si="13"/>
        <v>150</v>
      </c>
      <c r="BQ70" s="51">
        <f>0.366*0.31*BP70</f>
        <v>17.019</v>
      </c>
      <c r="BR70" s="56" t="s">
        <v>170</v>
      </c>
      <c r="BS70" s="33" t="s">
        <v>171</v>
      </c>
      <c r="BT70" s="36" t="s">
        <v>224</v>
      </c>
      <c r="BU70" s="35" t="s">
        <v>211</v>
      </c>
    </row>
    <row r="71" s="1" customFormat="1" customHeight="1" spans="1:73">
      <c r="A71" s="69" t="s">
        <v>225</v>
      </c>
      <c r="B71" s="15" t="s">
        <v>226</v>
      </c>
      <c r="C71" s="16">
        <v>135</v>
      </c>
      <c r="D71" s="29"/>
      <c r="E71" s="30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30"/>
      <c r="R71" s="29"/>
      <c r="S71" s="29"/>
      <c r="T71" s="29"/>
      <c r="U71" s="30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0">
        <f t="shared" si="11"/>
        <v>0</v>
      </c>
      <c r="BO71" s="20">
        <f t="shared" si="12"/>
        <v>0</v>
      </c>
      <c r="BP71" s="20">
        <f t="shared" si="13"/>
        <v>135</v>
      </c>
      <c r="BQ71" s="51">
        <f>0.405*0.31*BP71</f>
        <v>16.94925</v>
      </c>
      <c r="BR71" s="32" t="s">
        <v>227</v>
      </c>
      <c r="BS71" s="33" t="s">
        <v>228</v>
      </c>
      <c r="BT71" s="34" t="s">
        <v>229</v>
      </c>
      <c r="BU71" s="35" t="s">
        <v>205</v>
      </c>
    </row>
    <row r="72" s="1" customFormat="1" customHeight="1" spans="1:73">
      <c r="A72" s="69" t="s">
        <v>225</v>
      </c>
      <c r="B72" s="15" t="s">
        <v>230</v>
      </c>
      <c r="C72" s="16">
        <v>166</v>
      </c>
      <c r="D72" s="29"/>
      <c r="E72" s="30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30"/>
      <c r="R72" s="29"/>
      <c r="S72" s="29"/>
      <c r="T72" s="29"/>
      <c r="U72" s="30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30"/>
      <c r="AH72" s="29"/>
      <c r="AI72" s="29"/>
      <c r="AJ72" s="29"/>
      <c r="AK72" s="30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0">
        <f t="shared" si="11"/>
        <v>0</v>
      </c>
      <c r="BO72" s="20">
        <f t="shared" si="12"/>
        <v>0</v>
      </c>
      <c r="BP72" s="20">
        <f t="shared" si="13"/>
        <v>166</v>
      </c>
      <c r="BQ72" s="51">
        <f>0.31*0.21*BP72</f>
        <v>10.8066</v>
      </c>
      <c r="BR72" s="32" t="s">
        <v>227</v>
      </c>
      <c r="BS72" s="33" t="s">
        <v>228</v>
      </c>
      <c r="BT72" s="34" t="s">
        <v>229</v>
      </c>
      <c r="BU72" s="35" t="s">
        <v>205</v>
      </c>
    </row>
    <row r="73" s="1" customFormat="1" customHeight="1" spans="1:73">
      <c r="A73" s="66" t="s">
        <v>231</v>
      </c>
      <c r="B73" s="15"/>
      <c r="C73" s="16"/>
      <c r="D73" s="29"/>
      <c r="E73" s="30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30"/>
      <c r="Z73" s="29"/>
      <c r="AA73" s="29"/>
      <c r="AB73" s="29"/>
      <c r="AC73" s="29"/>
      <c r="AD73" s="29"/>
      <c r="AE73" s="29"/>
      <c r="AF73" s="29"/>
      <c r="AG73" s="30"/>
      <c r="AH73" s="29"/>
      <c r="AI73" s="29"/>
      <c r="AJ73" s="29"/>
      <c r="AK73" s="30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0">
        <f t="shared" si="11"/>
        <v>0</v>
      </c>
      <c r="BO73" s="20">
        <f t="shared" si="12"/>
        <v>0</v>
      </c>
      <c r="BP73" s="20">
        <f t="shared" si="13"/>
        <v>0</v>
      </c>
      <c r="BQ73" s="51"/>
      <c r="BR73" s="56"/>
      <c r="BS73" s="33"/>
      <c r="BT73" s="34"/>
      <c r="BU73" s="35"/>
    </row>
    <row r="74" s="1" customFormat="1" customHeight="1" spans="1:73">
      <c r="A74" s="28" t="s">
        <v>232</v>
      </c>
      <c r="B74" s="15" t="s">
        <v>233</v>
      </c>
      <c r="C74" s="16">
        <v>96.5</v>
      </c>
      <c r="D74" s="29"/>
      <c r="E74" s="30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30"/>
      <c r="AH74" s="29"/>
      <c r="AI74" s="30"/>
      <c r="AJ74" s="29"/>
      <c r="AK74" s="30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0">
        <f t="shared" si="11"/>
        <v>0</v>
      </c>
      <c r="BO74" s="20">
        <f t="shared" si="12"/>
        <v>0</v>
      </c>
      <c r="BP74" s="20">
        <f t="shared" si="13"/>
        <v>96.5</v>
      </c>
      <c r="BQ74" s="51">
        <f>0.232*0.09*BP74</f>
        <v>2.01492</v>
      </c>
      <c r="BR74" s="56" t="s">
        <v>148</v>
      </c>
      <c r="BS74" s="70" t="s">
        <v>149</v>
      </c>
      <c r="BT74" s="57"/>
      <c r="BU74" s="35" t="s">
        <v>234</v>
      </c>
    </row>
    <row r="75" s="1" customFormat="1" customHeight="1" spans="1:73">
      <c r="A75" s="28" t="s">
        <v>232</v>
      </c>
      <c r="B75" s="15" t="s">
        <v>235</v>
      </c>
      <c r="C75" s="16">
        <v>16</v>
      </c>
      <c r="D75" s="29"/>
      <c r="E75" s="30"/>
      <c r="F75" s="29"/>
      <c r="G75" s="30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30"/>
      <c r="AH75" s="29"/>
      <c r="AI75" s="30"/>
      <c r="AJ75" s="29"/>
      <c r="AK75" s="30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0">
        <f t="shared" si="11"/>
        <v>0</v>
      </c>
      <c r="BO75" s="20">
        <f t="shared" si="12"/>
        <v>0</v>
      </c>
      <c r="BP75" s="20">
        <f t="shared" si="13"/>
        <v>16</v>
      </c>
      <c r="BQ75" s="51">
        <f>0.232*0.232*BP75</f>
        <v>0.861184</v>
      </c>
      <c r="BR75" s="56" t="s">
        <v>201</v>
      </c>
      <c r="BS75" s="70" t="s">
        <v>200</v>
      </c>
      <c r="BT75" s="57" t="s">
        <v>236</v>
      </c>
      <c r="BU75" s="35" t="s">
        <v>234</v>
      </c>
    </row>
    <row r="76" s="1" customFormat="1" customHeight="1" spans="1:73">
      <c r="A76" s="28" t="s">
        <v>232</v>
      </c>
      <c r="B76" s="15" t="s">
        <v>237</v>
      </c>
      <c r="C76" s="16">
        <v>313</v>
      </c>
      <c r="D76" s="29"/>
      <c r="E76" s="30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30"/>
      <c r="AH76" s="29"/>
      <c r="AI76" s="30"/>
      <c r="AJ76" s="29"/>
      <c r="AK76" s="30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0">
        <f t="shared" si="11"/>
        <v>0</v>
      </c>
      <c r="BO76" s="20">
        <f t="shared" si="12"/>
        <v>0</v>
      </c>
      <c r="BP76" s="20">
        <f t="shared" si="13"/>
        <v>313</v>
      </c>
      <c r="BQ76" s="51">
        <f>0.366*0.141*BP76</f>
        <v>16.152678</v>
      </c>
      <c r="BR76" s="56" t="s">
        <v>238</v>
      </c>
      <c r="BS76" s="70" t="s">
        <v>239</v>
      </c>
      <c r="BT76" s="57" t="s">
        <v>240</v>
      </c>
      <c r="BU76" s="35" t="s">
        <v>234</v>
      </c>
    </row>
    <row r="77" s="1" customFormat="1" customHeight="1" spans="1:73">
      <c r="A77" s="28" t="s">
        <v>232</v>
      </c>
      <c r="B77" s="15" t="s">
        <v>241</v>
      </c>
      <c r="C77" s="16">
        <v>423</v>
      </c>
      <c r="D77" s="29"/>
      <c r="E77" s="30"/>
      <c r="F77" s="29"/>
      <c r="G77" s="29"/>
      <c r="H77" s="29"/>
      <c r="I77" s="29">
        <v>142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30"/>
      <c r="AH77" s="29"/>
      <c r="AI77" s="30"/>
      <c r="AJ77" s="29"/>
      <c r="AK77" s="30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0">
        <f t="shared" si="11"/>
        <v>0</v>
      </c>
      <c r="BO77" s="20">
        <f t="shared" si="12"/>
        <v>142</v>
      </c>
      <c r="BP77" s="20">
        <f t="shared" si="13"/>
        <v>281</v>
      </c>
      <c r="BQ77" s="51">
        <f>0.33*0.185*BP77</f>
        <v>17.15505</v>
      </c>
      <c r="BR77" s="56" t="s">
        <v>242</v>
      </c>
      <c r="BS77" s="70" t="s">
        <v>89</v>
      </c>
      <c r="BT77" s="57"/>
      <c r="BU77" s="35" t="s">
        <v>234</v>
      </c>
    </row>
    <row r="78" s="1" customFormat="1" customHeight="1" spans="1:73">
      <c r="A78" s="28" t="s">
        <v>232</v>
      </c>
      <c r="B78" s="15" t="s">
        <v>243</v>
      </c>
      <c r="C78" s="16">
        <v>280</v>
      </c>
      <c r="D78" s="29"/>
      <c r="E78" s="30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30"/>
      <c r="AH78" s="29"/>
      <c r="AI78" s="30"/>
      <c r="AJ78" s="29"/>
      <c r="AK78" s="30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0">
        <f t="shared" si="11"/>
        <v>0</v>
      </c>
      <c r="BO78" s="20">
        <f t="shared" si="12"/>
        <v>0</v>
      </c>
      <c r="BP78" s="20">
        <f t="shared" si="13"/>
        <v>280</v>
      </c>
      <c r="BQ78" s="51">
        <f>0.33*0.186*BP78</f>
        <v>17.1864</v>
      </c>
      <c r="BR78" s="56" t="s">
        <v>244</v>
      </c>
      <c r="BS78" s="70" t="s">
        <v>245</v>
      </c>
      <c r="BT78" s="57"/>
      <c r="BU78" s="35" t="s">
        <v>234</v>
      </c>
    </row>
    <row r="79" s="1" customFormat="1" customHeight="1" spans="1:73">
      <c r="A79" s="28" t="s">
        <v>232</v>
      </c>
      <c r="B79" s="15" t="s">
        <v>246</v>
      </c>
      <c r="C79" s="16">
        <v>2</v>
      </c>
      <c r="D79" s="29"/>
      <c r="E79" s="30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30"/>
      <c r="AH79" s="29"/>
      <c r="AI79" s="30"/>
      <c r="AJ79" s="29"/>
      <c r="AK79" s="30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0">
        <f t="shared" si="11"/>
        <v>0</v>
      </c>
      <c r="BO79" s="20">
        <f t="shared" si="12"/>
        <v>0</v>
      </c>
      <c r="BP79" s="20">
        <f t="shared" si="13"/>
        <v>2</v>
      </c>
      <c r="BQ79" s="51">
        <f>0.465*0.457*BP79</f>
        <v>0.42501</v>
      </c>
      <c r="BR79" s="56" t="s">
        <v>247</v>
      </c>
      <c r="BS79" s="70" t="s">
        <v>248</v>
      </c>
      <c r="BT79" s="57"/>
      <c r="BU79" s="35" t="s">
        <v>234</v>
      </c>
    </row>
    <row r="80" s="1" customFormat="1" customHeight="1" spans="1:73">
      <c r="A80" s="28" t="s">
        <v>249</v>
      </c>
      <c r="B80" s="15" t="s">
        <v>250</v>
      </c>
      <c r="C80" s="16">
        <v>45</v>
      </c>
      <c r="D80" s="29"/>
      <c r="E80" s="30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30"/>
      <c r="AH80" s="29"/>
      <c r="AI80" s="30"/>
      <c r="AJ80" s="29"/>
      <c r="AK80" s="30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0">
        <f t="shared" si="11"/>
        <v>0</v>
      </c>
      <c r="BO80" s="20">
        <f t="shared" si="12"/>
        <v>0</v>
      </c>
      <c r="BP80" s="20">
        <f t="shared" si="13"/>
        <v>45</v>
      </c>
      <c r="BQ80" s="51">
        <f>0.185*0.31*BP80</f>
        <v>2.58075</v>
      </c>
      <c r="BR80" s="56" t="s">
        <v>251</v>
      </c>
      <c r="BS80" s="70" t="s">
        <v>252</v>
      </c>
      <c r="BT80" s="57" t="s">
        <v>253</v>
      </c>
      <c r="BU80" s="35" t="s">
        <v>234</v>
      </c>
    </row>
    <row r="81" s="1" customFormat="1" customHeight="1" spans="1:73">
      <c r="A81" s="28" t="s">
        <v>249</v>
      </c>
      <c r="B81" s="15" t="s">
        <v>254</v>
      </c>
      <c r="C81" s="16">
        <v>77</v>
      </c>
      <c r="D81" s="29"/>
      <c r="E81" s="30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30"/>
      <c r="AH81" s="29"/>
      <c r="AI81" s="30"/>
      <c r="AJ81" s="29"/>
      <c r="AK81" s="30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0">
        <f t="shared" si="11"/>
        <v>0</v>
      </c>
      <c r="BO81" s="20">
        <f t="shared" si="12"/>
        <v>0</v>
      </c>
      <c r="BP81" s="20">
        <f t="shared" si="13"/>
        <v>77</v>
      </c>
      <c r="BQ81" s="51">
        <f>0.235*0.31*BP81</f>
        <v>5.60945</v>
      </c>
      <c r="BR81" s="56" t="s">
        <v>251</v>
      </c>
      <c r="BS81" s="70" t="s">
        <v>252</v>
      </c>
      <c r="BT81" s="57" t="s">
        <v>253</v>
      </c>
      <c r="BU81" s="35" t="s">
        <v>234</v>
      </c>
    </row>
    <row r="82" s="1" customFormat="1" customHeight="1" spans="1:73">
      <c r="A82" s="69" t="s">
        <v>255</v>
      </c>
      <c r="B82" s="15" t="s">
        <v>256</v>
      </c>
      <c r="C82" s="16">
        <v>198</v>
      </c>
      <c r="D82" s="29"/>
      <c r="E82" s="30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30"/>
      <c r="AH82" s="29"/>
      <c r="AI82" s="30"/>
      <c r="AJ82" s="29"/>
      <c r="AK82" s="30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0">
        <f t="shared" si="11"/>
        <v>0</v>
      </c>
      <c r="BO82" s="20">
        <f t="shared" si="12"/>
        <v>0</v>
      </c>
      <c r="BP82" s="20">
        <f t="shared" si="13"/>
        <v>198</v>
      </c>
      <c r="BQ82" s="51">
        <f>0.31*0.166*BP82</f>
        <v>10.18908</v>
      </c>
      <c r="BR82" s="56" t="s">
        <v>257</v>
      </c>
      <c r="BS82" s="70" t="s">
        <v>258</v>
      </c>
      <c r="BT82" s="57"/>
      <c r="BU82" s="35" t="s">
        <v>234</v>
      </c>
    </row>
    <row r="83" s="1" customFormat="1" customHeight="1" spans="1:73">
      <c r="A83" s="28" t="s">
        <v>259</v>
      </c>
      <c r="B83" s="15" t="s">
        <v>260</v>
      </c>
      <c r="C83" s="16">
        <v>546</v>
      </c>
      <c r="D83" s="29"/>
      <c r="E83" s="3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30"/>
      <c r="AH83" s="29"/>
      <c r="AI83" s="30"/>
      <c r="AJ83" s="29"/>
      <c r="AK83" s="30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0">
        <f t="shared" si="11"/>
        <v>0</v>
      </c>
      <c r="BO83" s="20">
        <f t="shared" si="12"/>
        <v>0</v>
      </c>
      <c r="BP83" s="20">
        <f t="shared" si="13"/>
        <v>546</v>
      </c>
      <c r="BQ83" s="51">
        <f>0.258*0.24*BP83</f>
        <v>33.80832</v>
      </c>
      <c r="BR83" s="56" t="s">
        <v>261</v>
      </c>
      <c r="BS83" s="70" t="s">
        <v>262</v>
      </c>
      <c r="BT83" s="57"/>
      <c r="BU83" s="35" t="s">
        <v>234</v>
      </c>
    </row>
    <row r="84" s="1" customFormat="1" customHeight="1" spans="1:73">
      <c r="A84" s="28" t="s">
        <v>263</v>
      </c>
      <c r="B84" s="15" t="s">
        <v>264</v>
      </c>
      <c r="C84" s="16">
        <v>15</v>
      </c>
      <c r="D84" s="29"/>
      <c r="E84" s="30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30"/>
      <c r="AH84" s="29"/>
      <c r="AI84" s="30"/>
      <c r="AJ84" s="29"/>
      <c r="AK84" s="30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0">
        <f t="shared" si="11"/>
        <v>0</v>
      </c>
      <c r="BO84" s="20">
        <f t="shared" si="12"/>
        <v>0</v>
      </c>
      <c r="BP84" s="20">
        <f t="shared" si="13"/>
        <v>15</v>
      </c>
      <c r="BQ84" s="51">
        <f>0.228*0.203*BP84</f>
        <v>0.69426</v>
      </c>
      <c r="BR84" s="56" t="s">
        <v>265</v>
      </c>
      <c r="BS84" s="70" t="s">
        <v>266</v>
      </c>
      <c r="BT84" s="57" t="s">
        <v>267</v>
      </c>
      <c r="BU84" s="35" t="s">
        <v>234</v>
      </c>
    </row>
    <row r="85" s="1" customFormat="1" customHeight="1" spans="1:73">
      <c r="A85" s="37" t="s">
        <v>268</v>
      </c>
      <c r="B85" s="15" t="s">
        <v>269</v>
      </c>
      <c r="C85" s="16">
        <v>8</v>
      </c>
      <c r="D85" s="29"/>
      <c r="E85" s="3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30"/>
      <c r="AH85" s="29"/>
      <c r="AI85" s="29"/>
      <c r="AJ85" s="29"/>
      <c r="AK85" s="30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0">
        <f t="shared" si="11"/>
        <v>0</v>
      </c>
      <c r="BO85" s="20">
        <f t="shared" si="12"/>
        <v>0</v>
      </c>
      <c r="BP85" s="20">
        <f t="shared" si="13"/>
        <v>8</v>
      </c>
      <c r="BQ85" s="51">
        <f>0.315*0.25*BP85</f>
        <v>0.63</v>
      </c>
      <c r="BR85" s="56" t="s">
        <v>270</v>
      </c>
      <c r="BS85" s="33" t="s">
        <v>51</v>
      </c>
      <c r="BT85" s="36"/>
      <c r="BU85" s="35" t="s">
        <v>234</v>
      </c>
    </row>
    <row r="86" s="1" customFormat="1" customHeight="1" spans="1:73">
      <c r="A86" s="66" t="s">
        <v>271</v>
      </c>
      <c r="B86" s="15">
        <v>410</v>
      </c>
      <c r="C86" s="16">
        <v>48.5</v>
      </c>
      <c r="D86" s="29"/>
      <c r="E86" s="30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30"/>
      <c r="AH86" s="29"/>
      <c r="AI86" s="29"/>
      <c r="AJ86" s="29"/>
      <c r="AK86" s="30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0">
        <f t="shared" si="11"/>
        <v>0</v>
      </c>
      <c r="BO86" s="20">
        <f t="shared" si="12"/>
        <v>0</v>
      </c>
      <c r="BP86" s="20">
        <f t="shared" si="13"/>
        <v>48.5</v>
      </c>
      <c r="BQ86" s="51">
        <f>B86*BP86/1000</f>
        <v>19.885</v>
      </c>
      <c r="BR86" s="71" t="s">
        <v>272</v>
      </c>
      <c r="BS86" s="33" t="s">
        <v>51</v>
      </c>
      <c r="BT86" s="36"/>
      <c r="BU86" s="72" t="s">
        <v>273</v>
      </c>
    </row>
    <row r="87" s="1" customFormat="1" customHeight="1" spans="1:73">
      <c r="A87" s="28" t="s">
        <v>274</v>
      </c>
      <c r="B87" s="15" t="s">
        <v>275</v>
      </c>
      <c r="C87" s="16">
        <v>150</v>
      </c>
      <c r="D87" s="29"/>
      <c r="E87" s="3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30"/>
      <c r="AH87" s="29"/>
      <c r="AI87" s="29"/>
      <c r="AJ87" s="29"/>
      <c r="AK87" s="30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0">
        <f t="shared" si="11"/>
        <v>0</v>
      </c>
      <c r="BO87" s="20">
        <f t="shared" si="12"/>
        <v>0</v>
      </c>
      <c r="BP87" s="20">
        <f t="shared" si="13"/>
        <v>150</v>
      </c>
      <c r="BQ87" s="51">
        <f>0.048*0.354*BP87</f>
        <v>2.5488</v>
      </c>
      <c r="BR87" s="32" t="s">
        <v>55</v>
      </c>
      <c r="BS87" s="33" t="s">
        <v>51</v>
      </c>
      <c r="BT87" s="34" t="s">
        <v>276</v>
      </c>
      <c r="BU87" s="35" t="s">
        <v>234</v>
      </c>
    </row>
    <row r="88" s="1" customFormat="1" customHeight="1" spans="1:73">
      <c r="A88" s="28" t="s">
        <v>277</v>
      </c>
      <c r="B88" s="15" t="s">
        <v>278</v>
      </c>
      <c r="C88" s="16">
        <v>43</v>
      </c>
      <c r="D88" s="29"/>
      <c r="E88" s="30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30"/>
      <c r="AH88" s="29"/>
      <c r="AI88" s="29"/>
      <c r="AJ88" s="29"/>
      <c r="AK88" s="30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0">
        <f t="shared" si="11"/>
        <v>0</v>
      </c>
      <c r="BO88" s="20">
        <f t="shared" si="12"/>
        <v>0</v>
      </c>
      <c r="BP88" s="20">
        <f t="shared" si="13"/>
        <v>43</v>
      </c>
      <c r="BQ88" s="51">
        <f>0.047*0.366*BP88</f>
        <v>0.739686</v>
      </c>
      <c r="BR88" s="32" t="s">
        <v>55</v>
      </c>
      <c r="BS88" s="33" t="s">
        <v>51</v>
      </c>
      <c r="BT88" s="34" t="s">
        <v>276</v>
      </c>
      <c r="BU88" s="35" t="s">
        <v>234</v>
      </c>
    </row>
    <row r="89" s="1" customFormat="1" customHeight="1" spans="1:73">
      <c r="A89" s="28" t="s">
        <v>277</v>
      </c>
      <c r="B89" s="15" t="s">
        <v>279</v>
      </c>
      <c r="C89" s="16">
        <v>58</v>
      </c>
      <c r="D89" s="29"/>
      <c r="E89" s="30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30"/>
      <c r="AH89" s="29"/>
      <c r="AI89" s="29"/>
      <c r="AJ89" s="29"/>
      <c r="AK89" s="30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0">
        <f t="shared" si="11"/>
        <v>0</v>
      </c>
      <c r="BO89" s="20">
        <f t="shared" si="12"/>
        <v>0</v>
      </c>
      <c r="BP89" s="20">
        <f t="shared" si="13"/>
        <v>58</v>
      </c>
      <c r="BQ89" s="51">
        <f>0.27*0.14*BP89</f>
        <v>2.1924</v>
      </c>
      <c r="BR89" s="32" t="s">
        <v>280</v>
      </c>
      <c r="BS89" s="70" t="s">
        <v>281</v>
      </c>
      <c r="BT89" s="34"/>
      <c r="BU89" s="35" t="s">
        <v>234</v>
      </c>
    </row>
    <row r="90" s="1" customFormat="1" customHeight="1" spans="1:73">
      <c r="A90" s="28" t="s">
        <v>277</v>
      </c>
      <c r="B90" s="15" t="s">
        <v>282</v>
      </c>
      <c r="C90" s="16">
        <v>160</v>
      </c>
      <c r="D90" s="29"/>
      <c r="E90" s="30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30"/>
      <c r="AH90" s="29"/>
      <c r="AI90" s="29"/>
      <c r="AJ90" s="29"/>
      <c r="AK90" s="30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0">
        <f t="shared" si="11"/>
        <v>0</v>
      </c>
      <c r="BO90" s="20">
        <f t="shared" si="12"/>
        <v>0</v>
      </c>
      <c r="BP90" s="20">
        <f t="shared" si="13"/>
        <v>160</v>
      </c>
      <c r="BQ90" s="51">
        <f>0.365*0.21*BP90</f>
        <v>12.264</v>
      </c>
      <c r="BR90" s="32" t="s">
        <v>188</v>
      </c>
      <c r="BS90" s="70" t="s">
        <v>189</v>
      </c>
      <c r="BT90" s="34"/>
      <c r="BU90" s="35" t="s">
        <v>234</v>
      </c>
    </row>
    <row r="91" s="1" customFormat="1" customHeight="1" spans="1:73">
      <c r="A91" s="28" t="s">
        <v>277</v>
      </c>
      <c r="B91" s="15" t="s">
        <v>283</v>
      </c>
      <c r="C91" s="16">
        <v>35</v>
      </c>
      <c r="D91" s="29"/>
      <c r="E91" s="30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0"/>
      <c r="AH91" s="29"/>
      <c r="AI91" s="29"/>
      <c r="AJ91" s="29"/>
      <c r="AK91" s="30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0">
        <f t="shared" si="11"/>
        <v>0</v>
      </c>
      <c r="BO91" s="20">
        <f t="shared" si="12"/>
        <v>0</v>
      </c>
      <c r="BP91" s="20">
        <f t="shared" si="13"/>
        <v>35</v>
      </c>
      <c r="BQ91" s="51">
        <f>0.3*0.2*BP91</f>
        <v>2.1</v>
      </c>
      <c r="BR91" s="32" t="s">
        <v>188</v>
      </c>
      <c r="BS91" s="70" t="s">
        <v>189</v>
      </c>
      <c r="BT91" s="34" t="s">
        <v>284</v>
      </c>
      <c r="BU91" s="35" t="s">
        <v>234</v>
      </c>
    </row>
    <row r="92" s="1" customFormat="1" customHeight="1" spans="1:73">
      <c r="A92" s="28" t="s">
        <v>277</v>
      </c>
      <c r="B92" s="15" t="s">
        <v>285</v>
      </c>
      <c r="C92" s="16">
        <v>576</v>
      </c>
      <c r="D92" s="29"/>
      <c r="E92" s="30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30"/>
      <c r="AH92" s="29"/>
      <c r="AI92" s="29"/>
      <c r="AJ92" s="29"/>
      <c r="AK92" s="30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0">
        <f t="shared" si="11"/>
        <v>0</v>
      </c>
      <c r="BO92" s="20">
        <f t="shared" si="12"/>
        <v>0</v>
      </c>
      <c r="BP92" s="20">
        <f t="shared" si="13"/>
        <v>576</v>
      </c>
      <c r="BQ92" s="51">
        <f>0.27*0.366*BP92</f>
        <v>56.92032</v>
      </c>
      <c r="BR92" s="32" t="s">
        <v>261</v>
      </c>
      <c r="BS92" s="70" t="s">
        <v>189</v>
      </c>
      <c r="BT92" s="34" t="s">
        <v>286</v>
      </c>
      <c r="BU92" s="35" t="s">
        <v>234</v>
      </c>
    </row>
    <row r="93" s="1" customFormat="1" customHeight="1" spans="1:73">
      <c r="A93" s="62" t="s">
        <v>277</v>
      </c>
      <c r="B93" s="58" t="s">
        <v>287</v>
      </c>
      <c r="C93" s="16">
        <v>56</v>
      </c>
      <c r="D93" s="29"/>
      <c r="E93" s="30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30"/>
      <c r="AH93" s="29"/>
      <c r="AI93" s="29"/>
      <c r="AJ93" s="29"/>
      <c r="AK93" s="30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0">
        <f t="shared" si="11"/>
        <v>0</v>
      </c>
      <c r="BO93" s="20">
        <f t="shared" si="12"/>
        <v>0</v>
      </c>
      <c r="BP93" s="20">
        <f t="shared" si="13"/>
        <v>56</v>
      </c>
      <c r="BQ93" s="51">
        <f>0.261*0.105*BP93</f>
        <v>1.53468</v>
      </c>
      <c r="BR93" s="32" t="s">
        <v>288</v>
      </c>
      <c r="BS93" s="70" t="s">
        <v>289</v>
      </c>
      <c r="BT93" s="73" t="s">
        <v>290</v>
      </c>
      <c r="BU93" s="35" t="s">
        <v>234</v>
      </c>
    </row>
    <row r="94" s="1" customFormat="1" customHeight="1" spans="1:73">
      <c r="A94" s="62" t="s">
        <v>277</v>
      </c>
      <c r="B94" s="58" t="s">
        <v>291</v>
      </c>
      <c r="C94" s="16">
        <v>24</v>
      </c>
      <c r="D94" s="29"/>
      <c r="E94" s="30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0"/>
      <c r="AH94" s="29"/>
      <c r="AI94" s="29"/>
      <c r="AJ94" s="29"/>
      <c r="AK94" s="30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0">
        <f t="shared" si="11"/>
        <v>0</v>
      </c>
      <c r="BO94" s="20">
        <f t="shared" si="12"/>
        <v>0</v>
      </c>
      <c r="BP94" s="20">
        <f t="shared" si="13"/>
        <v>24</v>
      </c>
      <c r="BQ94" s="51">
        <f>0.31*0.261*BP94</f>
        <v>1.94184</v>
      </c>
      <c r="BR94" s="32" t="s">
        <v>288</v>
      </c>
      <c r="BS94" s="70" t="s">
        <v>289</v>
      </c>
      <c r="BT94" s="73" t="s">
        <v>290</v>
      </c>
      <c r="BU94" s="35" t="s">
        <v>234</v>
      </c>
    </row>
    <row r="95" s="1" customFormat="1" customHeight="1" spans="1:73">
      <c r="A95" s="28" t="s">
        <v>277</v>
      </c>
      <c r="B95" s="15" t="s">
        <v>292</v>
      </c>
      <c r="C95" s="16">
        <v>200</v>
      </c>
      <c r="D95" s="29"/>
      <c r="E95" s="30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0"/>
      <c r="AH95" s="29"/>
      <c r="AI95" s="29"/>
      <c r="AJ95" s="29"/>
      <c r="AK95" s="30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0">
        <f t="shared" si="11"/>
        <v>0</v>
      </c>
      <c r="BO95" s="20">
        <f t="shared" si="12"/>
        <v>0</v>
      </c>
      <c r="BP95" s="20">
        <f t="shared" si="13"/>
        <v>200</v>
      </c>
      <c r="BQ95" s="51">
        <f>0.12*0.366*BP95</f>
        <v>8.784</v>
      </c>
      <c r="BR95" s="32" t="s">
        <v>251</v>
      </c>
      <c r="BS95" s="70" t="s">
        <v>252</v>
      </c>
      <c r="BT95" s="34"/>
      <c r="BU95" s="35" t="s">
        <v>234</v>
      </c>
    </row>
    <row r="96" s="1" customFormat="1" customHeight="1" spans="1:73">
      <c r="A96" s="15" t="s">
        <v>293</v>
      </c>
      <c r="B96" s="15" t="s">
        <v>294</v>
      </c>
      <c r="C96" s="16">
        <v>389</v>
      </c>
      <c r="D96" s="29"/>
      <c r="E96" s="30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30"/>
      <c r="AH96" s="29"/>
      <c r="AI96" s="29"/>
      <c r="AJ96" s="29"/>
      <c r="AK96" s="30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0">
        <f t="shared" si="11"/>
        <v>0</v>
      </c>
      <c r="BO96" s="20">
        <f t="shared" si="12"/>
        <v>0</v>
      </c>
      <c r="BP96" s="20">
        <f t="shared" si="13"/>
        <v>389</v>
      </c>
      <c r="BQ96" s="51">
        <f>0.12*0.366*BP96</f>
        <v>17.08488</v>
      </c>
      <c r="BR96" s="32" t="s">
        <v>295</v>
      </c>
      <c r="BS96" s="33" t="s">
        <v>296</v>
      </c>
      <c r="BT96" s="34"/>
      <c r="BU96" s="35" t="s">
        <v>234</v>
      </c>
    </row>
    <row r="97" s="1" customFormat="1" customHeight="1" spans="1:73">
      <c r="A97" s="15" t="s">
        <v>293</v>
      </c>
      <c r="B97" s="15" t="s">
        <v>297</v>
      </c>
      <c r="C97" s="16">
        <v>12</v>
      </c>
      <c r="D97" s="29"/>
      <c r="E97" s="30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30"/>
      <c r="AH97" s="29"/>
      <c r="AI97" s="29"/>
      <c r="AJ97" s="29"/>
      <c r="AK97" s="30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0">
        <f t="shared" si="11"/>
        <v>0</v>
      </c>
      <c r="BO97" s="20">
        <f t="shared" si="12"/>
        <v>0</v>
      </c>
      <c r="BP97" s="20">
        <f t="shared" si="13"/>
        <v>12</v>
      </c>
      <c r="BQ97" s="51">
        <f>0.232*0.18*BP97</f>
        <v>0.50112</v>
      </c>
      <c r="BR97" s="32" t="s">
        <v>298</v>
      </c>
      <c r="BS97" s="70" t="s">
        <v>299</v>
      </c>
      <c r="BT97" s="34"/>
      <c r="BU97" s="35" t="s">
        <v>234</v>
      </c>
    </row>
    <row r="98" s="1" customFormat="1" customHeight="1" spans="1:73">
      <c r="A98" s="15" t="s">
        <v>293</v>
      </c>
      <c r="B98" s="15" t="s">
        <v>300</v>
      </c>
      <c r="C98" s="16">
        <v>68</v>
      </c>
      <c r="D98" s="29"/>
      <c r="E98" s="30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30"/>
      <c r="AH98" s="29"/>
      <c r="AI98" s="29"/>
      <c r="AJ98" s="29"/>
      <c r="AK98" s="30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0">
        <f t="shared" si="11"/>
        <v>0</v>
      </c>
      <c r="BO98" s="20">
        <f t="shared" si="12"/>
        <v>0</v>
      </c>
      <c r="BP98" s="20">
        <f t="shared" si="13"/>
        <v>68</v>
      </c>
      <c r="BQ98" s="51">
        <f>0.261*0.232*BP98</f>
        <v>4.117536</v>
      </c>
      <c r="BR98" s="32" t="s">
        <v>298</v>
      </c>
      <c r="BS98" s="70" t="s">
        <v>299</v>
      </c>
      <c r="BT98" s="34"/>
      <c r="BU98" s="35" t="s">
        <v>234</v>
      </c>
    </row>
    <row r="99" s="1" customFormat="1" customHeight="1" spans="1:73">
      <c r="A99" s="15" t="s">
        <v>293</v>
      </c>
      <c r="B99" s="15" t="s">
        <v>301</v>
      </c>
      <c r="C99" s="16">
        <v>4</v>
      </c>
      <c r="D99" s="29"/>
      <c r="E99" s="30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30"/>
      <c r="AH99" s="29"/>
      <c r="AI99" s="29"/>
      <c r="AJ99" s="29"/>
      <c r="AK99" s="30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0">
        <f t="shared" si="11"/>
        <v>0</v>
      </c>
      <c r="BO99" s="20">
        <f t="shared" si="12"/>
        <v>0</v>
      </c>
      <c r="BP99" s="20">
        <f t="shared" si="13"/>
        <v>4</v>
      </c>
      <c r="BQ99" s="51">
        <f>0.31*0.457*BP99</f>
        <v>0.56668</v>
      </c>
      <c r="BR99" s="56" t="s">
        <v>302</v>
      </c>
      <c r="BS99" s="33" t="s">
        <v>303</v>
      </c>
      <c r="BT99" s="36"/>
      <c r="BU99" s="35" t="s">
        <v>234</v>
      </c>
    </row>
    <row r="100" s="1" customFormat="1" customHeight="1" spans="1:73">
      <c r="A100" s="74" t="s">
        <v>304</v>
      </c>
      <c r="B100" s="15" t="s">
        <v>216</v>
      </c>
      <c r="C100" s="16">
        <v>160</v>
      </c>
      <c r="D100" s="29"/>
      <c r="E100" s="30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30"/>
      <c r="AH100" s="29"/>
      <c r="AI100" s="29"/>
      <c r="AJ100" s="29"/>
      <c r="AK100" s="30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0">
        <f t="shared" si="11"/>
        <v>0</v>
      </c>
      <c r="BO100" s="20">
        <f t="shared" si="12"/>
        <v>0</v>
      </c>
      <c r="BP100" s="20">
        <f t="shared" si="13"/>
        <v>160</v>
      </c>
      <c r="BQ100" s="51">
        <f>0.235*0.152*BP100</f>
        <v>5.7152</v>
      </c>
      <c r="BR100" s="56" t="s">
        <v>305</v>
      </c>
      <c r="BS100" s="33" t="s">
        <v>306</v>
      </c>
      <c r="BT100" s="75" t="s">
        <v>307</v>
      </c>
      <c r="BU100" s="35" t="s">
        <v>234</v>
      </c>
    </row>
    <row r="101" s="1" customFormat="1" customHeight="1" spans="1:73">
      <c r="A101" s="74" t="s">
        <v>304</v>
      </c>
      <c r="B101" s="15" t="s">
        <v>308</v>
      </c>
      <c r="C101" s="29">
        <v>60</v>
      </c>
      <c r="D101" s="29"/>
      <c r="E101" s="30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0"/>
      <c r="AH101" s="29"/>
      <c r="AI101" s="29"/>
      <c r="AJ101" s="30"/>
      <c r="AK101" s="30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0">
        <f t="shared" si="11"/>
        <v>0</v>
      </c>
      <c r="BO101" s="20">
        <f t="shared" si="12"/>
        <v>0</v>
      </c>
      <c r="BP101" s="20">
        <f t="shared" si="13"/>
        <v>60</v>
      </c>
      <c r="BQ101" s="55">
        <f>0.6*0.155*BP101</f>
        <v>5.58</v>
      </c>
      <c r="BR101" s="68" t="s">
        <v>309</v>
      </c>
      <c r="BS101" s="33" t="s">
        <v>310</v>
      </c>
      <c r="BT101" s="75" t="s">
        <v>307</v>
      </c>
      <c r="BU101" s="44" t="s">
        <v>234</v>
      </c>
    </row>
    <row r="102" s="1" customFormat="1" customHeight="1" spans="1:73">
      <c r="A102" s="76" t="s">
        <v>311</v>
      </c>
      <c r="B102" s="15" t="s">
        <v>283</v>
      </c>
      <c r="C102" s="16">
        <v>1.5</v>
      </c>
      <c r="D102" s="29"/>
      <c r="E102" s="30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0"/>
      <c r="AH102" s="29"/>
      <c r="AI102" s="29"/>
      <c r="AJ102" s="29"/>
      <c r="AK102" s="30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0">
        <f t="shared" si="11"/>
        <v>0</v>
      </c>
      <c r="BO102" s="20">
        <f t="shared" si="12"/>
        <v>0</v>
      </c>
      <c r="BP102" s="20">
        <f t="shared" si="13"/>
        <v>1.5</v>
      </c>
      <c r="BQ102" s="51">
        <f>0.3*0.2*BP102</f>
        <v>0.09</v>
      </c>
      <c r="BR102" s="56" t="s">
        <v>312</v>
      </c>
      <c r="BS102" s="33" t="s">
        <v>313</v>
      </c>
      <c r="BT102" s="36" t="s">
        <v>314</v>
      </c>
      <c r="BU102" s="35" t="s">
        <v>234</v>
      </c>
    </row>
    <row r="103" s="1" customFormat="1" customHeight="1" spans="1:73">
      <c r="A103" s="76" t="s">
        <v>311</v>
      </c>
      <c r="B103" s="15" t="s">
        <v>315</v>
      </c>
      <c r="C103" s="16">
        <v>18</v>
      </c>
      <c r="D103" s="29"/>
      <c r="E103" s="30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30"/>
      <c r="AH103" s="29"/>
      <c r="AI103" s="29"/>
      <c r="AJ103" s="29"/>
      <c r="AK103" s="30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0">
        <f t="shared" si="11"/>
        <v>0</v>
      </c>
      <c r="BO103" s="20">
        <f t="shared" si="12"/>
        <v>0</v>
      </c>
      <c r="BP103" s="20">
        <f t="shared" si="13"/>
        <v>18</v>
      </c>
      <c r="BQ103" s="51">
        <f>0.303*0.23*BP103</f>
        <v>1.25442</v>
      </c>
      <c r="BR103" s="56" t="s">
        <v>316</v>
      </c>
      <c r="BS103" s="33" t="s">
        <v>317</v>
      </c>
      <c r="BT103" s="36"/>
      <c r="BU103" s="35" t="s">
        <v>234</v>
      </c>
    </row>
    <row r="104" s="1" customFormat="1" customHeight="1" spans="1:73">
      <c r="A104" s="28" t="s">
        <v>318</v>
      </c>
      <c r="B104" s="15" t="s">
        <v>319</v>
      </c>
      <c r="C104" s="16">
        <v>34</v>
      </c>
      <c r="D104" s="29"/>
      <c r="E104" s="30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30"/>
      <c r="AH104" s="29"/>
      <c r="AI104" s="29"/>
      <c r="AJ104" s="29"/>
      <c r="AK104" s="30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0">
        <f t="shared" si="11"/>
        <v>0</v>
      </c>
      <c r="BO104" s="20">
        <f t="shared" si="12"/>
        <v>0</v>
      </c>
      <c r="BP104" s="20">
        <f t="shared" si="13"/>
        <v>34</v>
      </c>
      <c r="BQ104" s="51">
        <f>0.457*0.15*BP104</f>
        <v>2.3307</v>
      </c>
      <c r="BR104" s="56" t="s">
        <v>227</v>
      </c>
      <c r="BS104" s="33" t="s">
        <v>320</v>
      </c>
      <c r="BT104" s="36"/>
      <c r="BU104" s="35" t="s">
        <v>234</v>
      </c>
    </row>
    <row r="105" s="1" customFormat="1" customHeight="1" spans="1:73">
      <c r="A105" s="28" t="s">
        <v>318</v>
      </c>
      <c r="B105" s="15" t="s">
        <v>321</v>
      </c>
      <c r="C105" s="16">
        <v>29</v>
      </c>
      <c r="D105" s="29"/>
      <c r="E105" s="30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30"/>
      <c r="AH105" s="29"/>
      <c r="AI105" s="29"/>
      <c r="AJ105" s="29"/>
      <c r="AK105" s="30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0">
        <f t="shared" si="11"/>
        <v>0</v>
      </c>
      <c r="BO105" s="20">
        <f t="shared" si="12"/>
        <v>0</v>
      </c>
      <c r="BP105" s="20">
        <f t="shared" si="13"/>
        <v>29</v>
      </c>
      <c r="BQ105" s="51">
        <f>0.31*0.261*BP105</f>
        <v>2.34639</v>
      </c>
      <c r="BR105" s="56" t="s">
        <v>261</v>
      </c>
      <c r="BS105" s="33" t="s">
        <v>262</v>
      </c>
      <c r="BT105" s="36"/>
      <c r="BU105" s="35" t="s">
        <v>234</v>
      </c>
    </row>
    <row r="106" s="1" customFormat="1" customHeight="1" spans="1:73">
      <c r="A106" s="37" t="s">
        <v>322</v>
      </c>
      <c r="B106" s="15" t="s">
        <v>323</v>
      </c>
      <c r="C106" s="16">
        <v>10</v>
      </c>
      <c r="D106" s="29"/>
      <c r="E106" s="30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30"/>
      <c r="AH106" s="29"/>
      <c r="AI106" s="29"/>
      <c r="AJ106" s="29"/>
      <c r="AK106" s="30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0">
        <f t="shared" si="11"/>
        <v>0</v>
      </c>
      <c r="BO106" s="20">
        <f t="shared" si="12"/>
        <v>0</v>
      </c>
      <c r="BP106" s="20">
        <f t="shared" si="13"/>
        <v>10</v>
      </c>
      <c r="BQ106" s="51">
        <f>0.192*0.457*BP106</f>
        <v>0.87744</v>
      </c>
      <c r="BR106" s="56" t="s">
        <v>324</v>
      </c>
      <c r="BS106" s="33" t="s">
        <v>325</v>
      </c>
      <c r="BT106" s="36"/>
      <c r="BU106" s="35" t="s">
        <v>326</v>
      </c>
    </row>
    <row r="107" s="1" customFormat="1" customHeight="1" spans="1:73">
      <c r="A107" s="28" t="s">
        <v>327</v>
      </c>
      <c r="B107" s="15" t="s">
        <v>328</v>
      </c>
      <c r="C107" s="16">
        <v>20</v>
      </c>
      <c r="D107" s="29"/>
      <c r="E107" s="30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30"/>
      <c r="AH107" s="29"/>
      <c r="AI107" s="29"/>
      <c r="AJ107" s="29"/>
      <c r="AK107" s="30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0">
        <f t="shared" si="11"/>
        <v>0</v>
      </c>
      <c r="BO107" s="20">
        <f t="shared" si="12"/>
        <v>0</v>
      </c>
      <c r="BP107" s="20">
        <f t="shared" si="13"/>
        <v>20</v>
      </c>
      <c r="BQ107" s="51">
        <f>0.232*0.228*BP107</f>
        <v>1.05792</v>
      </c>
      <c r="BR107" s="56" t="s">
        <v>188</v>
      </c>
      <c r="BS107" s="33" t="s">
        <v>189</v>
      </c>
      <c r="BT107" s="36" t="s">
        <v>329</v>
      </c>
      <c r="BU107" s="35" t="s">
        <v>326</v>
      </c>
    </row>
    <row r="108" s="1" customFormat="1" customHeight="1" spans="1:73">
      <c r="A108" s="48" t="s">
        <v>330</v>
      </c>
      <c r="B108" s="15" t="s">
        <v>331</v>
      </c>
      <c r="C108" s="16">
        <v>20</v>
      </c>
      <c r="D108" s="29"/>
      <c r="E108" s="30"/>
      <c r="F108" s="29"/>
      <c r="G108" s="29"/>
      <c r="H108" s="29"/>
      <c r="I108" s="29">
        <v>15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30"/>
      <c r="AH108" s="29"/>
      <c r="AI108" s="29"/>
      <c r="AJ108" s="29"/>
      <c r="AK108" s="30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0">
        <f t="shared" si="11"/>
        <v>0</v>
      </c>
      <c r="BO108" s="20">
        <f t="shared" si="12"/>
        <v>15</v>
      </c>
      <c r="BP108" s="20">
        <f t="shared" si="13"/>
        <v>5</v>
      </c>
      <c r="BQ108" s="51">
        <f>0.364*0.308*BP108</f>
        <v>0.56056</v>
      </c>
      <c r="BR108" s="56" t="s">
        <v>332</v>
      </c>
      <c r="BS108" s="33" t="s">
        <v>333</v>
      </c>
      <c r="BT108" s="36" t="s">
        <v>334</v>
      </c>
      <c r="BU108" s="35" t="s">
        <v>326</v>
      </c>
    </row>
    <row r="109" s="1" customFormat="1" customHeight="1" spans="1:73">
      <c r="A109" s="48" t="s">
        <v>335</v>
      </c>
      <c r="B109" s="15" t="s">
        <v>283</v>
      </c>
      <c r="C109" s="16">
        <v>7</v>
      </c>
      <c r="D109" s="29"/>
      <c r="E109" s="30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30"/>
      <c r="AH109" s="29"/>
      <c r="AI109" s="29"/>
      <c r="AJ109" s="29"/>
      <c r="AK109" s="30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0">
        <f t="shared" si="11"/>
        <v>0</v>
      </c>
      <c r="BO109" s="20">
        <f t="shared" si="12"/>
        <v>0</v>
      </c>
      <c r="BP109" s="20">
        <f t="shared" si="13"/>
        <v>7</v>
      </c>
      <c r="BQ109" s="51">
        <f>0.3*0.2*BP109</f>
        <v>0.42</v>
      </c>
      <c r="BR109" s="56" t="s">
        <v>213</v>
      </c>
      <c r="BS109" s="33" t="s">
        <v>214</v>
      </c>
      <c r="BT109" s="36" t="s">
        <v>336</v>
      </c>
      <c r="BU109" s="35" t="s">
        <v>326</v>
      </c>
    </row>
    <row r="110" s="1" customFormat="1" customHeight="1" spans="1:73">
      <c r="A110" s="15" t="s">
        <v>337</v>
      </c>
      <c r="B110" s="15" t="s">
        <v>338</v>
      </c>
      <c r="C110" s="16">
        <v>56</v>
      </c>
      <c r="D110" s="29"/>
      <c r="E110" s="30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30"/>
      <c r="AH110" s="29"/>
      <c r="AI110" s="29"/>
      <c r="AJ110" s="29"/>
      <c r="AK110" s="30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0">
        <f t="shared" si="11"/>
        <v>0</v>
      </c>
      <c r="BO110" s="20">
        <f t="shared" si="12"/>
        <v>0</v>
      </c>
      <c r="BP110" s="20">
        <f t="shared" si="13"/>
        <v>56</v>
      </c>
      <c r="BQ110" s="51">
        <f>0.325*0.225*BP110</f>
        <v>4.095</v>
      </c>
      <c r="BR110" s="56" t="s">
        <v>339</v>
      </c>
      <c r="BS110" s="33" t="s">
        <v>340</v>
      </c>
      <c r="BT110" s="36" t="s">
        <v>341</v>
      </c>
      <c r="BU110" s="35" t="s">
        <v>342</v>
      </c>
    </row>
    <row r="111" s="1" customFormat="1" customHeight="1" spans="1:73">
      <c r="A111" s="15" t="s">
        <v>343</v>
      </c>
      <c r="B111" s="15" t="s">
        <v>344</v>
      </c>
      <c r="C111" s="16">
        <v>8</v>
      </c>
      <c r="D111" s="29"/>
      <c r="E111" s="30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30"/>
      <c r="AH111" s="29"/>
      <c r="AI111" s="29"/>
      <c r="AJ111" s="29"/>
      <c r="AK111" s="30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0">
        <f t="shared" si="11"/>
        <v>0</v>
      </c>
      <c r="BO111" s="20">
        <f t="shared" si="12"/>
        <v>0</v>
      </c>
      <c r="BP111" s="20">
        <f t="shared" si="13"/>
        <v>8</v>
      </c>
      <c r="BQ111" s="51">
        <f>0.248*0.366*BP111</f>
        <v>0.726144</v>
      </c>
      <c r="BR111" s="56" t="s">
        <v>345</v>
      </c>
      <c r="BS111" s="33" t="s">
        <v>51</v>
      </c>
      <c r="BT111" s="36"/>
      <c r="BU111" s="35" t="s">
        <v>326</v>
      </c>
    </row>
    <row r="112" s="1" customFormat="1" customHeight="1" spans="1:73">
      <c r="A112" s="15" t="s">
        <v>346</v>
      </c>
      <c r="B112" s="15" t="s">
        <v>347</v>
      </c>
      <c r="C112" s="16">
        <v>6</v>
      </c>
      <c r="D112" s="29"/>
      <c r="E112" s="30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30"/>
      <c r="AH112" s="29"/>
      <c r="AI112" s="29"/>
      <c r="AJ112" s="29"/>
      <c r="AK112" s="30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0">
        <f t="shared" si="11"/>
        <v>0</v>
      </c>
      <c r="BO112" s="20">
        <f t="shared" si="12"/>
        <v>0</v>
      </c>
      <c r="BP112" s="20">
        <f t="shared" si="13"/>
        <v>6</v>
      </c>
      <c r="BQ112" s="51">
        <f>0.305*0.28*BP112</f>
        <v>0.5124</v>
      </c>
      <c r="BR112" s="56" t="s">
        <v>348</v>
      </c>
      <c r="BS112" s="33" t="s">
        <v>349</v>
      </c>
      <c r="BT112" s="36" t="s">
        <v>350</v>
      </c>
      <c r="BU112" s="35" t="s">
        <v>326</v>
      </c>
    </row>
    <row r="113" s="1" customFormat="1" customHeight="1" spans="1:74">
      <c r="A113" s="15" t="s">
        <v>346</v>
      </c>
      <c r="B113" s="15" t="s">
        <v>351</v>
      </c>
      <c r="C113" s="16">
        <v>1</v>
      </c>
      <c r="D113" s="29"/>
      <c r="E113" s="30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0"/>
      <c r="AH113" s="29"/>
      <c r="AI113" s="29"/>
      <c r="AJ113" s="29"/>
      <c r="AK113" s="30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0">
        <f t="shared" si="11"/>
        <v>0</v>
      </c>
      <c r="BO113" s="20">
        <f t="shared" si="12"/>
        <v>0</v>
      </c>
      <c r="BP113" s="20">
        <f t="shared" si="13"/>
        <v>1</v>
      </c>
      <c r="BQ113" s="51">
        <f>0.365*0.27*BP113</f>
        <v>0.09855</v>
      </c>
      <c r="BR113" s="56" t="s">
        <v>352</v>
      </c>
      <c r="BS113" s="33" t="s">
        <v>353</v>
      </c>
      <c r="BT113" s="36"/>
      <c r="BU113" s="35" t="s">
        <v>326</v>
      </c>
      <c r="BV113" s="77"/>
    </row>
    <row r="114" s="1" customFormat="1" customHeight="1" spans="1:74">
      <c r="A114" s="15" t="s">
        <v>346</v>
      </c>
      <c r="B114" s="15" t="s">
        <v>354</v>
      </c>
      <c r="C114" s="16">
        <v>2</v>
      </c>
      <c r="D114" s="29"/>
      <c r="E114" s="30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30"/>
      <c r="AH114" s="29"/>
      <c r="AI114" s="29"/>
      <c r="AJ114" s="29"/>
      <c r="AK114" s="30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0">
        <f t="shared" si="11"/>
        <v>0</v>
      </c>
      <c r="BO114" s="20">
        <f t="shared" si="12"/>
        <v>0</v>
      </c>
      <c r="BP114" s="20">
        <f t="shared" si="13"/>
        <v>2</v>
      </c>
      <c r="BQ114" s="51">
        <f>0.41*0.236*BP114</f>
        <v>0.19352</v>
      </c>
      <c r="BR114" s="56" t="s">
        <v>355</v>
      </c>
      <c r="BS114" s="33" t="s">
        <v>356</v>
      </c>
      <c r="BT114" s="36"/>
      <c r="BU114" s="35" t="s">
        <v>326</v>
      </c>
    </row>
    <row r="115" s="2" customFormat="1" customHeight="1" spans="1:74">
      <c r="A115" s="15" t="s">
        <v>346</v>
      </c>
      <c r="B115" s="15" t="s">
        <v>357</v>
      </c>
      <c r="C115" s="16">
        <v>2</v>
      </c>
      <c r="D115" s="29"/>
      <c r="E115" s="30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30"/>
      <c r="AH115" s="29"/>
      <c r="AI115" s="29"/>
      <c r="AJ115" s="29"/>
      <c r="AK115" s="30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0">
        <f t="shared" si="11"/>
        <v>0</v>
      </c>
      <c r="BO115" s="20">
        <f t="shared" si="12"/>
        <v>0</v>
      </c>
      <c r="BP115" s="20">
        <f t="shared" si="13"/>
        <v>2</v>
      </c>
      <c r="BQ115" s="51">
        <f>0.41*0.335*BP115</f>
        <v>0.2747</v>
      </c>
      <c r="BR115" s="56" t="s">
        <v>355</v>
      </c>
      <c r="BS115" s="45" t="s">
        <v>356</v>
      </c>
      <c r="BT115" s="78"/>
      <c r="BU115" s="35" t="s">
        <v>326</v>
      </c>
    </row>
    <row r="116" s="1" customFormat="1" customHeight="1" spans="1:74">
      <c r="A116" s="39" t="s">
        <v>358</v>
      </c>
      <c r="B116" s="15" t="s">
        <v>359</v>
      </c>
      <c r="C116" s="29">
        <v>55</v>
      </c>
      <c r="D116" s="29"/>
      <c r="E116" s="30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30"/>
      <c r="AH116" s="29"/>
      <c r="AI116" s="29"/>
      <c r="AJ116" s="29"/>
      <c r="AK116" s="30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0">
        <f t="shared" si="11"/>
        <v>0</v>
      </c>
      <c r="BO116" s="20">
        <f t="shared" si="12"/>
        <v>0</v>
      </c>
      <c r="BP116" s="20">
        <f t="shared" si="13"/>
        <v>55</v>
      </c>
      <c r="BQ116" s="55">
        <f>0.25*0.26*BP116</f>
        <v>3.575</v>
      </c>
      <c r="BR116" s="68" t="s">
        <v>360</v>
      </c>
      <c r="BS116" s="33" t="s">
        <v>51</v>
      </c>
      <c r="BT116" s="57"/>
      <c r="BU116" s="44" t="s">
        <v>326</v>
      </c>
    </row>
    <row r="117" s="1" customFormat="1" customHeight="1" spans="1:74">
      <c r="A117" s="15" t="s">
        <v>361</v>
      </c>
      <c r="B117" s="15" t="s">
        <v>362</v>
      </c>
      <c r="C117" s="16">
        <v>51</v>
      </c>
      <c r="D117" s="29"/>
      <c r="E117" s="30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30"/>
      <c r="AH117" s="29"/>
      <c r="AI117" s="29"/>
      <c r="AJ117" s="29"/>
      <c r="AK117" s="30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0">
        <f t="shared" si="11"/>
        <v>0</v>
      </c>
      <c r="BO117" s="20">
        <f t="shared" si="12"/>
        <v>0</v>
      </c>
      <c r="BP117" s="20">
        <f t="shared" si="13"/>
        <v>51</v>
      </c>
      <c r="BQ117" s="51">
        <f>0.24*0.38*BP117</f>
        <v>4.6512</v>
      </c>
      <c r="BR117" s="32" t="s">
        <v>55</v>
      </c>
      <c r="BS117" s="33" t="s">
        <v>51</v>
      </c>
      <c r="BT117" s="36"/>
      <c r="BU117" s="35" t="s">
        <v>363</v>
      </c>
    </row>
    <row r="118" s="1" customFormat="1" customHeight="1" spans="1:74">
      <c r="A118" s="15" t="s">
        <v>364</v>
      </c>
      <c r="B118" s="15" t="s">
        <v>365</v>
      </c>
      <c r="C118" s="16">
        <v>77</v>
      </c>
      <c r="D118" s="29"/>
      <c r="E118" s="30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30"/>
      <c r="AH118" s="29"/>
      <c r="AI118" s="29"/>
      <c r="AJ118" s="29"/>
      <c r="AK118" s="30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0">
        <f t="shared" si="11"/>
        <v>0</v>
      </c>
      <c r="BO118" s="20">
        <f t="shared" si="12"/>
        <v>0</v>
      </c>
      <c r="BP118" s="20">
        <f t="shared" si="13"/>
        <v>77</v>
      </c>
      <c r="BQ118" s="51">
        <f>0.12*0.41*BP118</f>
        <v>3.7884</v>
      </c>
      <c r="BR118" s="32" t="s">
        <v>55</v>
      </c>
      <c r="BS118" s="33" t="s">
        <v>51</v>
      </c>
      <c r="BT118" s="36"/>
      <c r="BU118" s="35" t="s">
        <v>363</v>
      </c>
    </row>
    <row r="119" s="1" customFormat="1" customHeight="1" spans="1:74">
      <c r="A119" s="39" t="s">
        <v>366</v>
      </c>
      <c r="B119" s="15" t="s">
        <v>367</v>
      </c>
      <c r="C119" s="29">
        <v>43</v>
      </c>
      <c r="D119" s="29"/>
      <c r="E119" s="30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30"/>
      <c r="AH119" s="29"/>
      <c r="AI119" s="29"/>
      <c r="AJ119" s="29"/>
      <c r="AK119" s="30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0">
        <f t="shared" si="11"/>
        <v>0</v>
      </c>
      <c r="BO119" s="20">
        <f t="shared" si="12"/>
        <v>0</v>
      </c>
      <c r="BP119" s="20">
        <f t="shared" si="13"/>
        <v>43</v>
      </c>
      <c r="BQ119" s="55">
        <f>0.2*0.24*BP119</f>
        <v>2.064</v>
      </c>
      <c r="BR119" s="43" t="s">
        <v>55</v>
      </c>
      <c r="BS119" s="33" t="s">
        <v>51</v>
      </c>
      <c r="BT119" s="36"/>
      <c r="BU119" s="44" t="s">
        <v>363</v>
      </c>
    </row>
    <row r="120" s="1" customFormat="1" customHeight="1" spans="1:74">
      <c r="A120" s="53" t="s">
        <v>368</v>
      </c>
      <c r="B120" s="15"/>
      <c r="C120" s="16"/>
      <c r="D120" s="29"/>
      <c r="E120" s="30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30"/>
      <c r="AH120" s="29"/>
      <c r="AI120" s="29"/>
      <c r="AJ120" s="29"/>
      <c r="AK120" s="30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0">
        <f t="shared" si="11"/>
        <v>0</v>
      </c>
      <c r="BO120" s="20">
        <f t="shared" si="12"/>
        <v>0</v>
      </c>
      <c r="BP120" s="20">
        <f t="shared" si="13"/>
        <v>0</v>
      </c>
      <c r="BQ120" s="55"/>
      <c r="BR120" s="56"/>
      <c r="BS120" s="45"/>
      <c r="BT120" s="36"/>
      <c r="BU120" s="35"/>
    </row>
    <row r="121" s="1" customFormat="1" customHeight="1" spans="1:74">
      <c r="A121" s="15" t="s">
        <v>369</v>
      </c>
      <c r="B121" s="15" t="s">
        <v>370</v>
      </c>
      <c r="C121" s="16">
        <v>23</v>
      </c>
      <c r="D121" s="29"/>
      <c r="E121" s="30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30"/>
      <c r="AH121" s="29"/>
      <c r="AI121" s="29"/>
      <c r="AJ121" s="29"/>
      <c r="AK121" s="30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0">
        <f t="shared" si="11"/>
        <v>0</v>
      </c>
      <c r="BO121" s="20">
        <f t="shared" si="12"/>
        <v>0</v>
      </c>
      <c r="BP121" s="20">
        <f t="shared" si="13"/>
        <v>23</v>
      </c>
      <c r="BQ121" s="55">
        <f>0.28*0.21*BP121</f>
        <v>1.3524</v>
      </c>
      <c r="BR121" s="56" t="s">
        <v>138</v>
      </c>
      <c r="BS121" s="33" t="s">
        <v>139</v>
      </c>
      <c r="BT121" s="36" t="s">
        <v>371</v>
      </c>
      <c r="BU121" s="35" t="s">
        <v>372</v>
      </c>
    </row>
    <row r="122" s="1" customFormat="1" customHeight="1" spans="1:74">
      <c r="A122" s="15" t="s">
        <v>373</v>
      </c>
      <c r="B122" s="15" t="s">
        <v>374</v>
      </c>
      <c r="C122" s="16">
        <v>38</v>
      </c>
      <c r="D122" s="29"/>
      <c r="E122" s="30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30"/>
      <c r="AH122" s="29"/>
      <c r="AI122" s="29"/>
      <c r="AJ122" s="29"/>
      <c r="AK122" s="30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0">
        <f t="shared" si="11"/>
        <v>0</v>
      </c>
      <c r="BO122" s="20">
        <f t="shared" si="12"/>
        <v>0</v>
      </c>
      <c r="BP122" s="20">
        <f t="shared" si="13"/>
        <v>38</v>
      </c>
      <c r="BQ122" s="51">
        <f>0.298*0.188*BP122</f>
        <v>2.128912</v>
      </c>
      <c r="BR122" s="56" t="s">
        <v>375</v>
      </c>
      <c r="BS122" s="33" t="s">
        <v>376</v>
      </c>
      <c r="BT122" s="36"/>
      <c r="BU122" s="35" t="s">
        <v>372</v>
      </c>
    </row>
    <row r="123" s="1" customFormat="1" customHeight="1" spans="1:74">
      <c r="A123" s="15" t="s">
        <v>377</v>
      </c>
      <c r="B123" s="15" t="s">
        <v>378</v>
      </c>
      <c r="C123" s="16">
        <v>10</v>
      </c>
      <c r="D123" s="29"/>
      <c r="E123" s="30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30"/>
      <c r="AH123" s="29"/>
      <c r="AI123" s="29"/>
      <c r="AJ123" s="29"/>
      <c r="AK123" s="30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0">
        <f t="shared" si="11"/>
        <v>0</v>
      </c>
      <c r="BO123" s="20">
        <f t="shared" si="12"/>
        <v>0</v>
      </c>
      <c r="BP123" s="20">
        <f t="shared" si="13"/>
        <v>10</v>
      </c>
      <c r="BQ123" s="51">
        <f>0.298*0.364*BP123</f>
        <v>1.08472</v>
      </c>
      <c r="BR123" s="56" t="s">
        <v>375</v>
      </c>
      <c r="BS123" s="33" t="s">
        <v>376</v>
      </c>
      <c r="BT123" s="36"/>
      <c r="BU123" s="35" t="s">
        <v>372</v>
      </c>
    </row>
    <row r="124" s="1" customFormat="1" customHeight="1" spans="1:74">
      <c r="A124" s="15" t="s">
        <v>379</v>
      </c>
      <c r="B124" s="15" t="s">
        <v>380</v>
      </c>
      <c r="C124" s="16">
        <v>12</v>
      </c>
      <c r="D124" s="29"/>
      <c r="E124" s="30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30"/>
      <c r="AH124" s="29"/>
      <c r="AI124" s="29"/>
      <c r="AJ124" s="29"/>
      <c r="AK124" s="30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0">
        <f t="shared" si="11"/>
        <v>0</v>
      </c>
      <c r="BO124" s="20">
        <f t="shared" si="12"/>
        <v>0</v>
      </c>
      <c r="BP124" s="20">
        <f t="shared" si="13"/>
        <v>12</v>
      </c>
      <c r="BQ124" s="51">
        <f>0.24*0.238*BP124</f>
        <v>0.68544</v>
      </c>
      <c r="BR124" s="56" t="s">
        <v>381</v>
      </c>
      <c r="BS124" s="33" t="s">
        <v>376</v>
      </c>
      <c r="BT124" s="36"/>
      <c r="BU124" s="35" t="s">
        <v>372</v>
      </c>
    </row>
    <row r="125" s="1" customFormat="1" customHeight="1" spans="1:74">
      <c r="A125" s="15" t="s">
        <v>382</v>
      </c>
      <c r="B125" s="15" t="s">
        <v>383</v>
      </c>
      <c r="C125" s="16">
        <v>0</v>
      </c>
      <c r="D125" s="29"/>
      <c r="E125" s="30"/>
      <c r="F125" s="29"/>
      <c r="G125" s="29"/>
      <c r="H125" s="29"/>
      <c r="I125" s="29"/>
      <c r="J125" s="29">
        <v>24</v>
      </c>
      <c r="K125" s="29"/>
      <c r="L125" s="29"/>
      <c r="M125" s="29">
        <v>21</v>
      </c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30"/>
      <c r="AH125" s="29"/>
      <c r="AI125" s="29"/>
      <c r="AJ125" s="29"/>
      <c r="AK125" s="30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0">
        <f t="shared" si="11"/>
        <v>24</v>
      </c>
      <c r="BO125" s="20">
        <f t="shared" si="12"/>
        <v>21</v>
      </c>
      <c r="BP125" s="20">
        <f t="shared" si="13"/>
        <v>3</v>
      </c>
      <c r="BQ125" s="51">
        <f>0.278*0.154*BP125</f>
        <v>0.128436</v>
      </c>
      <c r="BR125" s="56" t="s">
        <v>384</v>
      </c>
      <c r="BS125" s="33" t="s">
        <v>385</v>
      </c>
      <c r="BT125" s="36" t="s">
        <v>386</v>
      </c>
      <c r="BU125" s="35" t="s">
        <v>372</v>
      </c>
    </row>
    <row r="126" s="1" customFormat="1" customHeight="1" spans="1:74">
      <c r="A126" s="15" t="s">
        <v>382</v>
      </c>
      <c r="B126" s="15" t="s">
        <v>387</v>
      </c>
      <c r="C126" s="16">
        <v>0</v>
      </c>
      <c r="D126" s="29"/>
      <c r="E126" s="30"/>
      <c r="F126" s="29"/>
      <c r="G126" s="29"/>
      <c r="H126" s="29"/>
      <c r="I126" s="29"/>
      <c r="J126" s="29">
        <v>12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0"/>
      <c r="AH126" s="29"/>
      <c r="AI126" s="29"/>
      <c r="AJ126" s="29"/>
      <c r="AK126" s="30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0">
        <f t="shared" si="11"/>
        <v>12</v>
      </c>
      <c r="BO126" s="20">
        <f t="shared" si="12"/>
        <v>0</v>
      </c>
      <c r="BP126" s="20">
        <f t="shared" si="13"/>
        <v>12</v>
      </c>
      <c r="BQ126" s="51">
        <f>0.278*0.31*BP126</f>
        <v>1.03416</v>
      </c>
      <c r="BR126" s="56" t="s">
        <v>384</v>
      </c>
      <c r="BS126" s="33" t="s">
        <v>385</v>
      </c>
      <c r="BT126" s="36"/>
      <c r="BU126" s="35" t="s">
        <v>372</v>
      </c>
    </row>
    <row r="127" s="1" customFormat="1" customHeight="1" spans="1:74">
      <c r="A127" s="15" t="s">
        <v>388</v>
      </c>
      <c r="B127" s="15" t="s">
        <v>389</v>
      </c>
      <c r="C127" s="16">
        <v>5</v>
      </c>
      <c r="D127" s="29"/>
      <c r="E127" s="30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30"/>
      <c r="AH127" s="29"/>
      <c r="AI127" s="29"/>
      <c r="AJ127" s="29"/>
      <c r="AK127" s="30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0">
        <f t="shared" si="11"/>
        <v>0</v>
      </c>
      <c r="BO127" s="20">
        <f t="shared" si="12"/>
        <v>0</v>
      </c>
      <c r="BP127" s="20">
        <f t="shared" si="13"/>
        <v>5</v>
      </c>
      <c r="BQ127" s="51">
        <f>0.273*0.195*BP127</f>
        <v>0.266175</v>
      </c>
      <c r="BR127" s="56" t="s">
        <v>390</v>
      </c>
      <c r="BS127" s="33" t="s">
        <v>376</v>
      </c>
      <c r="BT127" s="57" t="s">
        <v>391</v>
      </c>
      <c r="BU127" s="35" t="s">
        <v>372</v>
      </c>
    </row>
    <row r="128" s="1" customFormat="1" customHeight="1" spans="1:74">
      <c r="A128" s="15" t="s">
        <v>392</v>
      </c>
      <c r="B128" s="15" t="s">
        <v>393</v>
      </c>
      <c r="C128" s="16">
        <v>408</v>
      </c>
      <c r="D128" s="29"/>
      <c r="E128" s="30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30"/>
      <c r="AH128" s="29"/>
      <c r="AI128" s="29"/>
      <c r="AJ128" s="29"/>
      <c r="AK128" s="30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0">
        <f t="shared" si="11"/>
        <v>0</v>
      </c>
      <c r="BO128" s="20">
        <f t="shared" si="12"/>
        <v>0</v>
      </c>
      <c r="BP128" s="20">
        <f t="shared" si="13"/>
        <v>408</v>
      </c>
      <c r="BQ128" s="51">
        <f>0.295*0.278*BP128</f>
        <v>33.46008</v>
      </c>
      <c r="BR128" s="56" t="s">
        <v>394</v>
      </c>
      <c r="BS128" s="33" t="s">
        <v>395</v>
      </c>
      <c r="BT128" s="57"/>
      <c r="BU128" s="35" t="s">
        <v>372</v>
      </c>
    </row>
    <row r="129" s="1" customFormat="1" customHeight="1" spans="1:73">
      <c r="A129" s="15" t="s">
        <v>396</v>
      </c>
      <c r="B129" s="15" t="s">
        <v>397</v>
      </c>
      <c r="C129" s="16">
        <v>20</v>
      </c>
      <c r="D129" s="29"/>
      <c r="E129" s="30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30"/>
      <c r="AH129" s="29"/>
      <c r="AI129" s="29"/>
      <c r="AJ129" s="29"/>
      <c r="AK129" s="30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0">
        <f t="shared" si="11"/>
        <v>0</v>
      </c>
      <c r="BO129" s="20">
        <f t="shared" si="12"/>
        <v>0</v>
      </c>
      <c r="BP129" s="20">
        <f t="shared" si="13"/>
        <v>20</v>
      </c>
      <c r="BQ129" s="51">
        <f>0.3*0.26*BP129</f>
        <v>1.56</v>
      </c>
      <c r="BR129" s="56" t="s">
        <v>398</v>
      </c>
      <c r="BS129" s="33" t="s">
        <v>399</v>
      </c>
      <c r="BT129" s="57"/>
      <c r="BU129" s="35" t="s">
        <v>372</v>
      </c>
    </row>
    <row r="130" s="1" customFormat="1" customHeight="1" spans="1:73">
      <c r="A130" s="15" t="s">
        <v>400</v>
      </c>
      <c r="B130" s="15" t="s">
        <v>401</v>
      </c>
      <c r="C130" s="16">
        <v>4</v>
      </c>
      <c r="D130" s="29"/>
      <c r="E130" s="30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0"/>
      <c r="AH130" s="29"/>
      <c r="AI130" s="29"/>
      <c r="AJ130" s="29"/>
      <c r="AK130" s="30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0">
        <f t="shared" si="11"/>
        <v>0</v>
      </c>
      <c r="BO130" s="20">
        <f t="shared" si="12"/>
        <v>0</v>
      </c>
      <c r="BP130" s="20">
        <f t="shared" si="13"/>
        <v>4</v>
      </c>
      <c r="BQ130" s="51">
        <f>0.302*0.195*BP130</f>
        <v>0.23556</v>
      </c>
      <c r="BR130" s="56" t="s">
        <v>138</v>
      </c>
      <c r="BS130" s="33" t="s">
        <v>139</v>
      </c>
      <c r="BT130" s="57" t="s">
        <v>402</v>
      </c>
      <c r="BU130" s="35" t="s">
        <v>372</v>
      </c>
    </row>
    <row r="131" s="1" customFormat="1" customHeight="1" spans="1:73">
      <c r="A131" s="15" t="s">
        <v>400</v>
      </c>
      <c r="B131" s="15" t="s">
        <v>403</v>
      </c>
      <c r="C131" s="16">
        <v>30</v>
      </c>
      <c r="D131" s="29"/>
      <c r="E131" s="30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0"/>
      <c r="AH131" s="29"/>
      <c r="AI131" s="29"/>
      <c r="AJ131" s="29"/>
      <c r="AK131" s="30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0">
        <f t="shared" ref="BN131:BN194" si="14">D131+F131+H131+J131+L131+N131+P131+R131+T131+V131+X131+Z131+AB131+AD131+AF131+AH131+AJ131+AL131+AN131+AP131+AR131+AT131+AV131+AX131+AZ131+BB131+BD131+BF131+BH131+BJ131+BL131</f>
        <v>0</v>
      </c>
      <c r="BO131" s="20">
        <f t="shared" ref="BO131:BO194" si="15">E131+G131+I131+K131+M131+O131+Q131+S131+U131+W131+Y131+AA131+AC131+AE131+AG131+AI131+AK131+AM131+AO131+AQ131+AS131+AU131+AW131+AY131+BA131+BC131+BE131+BG131+BI131+BK131+BM131</f>
        <v>0</v>
      </c>
      <c r="BP131" s="20">
        <f t="shared" ref="BP131:BP194" si="16">C131+BN131-BO131</f>
        <v>30</v>
      </c>
      <c r="BQ131" s="51">
        <f>0.28*0.24*BP131</f>
        <v>2.016</v>
      </c>
      <c r="BR131" s="56" t="s">
        <v>404</v>
      </c>
      <c r="BS131" s="33" t="s">
        <v>258</v>
      </c>
      <c r="BT131" s="79" t="s">
        <v>405</v>
      </c>
      <c r="BU131" s="35" t="s">
        <v>372</v>
      </c>
    </row>
    <row r="132" s="1" customFormat="1" customHeight="1" spans="1:73">
      <c r="A132" s="15" t="s">
        <v>400</v>
      </c>
      <c r="B132" s="15" t="s">
        <v>406</v>
      </c>
      <c r="C132" s="16">
        <v>4</v>
      </c>
      <c r="D132" s="29"/>
      <c r="E132" s="30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30"/>
      <c r="AH132" s="29"/>
      <c r="AI132" s="29"/>
      <c r="AJ132" s="29"/>
      <c r="AK132" s="30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0">
        <f t="shared" si="14"/>
        <v>0</v>
      </c>
      <c r="BO132" s="20">
        <f t="shared" si="15"/>
        <v>0</v>
      </c>
      <c r="BP132" s="20">
        <f t="shared" si="16"/>
        <v>4</v>
      </c>
      <c r="BQ132" s="51">
        <f>0.28*0.24*BP132</f>
        <v>0.2688</v>
      </c>
      <c r="BR132" s="56" t="s">
        <v>404</v>
      </c>
      <c r="BS132" s="33" t="s">
        <v>258</v>
      </c>
      <c r="BT132" s="79" t="s">
        <v>405</v>
      </c>
      <c r="BU132" s="35" t="s">
        <v>372</v>
      </c>
    </row>
    <row r="133" s="1" customFormat="1" customHeight="1" spans="1:73">
      <c r="A133" s="15" t="s">
        <v>407</v>
      </c>
      <c r="B133" s="15" t="s">
        <v>408</v>
      </c>
      <c r="C133" s="16">
        <v>28</v>
      </c>
      <c r="D133" s="29"/>
      <c r="E133" s="30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30"/>
      <c r="AH133" s="29"/>
      <c r="AI133" s="29"/>
      <c r="AJ133" s="29"/>
      <c r="AK133" s="30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0">
        <f t="shared" si="14"/>
        <v>0</v>
      </c>
      <c r="BO133" s="20">
        <f t="shared" si="15"/>
        <v>0</v>
      </c>
      <c r="BP133" s="20">
        <f t="shared" si="16"/>
        <v>28</v>
      </c>
      <c r="BQ133" s="51">
        <f>0.22*0.226*BP133</f>
        <v>1.39216</v>
      </c>
      <c r="BR133" s="56" t="s">
        <v>409</v>
      </c>
      <c r="BS133" s="33" t="s">
        <v>376</v>
      </c>
      <c r="BT133" s="57"/>
      <c r="BU133" s="35" t="s">
        <v>342</v>
      </c>
    </row>
    <row r="134" s="1" customFormat="1" customHeight="1" spans="1:73">
      <c r="A134" s="15" t="s">
        <v>400</v>
      </c>
      <c r="B134" s="15" t="s">
        <v>410</v>
      </c>
      <c r="C134" s="16">
        <v>18</v>
      </c>
      <c r="D134" s="29"/>
      <c r="E134" s="30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30"/>
      <c r="AH134" s="29"/>
      <c r="AI134" s="29"/>
      <c r="AJ134" s="29"/>
      <c r="AK134" s="30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0">
        <f t="shared" si="14"/>
        <v>0</v>
      </c>
      <c r="BO134" s="20">
        <f t="shared" si="15"/>
        <v>0</v>
      </c>
      <c r="BP134" s="20">
        <f t="shared" si="16"/>
        <v>18</v>
      </c>
      <c r="BQ134" s="51">
        <f>0.302*0.21*BP134</f>
        <v>1.14156</v>
      </c>
      <c r="BR134" s="56" t="s">
        <v>138</v>
      </c>
      <c r="BS134" s="33" t="s">
        <v>139</v>
      </c>
      <c r="BT134" s="57"/>
      <c r="BU134" s="35" t="s">
        <v>372</v>
      </c>
    </row>
    <row r="135" s="1" customFormat="1" customHeight="1" spans="1:73">
      <c r="A135" s="39" t="s">
        <v>411</v>
      </c>
      <c r="B135" s="39" t="s">
        <v>412</v>
      </c>
      <c r="C135" s="29">
        <v>200</v>
      </c>
      <c r="D135" s="29"/>
      <c r="E135" s="30"/>
      <c r="F135" s="29"/>
      <c r="G135" s="29"/>
      <c r="H135" s="29"/>
      <c r="I135" s="29">
        <v>173</v>
      </c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30"/>
      <c r="AH135" s="29"/>
      <c r="AI135" s="29"/>
      <c r="AJ135" s="29"/>
      <c r="AK135" s="30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>
        <v>200</v>
      </c>
      <c r="BM135" s="29"/>
      <c r="BN135" s="20">
        <f t="shared" si="14"/>
        <v>200</v>
      </c>
      <c r="BO135" s="20">
        <f t="shared" si="15"/>
        <v>173</v>
      </c>
      <c r="BP135" s="20">
        <f t="shared" si="16"/>
        <v>227</v>
      </c>
      <c r="BQ135" s="55">
        <f>0.302*0.21*BP135</f>
        <v>14.39634</v>
      </c>
      <c r="BR135" s="68" t="s">
        <v>332</v>
      </c>
      <c r="BS135" s="33" t="s">
        <v>333</v>
      </c>
      <c r="BT135" s="57" t="s">
        <v>413</v>
      </c>
      <c r="BU135" s="44" t="s">
        <v>372</v>
      </c>
    </row>
    <row r="136" s="1" customFormat="1" customHeight="1" spans="1:73">
      <c r="A136" s="37" t="s">
        <v>414</v>
      </c>
      <c r="B136" s="15" t="s">
        <v>415</v>
      </c>
      <c r="C136" s="29">
        <v>11</v>
      </c>
      <c r="D136" s="29"/>
      <c r="E136" s="30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30"/>
      <c r="AH136" s="29"/>
      <c r="AI136" s="29"/>
      <c r="AJ136" s="29"/>
      <c r="AK136" s="30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0">
        <f t="shared" si="14"/>
        <v>0</v>
      </c>
      <c r="BO136" s="20">
        <f t="shared" si="15"/>
        <v>0</v>
      </c>
      <c r="BP136" s="20">
        <f t="shared" si="16"/>
        <v>11</v>
      </c>
      <c r="BQ136" s="55">
        <f>0.538*0.398*BP136</f>
        <v>2.355364</v>
      </c>
      <c r="BR136" s="68" t="s">
        <v>416</v>
      </c>
      <c r="BS136" s="33" t="s">
        <v>417</v>
      </c>
      <c r="BT136" s="57"/>
      <c r="BU136" s="44" t="s">
        <v>342</v>
      </c>
    </row>
    <row r="137" s="1" customFormat="1" customHeight="1" spans="1:73">
      <c r="A137" s="15" t="s">
        <v>418</v>
      </c>
      <c r="B137" s="15" t="s">
        <v>419</v>
      </c>
      <c r="C137" s="16">
        <v>12</v>
      </c>
      <c r="D137" s="29"/>
      <c r="E137" s="30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30"/>
      <c r="AH137" s="29"/>
      <c r="AI137" s="29"/>
      <c r="AJ137" s="29"/>
      <c r="AK137" s="30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0">
        <f t="shared" si="14"/>
        <v>0</v>
      </c>
      <c r="BO137" s="20">
        <f t="shared" si="15"/>
        <v>0</v>
      </c>
      <c r="BP137" s="20">
        <f t="shared" si="16"/>
        <v>12</v>
      </c>
      <c r="BQ137" s="51">
        <f>0.297*0.215*BP137</f>
        <v>0.76626</v>
      </c>
      <c r="BR137" s="32" t="s">
        <v>420</v>
      </c>
      <c r="BS137" s="33" t="s">
        <v>51</v>
      </c>
      <c r="BT137" s="57"/>
      <c r="BU137" s="35" t="s">
        <v>342</v>
      </c>
    </row>
    <row r="138" s="1" customFormat="1" customHeight="1" spans="1:73">
      <c r="A138" s="15" t="s">
        <v>418</v>
      </c>
      <c r="B138" s="15" t="s">
        <v>421</v>
      </c>
      <c r="C138" s="16">
        <v>16</v>
      </c>
      <c r="D138" s="29"/>
      <c r="E138" s="30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30"/>
      <c r="AH138" s="29"/>
      <c r="AI138" s="29"/>
      <c r="AJ138" s="29"/>
      <c r="AK138" s="30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0">
        <f t="shared" si="14"/>
        <v>0</v>
      </c>
      <c r="BO138" s="20">
        <f t="shared" si="15"/>
        <v>0</v>
      </c>
      <c r="BP138" s="20">
        <f t="shared" si="16"/>
        <v>16</v>
      </c>
      <c r="BQ138" s="51">
        <f>0.295*0.225*BP138</f>
        <v>1.062</v>
      </c>
      <c r="BR138" s="56" t="s">
        <v>422</v>
      </c>
      <c r="BS138" s="33" t="s">
        <v>376</v>
      </c>
      <c r="BT138" s="36"/>
      <c r="BU138" s="35" t="s">
        <v>342</v>
      </c>
    </row>
    <row r="139" s="1" customFormat="1" customHeight="1" spans="1:73">
      <c r="A139" s="15" t="s">
        <v>418</v>
      </c>
      <c r="B139" s="15" t="s">
        <v>423</v>
      </c>
      <c r="C139" s="16">
        <v>5</v>
      </c>
      <c r="D139" s="29"/>
      <c r="E139" s="30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30"/>
      <c r="AH139" s="29"/>
      <c r="AI139" s="29"/>
      <c r="AJ139" s="29"/>
      <c r="AK139" s="30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0">
        <f t="shared" si="14"/>
        <v>0</v>
      </c>
      <c r="BO139" s="20">
        <f t="shared" si="15"/>
        <v>0</v>
      </c>
      <c r="BP139" s="20">
        <f t="shared" si="16"/>
        <v>5</v>
      </c>
      <c r="BQ139" s="51">
        <f>0.327*0.397*BP139</f>
        <v>0.649095</v>
      </c>
      <c r="BR139" s="56" t="s">
        <v>424</v>
      </c>
      <c r="BS139" s="33" t="s">
        <v>376</v>
      </c>
      <c r="BT139" s="36"/>
      <c r="BU139" s="35" t="s">
        <v>342</v>
      </c>
    </row>
    <row r="140" s="1" customFormat="1" customHeight="1" spans="1:73">
      <c r="A140" s="15" t="s">
        <v>425</v>
      </c>
      <c r="B140" s="15" t="s">
        <v>426</v>
      </c>
      <c r="C140" s="16">
        <v>126</v>
      </c>
      <c r="D140" s="29"/>
      <c r="E140" s="30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30"/>
      <c r="AH140" s="29"/>
      <c r="AI140" s="29"/>
      <c r="AJ140" s="29"/>
      <c r="AK140" s="30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0">
        <f t="shared" si="14"/>
        <v>0</v>
      </c>
      <c r="BO140" s="20">
        <f t="shared" si="15"/>
        <v>0</v>
      </c>
      <c r="BP140" s="20">
        <f t="shared" si="16"/>
        <v>126</v>
      </c>
      <c r="BQ140" s="51">
        <f>0.078*0.27*BP140</f>
        <v>2.65356</v>
      </c>
      <c r="BR140" s="56" t="s">
        <v>427</v>
      </c>
      <c r="BS140" s="33" t="s">
        <v>376</v>
      </c>
      <c r="BT140" s="57" t="s">
        <v>71</v>
      </c>
      <c r="BU140" s="35" t="s">
        <v>342</v>
      </c>
    </row>
    <row r="141" s="1" customFormat="1" customHeight="1" spans="1:73">
      <c r="A141" s="15" t="s">
        <v>425</v>
      </c>
      <c r="B141" s="15" t="s">
        <v>428</v>
      </c>
      <c r="C141" s="16">
        <v>34</v>
      </c>
      <c r="D141" s="29"/>
      <c r="E141" s="30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30"/>
      <c r="AH141" s="29"/>
      <c r="AI141" s="29"/>
      <c r="AJ141" s="29"/>
      <c r="AK141" s="30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0">
        <f t="shared" si="14"/>
        <v>0</v>
      </c>
      <c r="BO141" s="20">
        <f t="shared" si="15"/>
        <v>0</v>
      </c>
      <c r="BP141" s="20">
        <f t="shared" si="16"/>
        <v>34</v>
      </c>
      <c r="BQ141" s="51">
        <f>0.078*0.27*BP141</f>
        <v>0.71604</v>
      </c>
      <c r="BR141" s="56" t="s">
        <v>429</v>
      </c>
      <c r="BS141" s="33" t="s">
        <v>430</v>
      </c>
      <c r="BT141" s="57" t="s">
        <v>431</v>
      </c>
      <c r="BU141" s="35" t="s">
        <v>342</v>
      </c>
    </row>
    <row r="142" s="1" customFormat="1" customHeight="1" spans="1:73">
      <c r="A142" s="15" t="s">
        <v>425</v>
      </c>
      <c r="B142" s="15" t="s">
        <v>408</v>
      </c>
      <c r="C142" s="16">
        <v>28</v>
      </c>
      <c r="D142" s="29"/>
      <c r="E142" s="30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30"/>
      <c r="AH142" s="29"/>
      <c r="AI142" s="29"/>
      <c r="AJ142" s="29"/>
      <c r="AK142" s="30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0">
        <f t="shared" si="14"/>
        <v>0</v>
      </c>
      <c r="BO142" s="20">
        <f t="shared" si="15"/>
        <v>0</v>
      </c>
      <c r="BP142" s="20">
        <f t="shared" si="16"/>
        <v>28</v>
      </c>
      <c r="BQ142" s="51">
        <f>0.22*0.226*BP142</f>
        <v>1.39216</v>
      </c>
      <c r="BR142" s="56" t="s">
        <v>409</v>
      </c>
      <c r="BS142" s="33" t="s">
        <v>376</v>
      </c>
      <c r="BT142" s="57"/>
      <c r="BU142" s="35" t="s">
        <v>342</v>
      </c>
    </row>
    <row r="143" s="1" customFormat="1" customHeight="1" spans="1:73">
      <c r="A143" s="15" t="s">
        <v>425</v>
      </c>
      <c r="B143" s="15" t="s">
        <v>432</v>
      </c>
      <c r="C143" s="16">
        <v>7</v>
      </c>
      <c r="D143" s="29"/>
      <c r="E143" s="30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30"/>
      <c r="AH143" s="29"/>
      <c r="AI143" s="29"/>
      <c r="AJ143" s="29"/>
      <c r="AK143" s="30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0">
        <f t="shared" si="14"/>
        <v>0</v>
      </c>
      <c r="BO143" s="20">
        <f t="shared" si="15"/>
        <v>0</v>
      </c>
      <c r="BP143" s="20">
        <f t="shared" si="16"/>
        <v>7</v>
      </c>
      <c r="BQ143" s="51">
        <f>0.29*0.27*BP143</f>
        <v>0.5481</v>
      </c>
      <c r="BR143" s="56" t="s">
        <v>427</v>
      </c>
      <c r="BS143" s="33" t="s">
        <v>376</v>
      </c>
      <c r="BT143" s="36"/>
      <c r="BU143" s="35" t="s">
        <v>342</v>
      </c>
    </row>
    <row r="144" s="1" customFormat="1" customHeight="1" spans="1:73">
      <c r="A144" s="15" t="s">
        <v>425</v>
      </c>
      <c r="B144" s="15" t="s">
        <v>433</v>
      </c>
      <c r="C144" s="16">
        <v>0</v>
      </c>
      <c r="D144" s="29"/>
      <c r="E144" s="30"/>
      <c r="F144" s="29"/>
      <c r="G144" s="29"/>
      <c r="H144" s="29"/>
      <c r="I144" s="29"/>
      <c r="J144" s="29">
        <v>60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30"/>
      <c r="AH144" s="29"/>
      <c r="AI144" s="29"/>
      <c r="AJ144" s="29"/>
      <c r="AK144" s="30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0">
        <f t="shared" si="14"/>
        <v>60</v>
      </c>
      <c r="BO144" s="20">
        <f t="shared" si="15"/>
        <v>0</v>
      </c>
      <c r="BP144" s="20">
        <f t="shared" si="16"/>
        <v>60</v>
      </c>
      <c r="BQ144" s="51">
        <f>0.29*0.27*BP144</f>
        <v>4.698</v>
      </c>
      <c r="BR144" s="56" t="s">
        <v>384</v>
      </c>
      <c r="BS144" s="33" t="s">
        <v>385</v>
      </c>
      <c r="BT144" s="36"/>
      <c r="BU144" s="35" t="s">
        <v>342</v>
      </c>
    </row>
    <row r="145" s="1" customFormat="1" customHeight="1" spans="1:73">
      <c r="A145" s="80" t="s">
        <v>434</v>
      </c>
      <c r="B145" s="15" t="s">
        <v>435</v>
      </c>
      <c r="C145" s="29">
        <v>22</v>
      </c>
      <c r="D145" s="29"/>
      <c r="E145" s="30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30"/>
      <c r="AH145" s="29"/>
      <c r="AI145" s="29"/>
      <c r="AJ145" s="29"/>
      <c r="AK145" s="30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0">
        <f t="shared" si="14"/>
        <v>0</v>
      </c>
      <c r="BO145" s="20">
        <f t="shared" si="15"/>
        <v>0</v>
      </c>
      <c r="BP145" s="20">
        <f t="shared" si="16"/>
        <v>22</v>
      </c>
      <c r="BQ145" s="55">
        <f>0.269*0.201*BP145</f>
        <v>1.189518</v>
      </c>
      <c r="BR145" s="68" t="s">
        <v>436</v>
      </c>
      <c r="BS145" s="33" t="s">
        <v>437</v>
      </c>
      <c r="BT145" s="36" t="s">
        <v>438</v>
      </c>
      <c r="BU145" s="44" t="s">
        <v>326</v>
      </c>
    </row>
    <row r="146" s="1" customFormat="1" customHeight="1" spans="1:73">
      <c r="A146" s="81" t="s">
        <v>439</v>
      </c>
      <c r="B146" s="15" t="s">
        <v>440</v>
      </c>
      <c r="C146" s="16">
        <v>4</v>
      </c>
      <c r="D146" s="29"/>
      <c r="E146" s="30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30"/>
      <c r="AH146" s="29"/>
      <c r="AI146" s="29"/>
      <c r="AJ146" s="29"/>
      <c r="AK146" s="30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0">
        <f t="shared" si="14"/>
        <v>0</v>
      </c>
      <c r="BO146" s="20">
        <f t="shared" si="15"/>
        <v>0</v>
      </c>
      <c r="BP146" s="20">
        <f t="shared" si="16"/>
        <v>4</v>
      </c>
      <c r="BQ146" s="51">
        <f>0.5*0.4*BP146</f>
        <v>0.8</v>
      </c>
      <c r="BR146" s="56" t="s">
        <v>441</v>
      </c>
      <c r="BS146" s="33" t="s">
        <v>376</v>
      </c>
      <c r="BT146" s="36"/>
      <c r="BU146" s="35" t="s">
        <v>342</v>
      </c>
    </row>
    <row r="147" s="1" customFormat="1" customHeight="1" spans="1:73">
      <c r="A147" s="81" t="s">
        <v>442</v>
      </c>
      <c r="B147" s="15" t="s">
        <v>443</v>
      </c>
      <c r="C147" s="16">
        <v>45</v>
      </c>
      <c r="D147" s="29"/>
      <c r="E147" s="30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30"/>
      <c r="AH147" s="29"/>
      <c r="AI147" s="29"/>
      <c r="AJ147" s="29"/>
      <c r="AK147" s="30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0">
        <f t="shared" si="14"/>
        <v>0</v>
      </c>
      <c r="BO147" s="20">
        <f t="shared" si="15"/>
        <v>0</v>
      </c>
      <c r="BP147" s="20">
        <f t="shared" si="16"/>
        <v>45</v>
      </c>
      <c r="BQ147" s="51">
        <f>0.343*0.172*BP147</f>
        <v>2.65482</v>
      </c>
      <c r="BR147" s="56" t="s">
        <v>444</v>
      </c>
      <c r="BS147" s="33" t="s">
        <v>445</v>
      </c>
      <c r="BT147" s="36"/>
      <c r="BU147" s="35" t="s">
        <v>342</v>
      </c>
    </row>
    <row r="148" s="1" customFormat="1" customHeight="1" spans="1:73">
      <c r="A148" s="15" t="s">
        <v>446</v>
      </c>
      <c r="B148" s="15" t="s">
        <v>447</v>
      </c>
      <c r="C148" s="16">
        <v>8</v>
      </c>
      <c r="D148" s="29"/>
      <c r="E148" s="30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82"/>
      <c r="X148" s="29"/>
      <c r="Y148" s="29"/>
      <c r="Z148" s="29"/>
      <c r="AA148" s="29"/>
      <c r="AB148" s="29"/>
      <c r="AC148" s="29"/>
      <c r="AD148" s="29"/>
      <c r="AE148" s="29"/>
      <c r="AF148" s="29"/>
      <c r="AG148" s="30"/>
      <c r="AH148" s="29"/>
      <c r="AI148" s="29"/>
      <c r="AJ148" s="29"/>
      <c r="AK148" s="30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0">
        <f t="shared" si="14"/>
        <v>0</v>
      </c>
      <c r="BO148" s="20">
        <f t="shared" si="15"/>
        <v>0</v>
      </c>
      <c r="BP148" s="20">
        <f t="shared" si="16"/>
        <v>8</v>
      </c>
      <c r="BQ148" s="51">
        <f>0.242*0.364*BP148</f>
        <v>0.704704</v>
      </c>
      <c r="BR148" s="56" t="s">
        <v>448</v>
      </c>
      <c r="BS148" s="33" t="s">
        <v>376</v>
      </c>
      <c r="BT148" s="34" t="s">
        <v>449</v>
      </c>
      <c r="BU148" s="35" t="s">
        <v>450</v>
      </c>
    </row>
    <row r="149" s="1" customFormat="1" customHeight="1" spans="1:73">
      <c r="A149" s="15" t="s">
        <v>451</v>
      </c>
      <c r="B149" s="15" t="s">
        <v>452</v>
      </c>
      <c r="C149" s="16">
        <v>26</v>
      </c>
      <c r="D149" s="29"/>
      <c r="E149" s="30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82"/>
      <c r="X149" s="29"/>
      <c r="Y149" s="29"/>
      <c r="Z149" s="29"/>
      <c r="AA149" s="29"/>
      <c r="AB149" s="29"/>
      <c r="AC149" s="29"/>
      <c r="AD149" s="29"/>
      <c r="AE149" s="29"/>
      <c r="AF149" s="29"/>
      <c r="AG149" s="30"/>
      <c r="AH149" s="29"/>
      <c r="AI149" s="29"/>
      <c r="AJ149" s="29"/>
      <c r="AK149" s="30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0">
        <f t="shared" si="14"/>
        <v>0</v>
      </c>
      <c r="BO149" s="20">
        <f t="shared" si="15"/>
        <v>0</v>
      </c>
      <c r="BP149" s="20">
        <f t="shared" si="16"/>
        <v>26</v>
      </c>
      <c r="BQ149" s="51">
        <f>0.13*0.205*BP149</f>
        <v>0.6929</v>
      </c>
      <c r="BR149" s="56" t="s">
        <v>453</v>
      </c>
      <c r="BS149" s="33" t="s">
        <v>376</v>
      </c>
      <c r="BT149" s="36"/>
      <c r="BU149" s="35" t="s">
        <v>450</v>
      </c>
    </row>
    <row r="150" s="1" customFormat="1" customHeight="1" spans="1:73">
      <c r="A150" s="15" t="s">
        <v>451</v>
      </c>
      <c r="B150" s="15" t="s">
        <v>454</v>
      </c>
      <c r="C150" s="16">
        <v>28</v>
      </c>
      <c r="D150" s="29"/>
      <c r="E150" s="30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30"/>
      <c r="AH150" s="29"/>
      <c r="AI150" s="29"/>
      <c r="AJ150" s="29"/>
      <c r="AK150" s="30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0">
        <f t="shared" si="14"/>
        <v>0</v>
      </c>
      <c r="BO150" s="20">
        <f t="shared" si="15"/>
        <v>0</v>
      </c>
      <c r="BP150" s="20">
        <f t="shared" si="16"/>
        <v>28</v>
      </c>
      <c r="BQ150" s="51">
        <f>0.22*0.302*BP150</f>
        <v>1.86032</v>
      </c>
      <c r="BR150" s="56" t="s">
        <v>455</v>
      </c>
      <c r="BS150" s="33" t="s">
        <v>376</v>
      </c>
      <c r="BT150" s="36"/>
      <c r="BU150" s="35" t="s">
        <v>450</v>
      </c>
    </row>
    <row r="151" s="1" customFormat="1" customHeight="1" spans="1:73">
      <c r="A151" s="39" t="s">
        <v>456</v>
      </c>
      <c r="B151" s="15" t="s">
        <v>457</v>
      </c>
      <c r="C151" s="83">
        <v>6</v>
      </c>
      <c r="D151" s="84"/>
      <c r="E151" s="84"/>
      <c r="F151" s="84"/>
      <c r="G151" s="83"/>
      <c r="H151" s="84"/>
      <c r="I151" s="84"/>
      <c r="J151" s="84"/>
      <c r="K151" s="84"/>
      <c r="L151" s="84"/>
      <c r="M151" s="84"/>
      <c r="N151" s="84"/>
      <c r="O151" s="84"/>
      <c r="P151" s="83"/>
      <c r="Q151" s="84"/>
      <c r="R151" s="83"/>
      <c r="S151" s="84"/>
      <c r="T151" s="84"/>
      <c r="U151" s="84"/>
      <c r="V151" s="83"/>
      <c r="W151" s="83"/>
      <c r="X151" s="84"/>
      <c r="Y151" s="83"/>
      <c r="Z151" s="84"/>
      <c r="AA151" s="84"/>
      <c r="AB151" s="84"/>
      <c r="AC151" s="83"/>
      <c r="AD151" s="84"/>
      <c r="AE151" s="84"/>
      <c r="AF151" s="84"/>
      <c r="AG151" s="83"/>
      <c r="AH151" s="84"/>
      <c r="AI151" s="84"/>
      <c r="AJ151" s="84"/>
      <c r="AK151" s="84"/>
      <c r="AL151" s="84"/>
      <c r="AM151" s="83"/>
      <c r="AN151" s="84"/>
      <c r="AO151" s="83"/>
      <c r="AP151" s="84"/>
      <c r="AQ151" s="84"/>
      <c r="AR151" s="84"/>
      <c r="AS151" s="84"/>
      <c r="AT151" s="84"/>
      <c r="AU151" s="84"/>
      <c r="AV151" s="84"/>
      <c r="AW151" s="84"/>
      <c r="AX151" s="84"/>
      <c r="AY151" s="83"/>
      <c r="AZ151" s="84"/>
      <c r="BA151" s="84"/>
      <c r="BB151" s="84"/>
      <c r="BC151" s="84"/>
      <c r="BD151" s="84"/>
      <c r="BE151" s="83"/>
      <c r="BF151" s="29"/>
      <c r="BG151" s="84"/>
      <c r="BH151" s="84"/>
      <c r="BI151" s="83"/>
      <c r="BJ151" s="84"/>
      <c r="BK151" s="84"/>
      <c r="BL151" s="84"/>
      <c r="BM151" s="84"/>
      <c r="BN151" s="20">
        <f t="shared" si="14"/>
        <v>0</v>
      </c>
      <c r="BO151" s="20">
        <f t="shared" si="15"/>
        <v>0</v>
      </c>
      <c r="BP151" s="20">
        <f t="shared" si="16"/>
        <v>6</v>
      </c>
      <c r="BQ151" s="55">
        <f>0.305*0.44*BP151</f>
        <v>0.8052</v>
      </c>
      <c r="BR151" s="56" t="s">
        <v>409</v>
      </c>
      <c r="BS151" s="33" t="s">
        <v>376</v>
      </c>
      <c r="BT151" s="34"/>
      <c r="BU151" s="35" t="s">
        <v>450</v>
      </c>
    </row>
    <row r="152" s="1" customFormat="1" customHeight="1" spans="1:73">
      <c r="A152" s="37" t="s">
        <v>458</v>
      </c>
      <c r="B152" s="15" t="s">
        <v>459</v>
      </c>
      <c r="C152" s="16">
        <v>217</v>
      </c>
      <c r="D152" s="29"/>
      <c r="E152" s="30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30"/>
      <c r="AH152" s="29"/>
      <c r="AI152" s="29"/>
      <c r="AJ152" s="29"/>
      <c r="AK152" s="30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0">
        <f t="shared" si="14"/>
        <v>0</v>
      </c>
      <c r="BO152" s="20">
        <f t="shared" si="15"/>
        <v>0</v>
      </c>
      <c r="BP152" s="20">
        <f t="shared" si="16"/>
        <v>217</v>
      </c>
      <c r="BQ152" s="55">
        <f>0.18*0.3*BP152</f>
        <v>11.718</v>
      </c>
      <c r="BR152" s="56" t="s">
        <v>460</v>
      </c>
      <c r="BS152" s="33" t="s">
        <v>376</v>
      </c>
      <c r="BT152" s="57" t="s">
        <v>461</v>
      </c>
      <c r="BU152" s="35" t="s">
        <v>462</v>
      </c>
    </row>
    <row r="153" s="1" customFormat="1" customHeight="1" spans="1:73">
      <c r="A153" s="37" t="s">
        <v>463</v>
      </c>
      <c r="B153" s="15" t="s">
        <v>464</v>
      </c>
      <c r="C153" s="16">
        <v>827</v>
      </c>
      <c r="D153" s="29"/>
      <c r="E153" s="30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30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0">
        <f t="shared" si="14"/>
        <v>0</v>
      </c>
      <c r="BO153" s="20">
        <f t="shared" si="15"/>
        <v>0</v>
      </c>
      <c r="BP153" s="20">
        <f t="shared" si="16"/>
        <v>827</v>
      </c>
      <c r="BQ153" s="55">
        <f>0.325*0.175*BP153</f>
        <v>47.035625</v>
      </c>
      <c r="BR153" s="56" t="s">
        <v>174</v>
      </c>
      <c r="BS153" s="33" t="s">
        <v>175</v>
      </c>
      <c r="BT153" s="57" t="s">
        <v>465</v>
      </c>
      <c r="BU153" s="35" t="s">
        <v>462</v>
      </c>
    </row>
    <row r="154" s="1" customFormat="1" customHeight="1" spans="1:73">
      <c r="A154" s="37" t="s">
        <v>466</v>
      </c>
      <c r="B154" s="15">
        <v>1000</v>
      </c>
      <c r="C154" s="16">
        <v>4.5</v>
      </c>
      <c r="D154" s="29"/>
      <c r="E154" s="30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30"/>
      <c r="AH154" s="29"/>
      <c r="AI154" s="29"/>
      <c r="AJ154" s="29"/>
      <c r="AK154" s="30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0">
        <f t="shared" si="14"/>
        <v>0</v>
      </c>
      <c r="BO154" s="20">
        <f t="shared" si="15"/>
        <v>0</v>
      </c>
      <c r="BP154" s="20">
        <f t="shared" si="16"/>
        <v>4.5</v>
      </c>
      <c r="BQ154" s="55">
        <f>B154/1000*BP154</f>
        <v>4.5</v>
      </c>
      <c r="BR154" s="56" t="s">
        <v>467</v>
      </c>
      <c r="BS154" s="33" t="s">
        <v>468</v>
      </c>
      <c r="BT154" s="85" t="s">
        <v>469</v>
      </c>
      <c r="BU154" s="35" t="s">
        <v>462</v>
      </c>
    </row>
    <row r="155" s="1" customFormat="1" customHeight="1" spans="1:73">
      <c r="A155" s="37" t="s">
        <v>466</v>
      </c>
      <c r="B155" s="15">
        <v>232</v>
      </c>
      <c r="C155" s="16">
        <v>505</v>
      </c>
      <c r="D155" s="29"/>
      <c r="E155" s="30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30"/>
      <c r="AH155" s="29"/>
      <c r="AI155" s="29"/>
      <c r="AJ155" s="29"/>
      <c r="AK155" s="30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0">
        <f t="shared" si="14"/>
        <v>0</v>
      </c>
      <c r="BO155" s="20">
        <f t="shared" si="15"/>
        <v>0</v>
      </c>
      <c r="BP155" s="20">
        <f t="shared" si="16"/>
        <v>505</v>
      </c>
      <c r="BQ155" s="55">
        <f>B155/1000*BP155</f>
        <v>117.16</v>
      </c>
      <c r="BR155" s="56" t="s">
        <v>470</v>
      </c>
      <c r="BS155" s="33" t="s">
        <v>471</v>
      </c>
      <c r="BT155" s="85" t="s">
        <v>472</v>
      </c>
      <c r="BU155" s="35" t="s">
        <v>462</v>
      </c>
    </row>
    <row r="156" s="1" customFormat="1" customHeight="1" spans="1:73">
      <c r="A156" s="76" t="s">
        <v>473</v>
      </c>
      <c r="B156" s="15" t="s">
        <v>474</v>
      </c>
      <c r="C156" s="16">
        <v>10</v>
      </c>
      <c r="D156" s="29"/>
      <c r="E156" s="30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30"/>
      <c r="AH156" s="29"/>
      <c r="AI156" s="29"/>
      <c r="AJ156" s="29"/>
      <c r="AK156" s="30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0">
        <f t="shared" si="14"/>
        <v>0</v>
      </c>
      <c r="BO156" s="20">
        <f t="shared" si="15"/>
        <v>0</v>
      </c>
      <c r="BP156" s="20">
        <f t="shared" si="16"/>
        <v>10</v>
      </c>
      <c r="BQ156" s="51">
        <f>0.26*0.305*BP156</f>
        <v>0.793</v>
      </c>
      <c r="BR156" s="56" t="s">
        <v>475</v>
      </c>
      <c r="BS156" s="33" t="s">
        <v>376</v>
      </c>
      <c r="BT156" s="57" t="s">
        <v>476</v>
      </c>
      <c r="BU156" s="35" t="s">
        <v>462</v>
      </c>
    </row>
    <row r="157" s="1" customFormat="1" customHeight="1" spans="1:73">
      <c r="A157" s="86" t="s">
        <v>477</v>
      </c>
      <c r="B157" s="15" t="s">
        <v>478</v>
      </c>
      <c r="C157" s="16">
        <v>2</v>
      </c>
      <c r="D157" s="29"/>
      <c r="E157" s="30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30"/>
      <c r="AH157" s="29"/>
      <c r="AI157" s="29"/>
      <c r="AJ157" s="29"/>
      <c r="AK157" s="30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0">
        <f t="shared" si="14"/>
        <v>0</v>
      </c>
      <c r="BO157" s="20">
        <f t="shared" si="15"/>
        <v>0</v>
      </c>
      <c r="BP157" s="20">
        <f t="shared" si="16"/>
        <v>2</v>
      </c>
      <c r="BQ157" s="51">
        <f>0.36*0.457*BP157</f>
        <v>0.32904</v>
      </c>
      <c r="BR157" s="56" t="s">
        <v>479</v>
      </c>
      <c r="BS157" s="33" t="s">
        <v>376</v>
      </c>
      <c r="BT157" s="57"/>
      <c r="BU157" s="35" t="s">
        <v>462</v>
      </c>
    </row>
    <row r="158" s="1" customFormat="1" customHeight="1" spans="1:73">
      <c r="A158" s="86" t="s">
        <v>477</v>
      </c>
      <c r="B158" s="15" t="s">
        <v>480</v>
      </c>
      <c r="C158" s="16">
        <v>7</v>
      </c>
      <c r="D158" s="29"/>
      <c r="E158" s="30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30"/>
      <c r="AH158" s="29"/>
      <c r="AI158" s="29"/>
      <c r="AJ158" s="29"/>
      <c r="AK158" s="30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0">
        <f t="shared" si="14"/>
        <v>0</v>
      </c>
      <c r="BO158" s="20">
        <f t="shared" si="15"/>
        <v>0</v>
      </c>
      <c r="BP158" s="20">
        <f t="shared" si="16"/>
        <v>7</v>
      </c>
      <c r="BQ158" s="51">
        <f>0.232*0.21*BP158</f>
        <v>0.34104</v>
      </c>
      <c r="BR158" s="56" t="s">
        <v>481</v>
      </c>
      <c r="BS158" s="33" t="s">
        <v>482</v>
      </c>
      <c r="BT158" s="57"/>
      <c r="BU158" s="35" t="s">
        <v>462</v>
      </c>
    </row>
    <row r="159" s="1" customFormat="1" customHeight="1" spans="1:73">
      <c r="A159" s="86" t="s">
        <v>477</v>
      </c>
      <c r="B159" s="15" t="s">
        <v>483</v>
      </c>
      <c r="C159" s="16">
        <v>7</v>
      </c>
      <c r="D159" s="29"/>
      <c r="E159" s="30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30"/>
      <c r="AH159" s="29"/>
      <c r="AI159" s="29"/>
      <c r="AJ159" s="29"/>
      <c r="AK159" s="30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0">
        <f t="shared" si="14"/>
        <v>0</v>
      </c>
      <c r="BO159" s="20">
        <f t="shared" si="15"/>
        <v>0</v>
      </c>
      <c r="BP159" s="20">
        <f t="shared" si="16"/>
        <v>7</v>
      </c>
      <c r="BQ159" s="51">
        <f>0.232*0.166*BP159</f>
        <v>0.269584</v>
      </c>
      <c r="BR159" s="56" t="s">
        <v>484</v>
      </c>
      <c r="BS159" s="33" t="s">
        <v>485</v>
      </c>
      <c r="BT159" s="57"/>
      <c r="BU159" s="35" t="s">
        <v>462</v>
      </c>
    </row>
    <row r="160" s="1" customFormat="1" customHeight="1" spans="1:73">
      <c r="A160" s="86" t="s">
        <v>486</v>
      </c>
      <c r="B160" s="15" t="s">
        <v>487</v>
      </c>
      <c r="C160" s="16">
        <v>10</v>
      </c>
      <c r="D160" s="29"/>
      <c r="E160" s="30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30"/>
      <c r="AH160" s="29"/>
      <c r="AI160" s="29"/>
      <c r="AJ160" s="29"/>
      <c r="AK160" s="30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0">
        <f t="shared" si="14"/>
        <v>0</v>
      </c>
      <c r="BO160" s="20">
        <f t="shared" si="15"/>
        <v>0</v>
      </c>
      <c r="BP160" s="20">
        <f t="shared" si="16"/>
        <v>10</v>
      </c>
      <c r="BQ160" s="51">
        <f>0.25*0.235*BP160</f>
        <v>0.5875</v>
      </c>
      <c r="BR160" s="56" t="s">
        <v>488</v>
      </c>
      <c r="BS160" s="33" t="s">
        <v>489</v>
      </c>
      <c r="BT160" s="57" t="s">
        <v>476</v>
      </c>
      <c r="BU160" s="35" t="s">
        <v>462</v>
      </c>
    </row>
    <row r="161" s="1" customFormat="1" customHeight="1" spans="1:73">
      <c r="A161" s="87" t="s">
        <v>490</v>
      </c>
      <c r="B161" s="15" t="s">
        <v>491</v>
      </c>
      <c r="C161" s="16">
        <v>373</v>
      </c>
      <c r="D161" s="29"/>
      <c r="E161" s="30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30"/>
      <c r="AH161" s="29"/>
      <c r="AI161" s="29"/>
      <c r="AJ161" s="29"/>
      <c r="AK161" s="30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0">
        <f t="shared" si="14"/>
        <v>0</v>
      </c>
      <c r="BO161" s="20">
        <f t="shared" si="15"/>
        <v>0</v>
      </c>
      <c r="BP161" s="20">
        <f t="shared" si="16"/>
        <v>373</v>
      </c>
      <c r="BQ161" s="51">
        <f>0.453*0.228*BP161</f>
        <v>38.524932</v>
      </c>
      <c r="BR161" s="56" t="s">
        <v>436</v>
      </c>
      <c r="BS161" s="33" t="s">
        <v>492</v>
      </c>
      <c r="BT161" s="57" t="s">
        <v>493</v>
      </c>
      <c r="BU161" s="35" t="s">
        <v>462</v>
      </c>
    </row>
    <row r="162" s="1" customFormat="1" customHeight="1" spans="1:73">
      <c r="A162" s="86" t="s">
        <v>494</v>
      </c>
      <c r="B162" s="15" t="s">
        <v>495</v>
      </c>
      <c r="C162" s="16">
        <v>21</v>
      </c>
      <c r="D162" s="29"/>
      <c r="E162" s="30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0"/>
      <c r="AH162" s="29"/>
      <c r="AI162" s="29"/>
      <c r="AJ162" s="29"/>
      <c r="AK162" s="30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88"/>
      <c r="BJ162" s="29"/>
      <c r="BK162" s="29"/>
      <c r="BL162" s="29"/>
      <c r="BM162" s="29"/>
      <c r="BN162" s="20">
        <f t="shared" si="14"/>
        <v>0</v>
      </c>
      <c r="BO162" s="20">
        <f t="shared" si="15"/>
        <v>0</v>
      </c>
      <c r="BP162" s="20">
        <f t="shared" si="16"/>
        <v>21</v>
      </c>
      <c r="BQ162" s="51">
        <f>0.305*0.162*BP162</f>
        <v>1.03761</v>
      </c>
      <c r="BR162" s="56" t="s">
        <v>213</v>
      </c>
      <c r="BS162" s="33" t="s">
        <v>214</v>
      </c>
      <c r="BT162" s="57" t="s">
        <v>496</v>
      </c>
      <c r="BU162" s="35" t="s">
        <v>462</v>
      </c>
    </row>
    <row r="163" s="1" customFormat="1" customHeight="1" spans="1:73">
      <c r="A163" s="86" t="s">
        <v>494</v>
      </c>
      <c r="B163" s="15" t="s">
        <v>497</v>
      </c>
      <c r="C163" s="16">
        <v>14</v>
      </c>
      <c r="D163" s="29"/>
      <c r="E163" s="30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30"/>
      <c r="AH163" s="29"/>
      <c r="AI163" s="29"/>
      <c r="AJ163" s="29"/>
      <c r="AK163" s="30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88"/>
      <c r="BJ163" s="29"/>
      <c r="BK163" s="29"/>
      <c r="BL163" s="29"/>
      <c r="BM163" s="29"/>
      <c r="BN163" s="20">
        <f t="shared" si="14"/>
        <v>0</v>
      </c>
      <c r="BO163" s="20">
        <f t="shared" si="15"/>
        <v>0</v>
      </c>
      <c r="BP163" s="20">
        <f t="shared" si="16"/>
        <v>14</v>
      </c>
      <c r="BQ163" s="51">
        <f>0.305*0.324*BP163</f>
        <v>1.38348</v>
      </c>
      <c r="BR163" s="56" t="s">
        <v>213</v>
      </c>
      <c r="BS163" s="33" t="s">
        <v>214</v>
      </c>
      <c r="BT163" s="57" t="s">
        <v>496</v>
      </c>
      <c r="BU163" s="35" t="s">
        <v>462</v>
      </c>
    </row>
    <row r="164" s="1" customFormat="1" customHeight="1" spans="1:73">
      <c r="A164" s="41" t="s">
        <v>498</v>
      </c>
      <c r="B164" s="15">
        <v>80</v>
      </c>
      <c r="C164" s="83">
        <v>20</v>
      </c>
      <c r="D164" s="84"/>
      <c r="E164" s="84"/>
      <c r="F164" s="84"/>
      <c r="G164" s="83"/>
      <c r="H164" s="84"/>
      <c r="I164" s="84"/>
      <c r="J164" s="84"/>
      <c r="K164" s="84"/>
      <c r="L164" s="84"/>
      <c r="M164" s="84"/>
      <c r="N164" s="84"/>
      <c r="O164" s="84"/>
      <c r="P164" s="83"/>
      <c r="Q164" s="84"/>
      <c r="R164" s="83"/>
      <c r="S164" s="84"/>
      <c r="T164" s="84"/>
      <c r="U164" s="84"/>
      <c r="V164" s="83"/>
      <c r="W164" s="83"/>
      <c r="X164" s="84"/>
      <c r="Y164" s="83"/>
      <c r="Z164" s="84"/>
      <c r="AA164" s="84"/>
      <c r="AB164" s="84"/>
      <c r="AC164" s="83"/>
      <c r="AD164" s="84"/>
      <c r="AE164" s="84"/>
      <c r="AF164" s="84"/>
      <c r="AG164" s="83"/>
      <c r="AH164" s="84"/>
      <c r="AI164" s="84"/>
      <c r="AJ164" s="84"/>
      <c r="AK164" s="84"/>
      <c r="AL164" s="84"/>
      <c r="AM164" s="83"/>
      <c r="AN164" s="84"/>
      <c r="AO164" s="83"/>
      <c r="AP164" s="84"/>
      <c r="AQ164" s="84"/>
      <c r="AR164" s="84"/>
      <c r="AS164" s="84"/>
      <c r="AT164" s="84"/>
      <c r="AU164" s="84"/>
      <c r="AV164" s="84"/>
      <c r="AW164" s="84"/>
      <c r="AX164" s="84"/>
      <c r="AY164" s="83"/>
      <c r="AZ164" s="84"/>
      <c r="BA164" s="84"/>
      <c r="BB164" s="84"/>
      <c r="BC164" s="84"/>
      <c r="BD164" s="84"/>
      <c r="BE164" s="83"/>
      <c r="BF164" s="29"/>
      <c r="BG164" s="84"/>
      <c r="BH164" s="84"/>
      <c r="BI164" s="46"/>
      <c r="BJ164" s="84"/>
      <c r="BK164" s="84"/>
      <c r="BL164" s="84"/>
      <c r="BM164" s="84"/>
      <c r="BN164" s="20">
        <f t="shared" si="14"/>
        <v>0</v>
      </c>
      <c r="BO164" s="20">
        <f t="shared" si="15"/>
        <v>0</v>
      </c>
      <c r="BP164" s="20">
        <f t="shared" si="16"/>
        <v>20</v>
      </c>
      <c r="BQ164" s="51">
        <f t="shared" ref="BQ164:BQ169" si="17">B164/1000*BP164</f>
        <v>1.6</v>
      </c>
      <c r="BR164" s="68" t="s">
        <v>499</v>
      </c>
      <c r="BS164" s="33" t="s">
        <v>376</v>
      </c>
      <c r="BT164" s="89" t="s">
        <v>500</v>
      </c>
      <c r="BU164" s="35" t="s">
        <v>501</v>
      </c>
    </row>
    <row r="165" s="1" customFormat="1" customHeight="1" spans="1:73">
      <c r="A165" s="41" t="s">
        <v>498</v>
      </c>
      <c r="B165" s="15">
        <v>155</v>
      </c>
      <c r="C165" s="83">
        <v>95</v>
      </c>
      <c r="D165" s="84"/>
      <c r="E165" s="84"/>
      <c r="F165" s="84"/>
      <c r="G165" s="83"/>
      <c r="H165" s="84"/>
      <c r="I165" s="84"/>
      <c r="J165" s="84"/>
      <c r="K165" s="84"/>
      <c r="L165" s="84"/>
      <c r="M165" s="84"/>
      <c r="N165" s="84"/>
      <c r="O165" s="84"/>
      <c r="P165" s="83"/>
      <c r="Q165" s="84"/>
      <c r="R165" s="83"/>
      <c r="S165" s="84"/>
      <c r="T165" s="84"/>
      <c r="U165" s="84"/>
      <c r="V165" s="83"/>
      <c r="W165" s="83"/>
      <c r="X165" s="84"/>
      <c r="Y165" s="83"/>
      <c r="Z165" s="84"/>
      <c r="AA165" s="84"/>
      <c r="AB165" s="84"/>
      <c r="AC165" s="83"/>
      <c r="AD165" s="84"/>
      <c r="AE165" s="84"/>
      <c r="AF165" s="84"/>
      <c r="AG165" s="83"/>
      <c r="AH165" s="84"/>
      <c r="AI165" s="84"/>
      <c r="AJ165" s="84"/>
      <c r="AK165" s="84"/>
      <c r="AL165" s="84"/>
      <c r="AM165" s="83"/>
      <c r="AN165" s="84"/>
      <c r="AO165" s="83"/>
      <c r="AP165" s="84"/>
      <c r="AQ165" s="84"/>
      <c r="AR165" s="84"/>
      <c r="AS165" s="84"/>
      <c r="AT165" s="84"/>
      <c r="AU165" s="84"/>
      <c r="AV165" s="84"/>
      <c r="AW165" s="84"/>
      <c r="AX165" s="84"/>
      <c r="AY165" s="83"/>
      <c r="AZ165" s="84"/>
      <c r="BA165" s="84"/>
      <c r="BB165" s="84"/>
      <c r="BC165" s="84"/>
      <c r="BD165" s="84"/>
      <c r="BE165" s="83"/>
      <c r="BF165" s="29"/>
      <c r="BG165" s="84"/>
      <c r="BH165" s="84"/>
      <c r="BI165" s="83"/>
      <c r="BJ165" s="84"/>
      <c r="BK165" s="84"/>
      <c r="BL165" s="84"/>
      <c r="BM165" s="84"/>
      <c r="BN165" s="20">
        <f t="shared" si="14"/>
        <v>0</v>
      </c>
      <c r="BO165" s="20">
        <f t="shared" si="15"/>
        <v>0</v>
      </c>
      <c r="BP165" s="20">
        <f t="shared" si="16"/>
        <v>95</v>
      </c>
      <c r="BQ165" s="51">
        <f t="shared" si="17"/>
        <v>14.725</v>
      </c>
      <c r="BR165" s="68" t="s">
        <v>280</v>
      </c>
      <c r="BS165" s="33" t="s">
        <v>281</v>
      </c>
      <c r="BT165" s="89" t="s">
        <v>500</v>
      </c>
      <c r="BU165" s="35" t="s">
        <v>501</v>
      </c>
    </row>
    <row r="166" s="1" customFormat="1" customHeight="1" spans="1:73">
      <c r="A166" s="48" t="s">
        <v>502</v>
      </c>
      <c r="B166" s="15">
        <v>132</v>
      </c>
      <c r="C166" s="83">
        <v>444</v>
      </c>
      <c r="D166" s="84"/>
      <c r="E166" s="84"/>
      <c r="F166" s="84"/>
      <c r="G166" s="83"/>
      <c r="H166" s="84"/>
      <c r="I166" s="84"/>
      <c r="J166" s="84"/>
      <c r="K166" s="84"/>
      <c r="L166" s="84"/>
      <c r="M166" s="84"/>
      <c r="N166" s="84"/>
      <c r="O166" s="84"/>
      <c r="P166" s="83"/>
      <c r="Q166" s="84"/>
      <c r="R166" s="83"/>
      <c r="S166" s="84"/>
      <c r="T166" s="84"/>
      <c r="U166" s="84"/>
      <c r="V166" s="83"/>
      <c r="W166" s="83"/>
      <c r="X166" s="84"/>
      <c r="Y166" s="83"/>
      <c r="Z166" s="84"/>
      <c r="AA166" s="84"/>
      <c r="AB166" s="84"/>
      <c r="AC166" s="83"/>
      <c r="AD166" s="84"/>
      <c r="AE166" s="84"/>
      <c r="AF166" s="84"/>
      <c r="AG166" s="83"/>
      <c r="AH166" s="84"/>
      <c r="AI166" s="84"/>
      <c r="AJ166" s="84"/>
      <c r="AK166" s="84"/>
      <c r="AL166" s="84"/>
      <c r="AM166" s="83"/>
      <c r="AN166" s="84"/>
      <c r="AO166" s="83"/>
      <c r="AP166" s="84"/>
      <c r="AQ166" s="84"/>
      <c r="AR166" s="84"/>
      <c r="AS166" s="84"/>
      <c r="AT166" s="84"/>
      <c r="AU166" s="84"/>
      <c r="AV166" s="84"/>
      <c r="AW166" s="84"/>
      <c r="AX166" s="84"/>
      <c r="AY166" s="83"/>
      <c r="AZ166" s="84"/>
      <c r="BA166" s="84"/>
      <c r="BB166" s="84"/>
      <c r="BC166" s="84"/>
      <c r="BD166" s="84"/>
      <c r="BE166" s="83"/>
      <c r="BF166" s="29"/>
      <c r="BG166" s="84"/>
      <c r="BH166" s="84"/>
      <c r="BI166" s="83"/>
      <c r="BJ166" s="84"/>
      <c r="BK166" s="84"/>
      <c r="BL166" s="84"/>
      <c r="BM166" s="84"/>
      <c r="BN166" s="20">
        <f t="shared" si="14"/>
        <v>0</v>
      </c>
      <c r="BO166" s="20">
        <f t="shared" si="15"/>
        <v>0</v>
      </c>
      <c r="BP166" s="20">
        <f t="shared" si="16"/>
        <v>444</v>
      </c>
      <c r="BQ166" s="51">
        <f t="shared" si="17"/>
        <v>58.608</v>
      </c>
      <c r="BR166" s="56" t="s">
        <v>503</v>
      </c>
      <c r="BS166" s="33" t="s">
        <v>376</v>
      </c>
      <c r="BT166" s="57" t="s">
        <v>504</v>
      </c>
      <c r="BU166" s="35" t="s">
        <v>501</v>
      </c>
    </row>
    <row r="167" s="1" customFormat="1" customHeight="1" spans="1:73">
      <c r="A167" s="28" t="s">
        <v>505</v>
      </c>
      <c r="B167" s="15">
        <v>160</v>
      </c>
      <c r="C167" s="16">
        <v>95</v>
      </c>
      <c r="D167" s="29"/>
      <c r="E167" s="30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30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30"/>
      <c r="AH167" s="29"/>
      <c r="AI167" s="29"/>
      <c r="AJ167" s="29"/>
      <c r="AK167" s="30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0">
        <f t="shared" si="14"/>
        <v>0</v>
      </c>
      <c r="BO167" s="20">
        <f t="shared" si="15"/>
        <v>0</v>
      </c>
      <c r="BP167" s="20">
        <f t="shared" si="16"/>
        <v>95</v>
      </c>
      <c r="BQ167" s="51">
        <f t="shared" si="17"/>
        <v>15.2</v>
      </c>
      <c r="BR167" s="56" t="s">
        <v>506</v>
      </c>
      <c r="BS167" s="33" t="s">
        <v>376</v>
      </c>
      <c r="BT167" s="36"/>
      <c r="BU167" s="35" t="s">
        <v>501</v>
      </c>
    </row>
    <row r="168" s="1" customFormat="1" customHeight="1" spans="1:73">
      <c r="A168" s="28" t="s">
        <v>507</v>
      </c>
      <c r="B168" s="15">
        <v>350</v>
      </c>
      <c r="C168" s="16">
        <v>3</v>
      </c>
      <c r="D168" s="29"/>
      <c r="E168" s="30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30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30"/>
      <c r="AH168" s="29"/>
      <c r="AI168" s="29"/>
      <c r="AJ168" s="29"/>
      <c r="AK168" s="30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0">
        <f t="shared" si="14"/>
        <v>0</v>
      </c>
      <c r="BO168" s="20">
        <f t="shared" si="15"/>
        <v>0</v>
      </c>
      <c r="BP168" s="20">
        <f t="shared" si="16"/>
        <v>3</v>
      </c>
      <c r="BQ168" s="51">
        <f t="shared" si="17"/>
        <v>1.05</v>
      </c>
      <c r="BR168" s="56" t="s">
        <v>508</v>
      </c>
      <c r="BS168" s="33" t="s">
        <v>509</v>
      </c>
      <c r="BT168" s="36" t="s">
        <v>510</v>
      </c>
      <c r="BU168" s="35" t="s">
        <v>501</v>
      </c>
    </row>
    <row r="169" s="1" customFormat="1" customHeight="1" spans="1:73">
      <c r="A169" s="28" t="s">
        <v>507</v>
      </c>
      <c r="B169" s="15">
        <v>580</v>
      </c>
      <c r="C169" s="16">
        <v>6</v>
      </c>
      <c r="D169" s="29"/>
      <c r="E169" s="30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30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0"/>
      <c r="AH169" s="29"/>
      <c r="AI169" s="29"/>
      <c r="AJ169" s="29"/>
      <c r="AK169" s="30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0">
        <f t="shared" si="14"/>
        <v>0</v>
      </c>
      <c r="BO169" s="20">
        <f t="shared" si="15"/>
        <v>0</v>
      </c>
      <c r="BP169" s="20">
        <f t="shared" si="16"/>
        <v>6</v>
      </c>
      <c r="BQ169" s="51">
        <f t="shared" si="17"/>
        <v>3.48</v>
      </c>
      <c r="BR169" s="56" t="s">
        <v>508</v>
      </c>
      <c r="BS169" s="33" t="s">
        <v>509</v>
      </c>
      <c r="BT169" s="36" t="s">
        <v>510</v>
      </c>
      <c r="BU169" s="35" t="s">
        <v>501</v>
      </c>
    </row>
    <row r="170" s="1" customFormat="1" customHeight="1" spans="1:73">
      <c r="A170" s="28" t="s">
        <v>511</v>
      </c>
      <c r="B170" s="15" t="s">
        <v>512</v>
      </c>
      <c r="C170" s="16">
        <v>250</v>
      </c>
      <c r="D170" s="29"/>
      <c r="E170" s="30"/>
      <c r="F170" s="29"/>
      <c r="G170" s="30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30"/>
      <c r="Z170" s="29"/>
      <c r="AA170" s="29"/>
      <c r="AB170" s="29"/>
      <c r="AC170" s="29"/>
      <c r="AD170" s="29"/>
      <c r="AE170" s="29"/>
      <c r="AF170" s="29"/>
      <c r="AG170" s="30"/>
      <c r="AH170" s="29"/>
      <c r="AI170" s="29"/>
      <c r="AJ170" s="29"/>
      <c r="AK170" s="30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0">
        <f t="shared" si="14"/>
        <v>0</v>
      </c>
      <c r="BO170" s="20">
        <f t="shared" si="15"/>
        <v>0</v>
      </c>
      <c r="BP170" s="20">
        <f t="shared" si="16"/>
        <v>250</v>
      </c>
      <c r="BQ170" s="51">
        <f>0.13*0.215*BP170</f>
        <v>6.9875</v>
      </c>
      <c r="BR170" s="56" t="s">
        <v>513</v>
      </c>
      <c r="BS170" s="33" t="s">
        <v>376</v>
      </c>
      <c r="BT170" s="57" t="s">
        <v>514</v>
      </c>
      <c r="BU170" s="35" t="s">
        <v>515</v>
      </c>
    </row>
    <row r="171" s="1" customFormat="1" customHeight="1" spans="1:73">
      <c r="A171" s="28" t="s">
        <v>511</v>
      </c>
      <c r="B171" s="15" t="s">
        <v>516</v>
      </c>
      <c r="C171" s="16">
        <v>103</v>
      </c>
      <c r="D171" s="29"/>
      <c r="E171" s="30"/>
      <c r="F171" s="29"/>
      <c r="G171" s="30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30"/>
      <c r="Z171" s="29"/>
      <c r="AA171" s="29"/>
      <c r="AB171" s="29"/>
      <c r="AC171" s="29"/>
      <c r="AD171" s="29"/>
      <c r="AE171" s="29"/>
      <c r="AF171" s="29"/>
      <c r="AG171" s="30"/>
      <c r="AH171" s="29"/>
      <c r="AI171" s="29"/>
      <c r="AJ171" s="29"/>
      <c r="AK171" s="30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0">
        <f t="shared" si="14"/>
        <v>0</v>
      </c>
      <c r="BO171" s="20">
        <f t="shared" si="15"/>
        <v>0</v>
      </c>
      <c r="BP171" s="20">
        <f t="shared" si="16"/>
        <v>103</v>
      </c>
      <c r="BQ171" s="51">
        <f>0.31*0.15*BP171</f>
        <v>4.7895</v>
      </c>
      <c r="BR171" s="56" t="s">
        <v>517</v>
      </c>
      <c r="BS171" s="33" t="s">
        <v>518</v>
      </c>
      <c r="BT171" s="57" t="s">
        <v>519</v>
      </c>
      <c r="BU171" s="35" t="s">
        <v>501</v>
      </c>
    </row>
    <row r="172" s="1" customFormat="1" customHeight="1" spans="1:73">
      <c r="A172" s="28" t="s">
        <v>511</v>
      </c>
      <c r="B172" s="15" t="s">
        <v>520</v>
      </c>
      <c r="C172" s="16">
        <v>12</v>
      </c>
      <c r="D172" s="29"/>
      <c r="E172" s="30"/>
      <c r="F172" s="29"/>
      <c r="G172" s="30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30"/>
      <c r="Z172" s="29"/>
      <c r="AA172" s="29"/>
      <c r="AB172" s="29"/>
      <c r="AC172" s="29"/>
      <c r="AD172" s="29"/>
      <c r="AE172" s="29"/>
      <c r="AF172" s="29"/>
      <c r="AG172" s="30"/>
      <c r="AH172" s="29"/>
      <c r="AI172" s="29"/>
      <c r="AJ172" s="29"/>
      <c r="AK172" s="30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0">
        <f t="shared" si="14"/>
        <v>0</v>
      </c>
      <c r="BO172" s="20">
        <f t="shared" si="15"/>
        <v>0</v>
      </c>
      <c r="BP172" s="20">
        <f t="shared" si="16"/>
        <v>12</v>
      </c>
      <c r="BQ172" s="51">
        <f>0.31*0.162*BP172</f>
        <v>0.60264</v>
      </c>
      <c r="BR172" s="56" t="s">
        <v>102</v>
      </c>
      <c r="BS172" s="33" t="s">
        <v>103</v>
      </c>
      <c r="BT172" s="57"/>
      <c r="BU172" s="35" t="s">
        <v>501</v>
      </c>
    </row>
    <row r="173" s="1" customFormat="1" customHeight="1" spans="1:73">
      <c r="A173" s="28" t="s">
        <v>511</v>
      </c>
      <c r="B173" s="15" t="s">
        <v>521</v>
      </c>
      <c r="C173" s="16">
        <v>8</v>
      </c>
      <c r="D173" s="29"/>
      <c r="E173" s="30"/>
      <c r="F173" s="29"/>
      <c r="G173" s="30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30"/>
      <c r="Z173" s="29"/>
      <c r="AA173" s="29"/>
      <c r="AB173" s="29"/>
      <c r="AC173" s="29"/>
      <c r="AD173" s="29"/>
      <c r="AE173" s="29"/>
      <c r="AF173" s="29"/>
      <c r="AG173" s="30"/>
      <c r="AH173" s="29"/>
      <c r="AI173" s="29"/>
      <c r="AJ173" s="29"/>
      <c r="AK173" s="30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0">
        <f t="shared" si="14"/>
        <v>0</v>
      </c>
      <c r="BO173" s="20">
        <f t="shared" si="15"/>
        <v>0</v>
      </c>
      <c r="BP173" s="20">
        <f t="shared" si="16"/>
        <v>8</v>
      </c>
      <c r="BQ173" s="51">
        <f>0.332*0.18*BP173</f>
        <v>0.47808</v>
      </c>
      <c r="BR173" s="56" t="s">
        <v>522</v>
      </c>
      <c r="BS173" s="33" t="s">
        <v>523</v>
      </c>
      <c r="BT173" s="57"/>
      <c r="BU173" s="35" t="s">
        <v>501</v>
      </c>
    </row>
    <row r="174" s="1" customFormat="1" customHeight="1" spans="1:73">
      <c r="A174" s="28" t="s">
        <v>511</v>
      </c>
      <c r="B174" s="15" t="s">
        <v>524</v>
      </c>
      <c r="C174" s="16">
        <v>8</v>
      </c>
      <c r="D174" s="29"/>
      <c r="E174" s="30"/>
      <c r="F174" s="29"/>
      <c r="G174" s="30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30"/>
      <c r="Z174" s="29"/>
      <c r="AA174" s="29"/>
      <c r="AB174" s="29"/>
      <c r="AC174" s="29"/>
      <c r="AD174" s="29"/>
      <c r="AE174" s="29"/>
      <c r="AF174" s="29"/>
      <c r="AG174" s="30"/>
      <c r="AH174" s="29"/>
      <c r="AI174" s="29"/>
      <c r="AJ174" s="29"/>
      <c r="AK174" s="30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0">
        <f t="shared" si="14"/>
        <v>0</v>
      </c>
      <c r="BO174" s="20">
        <f t="shared" si="15"/>
        <v>0</v>
      </c>
      <c r="BP174" s="20">
        <f t="shared" si="16"/>
        <v>8</v>
      </c>
      <c r="BQ174" s="51">
        <f>0.33*0.232*BP174</f>
        <v>0.61248</v>
      </c>
      <c r="BR174" s="56" t="s">
        <v>522</v>
      </c>
      <c r="BS174" s="33" t="s">
        <v>523</v>
      </c>
      <c r="BT174" s="57"/>
      <c r="BU174" s="35" t="s">
        <v>501</v>
      </c>
    </row>
    <row r="175" s="1" customFormat="1" customHeight="1" spans="1:73">
      <c r="A175" s="90" t="s">
        <v>525</v>
      </c>
      <c r="B175" s="15" t="s">
        <v>526</v>
      </c>
      <c r="C175" s="16">
        <v>295</v>
      </c>
      <c r="D175" s="29"/>
      <c r="E175" s="30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30"/>
      <c r="Z175" s="29"/>
      <c r="AA175" s="29"/>
      <c r="AB175" s="29"/>
      <c r="AC175" s="29"/>
      <c r="AD175" s="29"/>
      <c r="AE175" s="29"/>
      <c r="AF175" s="29"/>
      <c r="AG175" s="30"/>
      <c r="AH175" s="29"/>
      <c r="AI175" s="29"/>
      <c r="AJ175" s="29"/>
      <c r="AK175" s="30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0">
        <f t="shared" si="14"/>
        <v>0</v>
      </c>
      <c r="BO175" s="20">
        <f t="shared" si="15"/>
        <v>0</v>
      </c>
      <c r="BP175" s="20">
        <f t="shared" si="16"/>
        <v>295</v>
      </c>
      <c r="BQ175" s="51">
        <f>0.31*0.305*BP175</f>
        <v>27.89225</v>
      </c>
      <c r="BR175" s="56" t="s">
        <v>174</v>
      </c>
      <c r="BS175" s="33" t="s">
        <v>175</v>
      </c>
      <c r="BT175" s="36" t="s">
        <v>527</v>
      </c>
      <c r="BU175" s="35" t="s">
        <v>211</v>
      </c>
    </row>
    <row r="176" s="1" customFormat="1" customHeight="1" spans="1:73">
      <c r="A176" s="28" t="s">
        <v>511</v>
      </c>
      <c r="B176" s="15" t="s">
        <v>528</v>
      </c>
      <c r="C176" s="16">
        <v>8</v>
      </c>
      <c r="D176" s="29"/>
      <c r="E176" s="30"/>
      <c r="F176" s="29"/>
      <c r="G176" s="30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30"/>
      <c r="Z176" s="29"/>
      <c r="AA176" s="29"/>
      <c r="AB176" s="29"/>
      <c r="AC176" s="29"/>
      <c r="AD176" s="29"/>
      <c r="AE176" s="29"/>
      <c r="AF176" s="29"/>
      <c r="AG176" s="30"/>
      <c r="AH176" s="29"/>
      <c r="AI176" s="29"/>
      <c r="AJ176" s="29"/>
      <c r="AK176" s="30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0">
        <f t="shared" si="14"/>
        <v>0</v>
      </c>
      <c r="BO176" s="20">
        <f t="shared" si="15"/>
        <v>0</v>
      </c>
      <c r="BP176" s="20">
        <f t="shared" si="16"/>
        <v>8</v>
      </c>
      <c r="BQ176" s="51">
        <f>0.31*0.4*BP176</f>
        <v>0.992</v>
      </c>
      <c r="BR176" s="56" t="s">
        <v>529</v>
      </c>
      <c r="BS176" s="33" t="s">
        <v>530</v>
      </c>
      <c r="BT176" s="57" t="s">
        <v>531</v>
      </c>
      <c r="BU176" s="35" t="s">
        <v>501</v>
      </c>
    </row>
    <row r="177" s="1" customFormat="1" customHeight="1" spans="1:73">
      <c r="A177" s="15" t="s">
        <v>532</v>
      </c>
      <c r="B177" s="15">
        <v>70</v>
      </c>
      <c r="C177" s="16">
        <v>187</v>
      </c>
      <c r="D177" s="29"/>
      <c r="E177" s="30"/>
      <c r="F177" s="29"/>
      <c r="G177" s="30"/>
      <c r="H177" s="29"/>
      <c r="I177" s="30"/>
      <c r="J177" s="29"/>
      <c r="K177" s="29"/>
      <c r="L177" s="29"/>
      <c r="M177" s="30"/>
      <c r="N177" s="29"/>
      <c r="O177" s="29"/>
      <c r="P177" s="29"/>
      <c r="Q177" s="29"/>
      <c r="R177" s="29"/>
      <c r="S177" s="29"/>
      <c r="T177" s="29"/>
      <c r="U177" s="29"/>
      <c r="V177" s="29"/>
      <c r="W177" s="30"/>
      <c r="X177" s="29"/>
      <c r="Y177" s="29"/>
      <c r="Z177" s="29"/>
      <c r="AA177" s="29"/>
      <c r="AB177" s="29"/>
      <c r="AC177" s="29"/>
      <c r="AD177" s="29"/>
      <c r="AE177" s="29"/>
      <c r="AF177" s="29"/>
      <c r="AG177" s="30"/>
      <c r="AH177" s="29"/>
      <c r="AI177" s="30"/>
      <c r="AJ177" s="29"/>
      <c r="AK177" s="29"/>
      <c r="AL177" s="29"/>
      <c r="AM177" s="29"/>
      <c r="AN177" s="29"/>
      <c r="AO177" s="29"/>
      <c r="AP177" s="29"/>
      <c r="AQ177" s="30"/>
      <c r="AR177" s="29"/>
      <c r="AS177" s="29"/>
      <c r="AT177" s="29"/>
      <c r="AU177" s="30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0">
        <f t="shared" si="14"/>
        <v>0</v>
      </c>
      <c r="BO177" s="20">
        <f t="shared" si="15"/>
        <v>0</v>
      </c>
      <c r="BP177" s="20">
        <f t="shared" si="16"/>
        <v>187</v>
      </c>
      <c r="BQ177" s="51">
        <f>B177*BP177/1000</f>
        <v>13.09</v>
      </c>
      <c r="BR177" s="56" t="s">
        <v>533</v>
      </c>
      <c r="BS177" s="91" t="s">
        <v>534</v>
      </c>
      <c r="BT177" s="36" t="s">
        <v>535</v>
      </c>
      <c r="BU177" s="35" t="s">
        <v>104</v>
      </c>
    </row>
    <row r="178" s="1" customFormat="1" customHeight="1" spans="1:73">
      <c r="A178" s="92" t="s">
        <v>536</v>
      </c>
      <c r="B178" s="15" t="s">
        <v>537</v>
      </c>
      <c r="C178" s="16">
        <v>10</v>
      </c>
      <c r="D178" s="29"/>
      <c r="E178" s="30"/>
      <c r="F178" s="29"/>
      <c r="G178" s="30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30"/>
      <c r="Z178" s="29"/>
      <c r="AA178" s="29"/>
      <c r="AB178" s="29"/>
      <c r="AC178" s="29"/>
      <c r="AD178" s="29"/>
      <c r="AE178" s="29"/>
      <c r="AF178" s="29"/>
      <c r="AG178" s="30"/>
      <c r="AH178" s="29"/>
      <c r="AI178" s="29"/>
      <c r="AJ178" s="29"/>
      <c r="AK178" s="30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0">
        <f t="shared" si="14"/>
        <v>0</v>
      </c>
      <c r="BO178" s="20">
        <f t="shared" si="15"/>
        <v>0</v>
      </c>
      <c r="BP178" s="20">
        <f t="shared" si="16"/>
        <v>10</v>
      </c>
      <c r="BQ178" s="51">
        <f>0.26*0.183*BP178</f>
        <v>0.4758</v>
      </c>
      <c r="BR178" s="56" t="s">
        <v>538</v>
      </c>
      <c r="BS178" s="33" t="s">
        <v>539</v>
      </c>
      <c r="BT178" s="57" t="s">
        <v>540</v>
      </c>
      <c r="BU178" s="35" t="s">
        <v>501</v>
      </c>
    </row>
    <row r="179" s="1" customFormat="1" customHeight="1" spans="1:73">
      <c r="A179" s="92" t="s">
        <v>541</v>
      </c>
      <c r="B179" s="15">
        <v>430</v>
      </c>
      <c r="C179" s="16">
        <v>30</v>
      </c>
      <c r="D179" s="29"/>
      <c r="E179" s="30"/>
      <c r="F179" s="29"/>
      <c r="G179" s="30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30"/>
      <c r="Z179" s="29"/>
      <c r="AA179" s="29"/>
      <c r="AB179" s="29"/>
      <c r="AC179" s="29"/>
      <c r="AD179" s="29"/>
      <c r="AE179" s="29"/>
      <c r="AF179" s="29"/>
      <c r="AG179" s="30"/>
      <c r="AH179" s="29"/>
      <c r="AI179" s="29"/>
      <c r="AJ179" s="29"/>
      <c r="AK179" s="30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0">
        <f t="shared" si="14"/>
        <v>0</v>
      </c>
      <c r="BO179" s="20">
        <f t="shared" si="15"/>
        <v>0</v>
      </c>
      <c r="BP179" s="20">
        <f t="shared" si="16"/>
        <v>30</v>
      </c>
      <c r="BQ179" s="55">
        <f t="shared" ref="BQ179:BQ182" si="18">B179/1000*BP179</f>
        <v>12.9</v>
      </c>
      <c r="BR179" s="56" t="s">
        <v>533</v>
      </c>
      <c r="BS179" s="33" t="s">
        <v>376</v>
      </c>
      <c r="BT179" s="57"/>
      <c r="BU179" s="44" t="s">
        <v>501</v>
      </c>
    </row>
    <row r="180" s="1" customFormat="1" customHeight="1" spans="1:73">
      <c r="A180" s="92" t="s">
        <v>541</v>
      </c>
      <c r="B180" s="15">
        <v>70</v>
      </c>
      <c r="C180" s="16">
        <v>13</v>
      </c>
      <c r="D180" s="29"/>
      <c r="E180" s="30"/>
      <c r="F180" s="29"/>
      <c r="G180" s="30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30"/>
      <c r="Z180" s="29"/>
      <c r="AA180" s="29"/>
      <c r="AB180" s="29"/>
      <c r="AC180" s="29"/>
      <c r="AD180" s="29"/>
      <c r="AE180" s="29"/>
      <c r="AF180" s="29"/>
      <c r="AG180" s="30"/>
      <c r="AH180" s="29"/>
      <c r="AI180" s="29"/>
      <c r="AJ180" s="29"/>
      <c r="AK180" s="30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0">
        <f t="shared" si="14"/>
        <v>0</v>
      </c>
      <c r="BO180" s="20">
        <f t="shared" si="15"/>
        <v>0</v>
      </c>
      <c r="BP180" s="20">
        <f t="shared" si="16"/>
        <v>13</v>
      </c>
      <c r="BQ180" s="55">
        <f t="shared" si="18"/>
        <v>0.91</v>
      </c>
      <c r="BR180" s="56" t="s">
        <v>533</v>
      </c>
      <c r="BS180" s="33" t="s">
        <v>376</v>
      </c>
      <c r="BT180" s="57"/>
      <c r="BU180" s="44" t="s">
        <v>501</v>
      </c>
    </row>
    <row r="181" s="1" customFormat="1" customHeight="1" spans="1:73">
      <c r="A181" s="92" t="s">
        <v>542</v>
      </c>
      <c r="B181" s="15">
        <v>132</v>
      </c>
      <c r="C181" s="29">
        <v>19</v>
      </c>
      <c r="D181" s="29"/>
      <c r="E181" s="30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30"/>
      <c r="AH181" s="29"/>
      <c r="AI181" s="29"/>
      <c r="AJ181" s="29"/>
      <c r="AK181" s="30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0">
        <f t="shared" si="14"/>
        <v>0</v>
      </c>
      <c r="BO181" s="20">
        <f t="shared" si="15"/>
        <v>0</v>
      </c>
      <c r="BP181" s="20">
        <f t="shared" si="16"/>
        <v>19</v>
      </c>
      <c r="BQ181" s="55">
        <f t="shared" si="18"/>
        <v>2.508</v>
      </c>
      <c r="BR181" s="68" t="s">
        <v>543</v>
      </c>
      <c r="BS181" s="33" t="s">
        <v>376</v>
      </c>
      <c r="BT181" s="93" t="s">
        <v>544</v>
      </c>
      <c r="BU181" s="44" t="s">
        <v>501</v>
      </c>
    </row>
    <row r="182" s="1" customFormat="1" customHeight="1" spans="1:73">
      <c r="A182" s="37" t="s">
        <v>545</v>
      </c>
      <c r="B182" s="15">
        <v>186</v>
      </c>
      <c r="C182" s="16">
        <v>51</v>
      </c>
      <c r="D182" s="29"/>
      <c r="E182" s="30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30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30"/>
      <c r="AH182" s="29"/>
      <c r="AI182" s="29"/>
      <c r="AJ182" s="29"/>
      <c r="AK182" s="30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30"/>
      <c r="BL182" s="29"/>
      <c r="BM182" s="29"/>
      <c r="BN182" s="20">
        <f t="shared" si="14"/>
        <v>0</v>
      </c>
      <c r="BO182" s="20">
        <f t="shared" si="15"/>
        <v>0</v>
      </c>
      <c r="BP182" s="20">
        <f t="shared" si="16"/>
        <v>51</v>
      </c>
      <c r="BQ182" s="55">
        <f t="shared" si="18"/>
        <v>9.486</v>
      </c>
      <c r="BR182" s="56" t="s">
        <v>546</v>
      </c>
      <c r="BS182" s="33" t="s">
        <v>376</v>
      </c>
      <c r="BT182" s="36" t="s">
        <v>547</v>
      </c>
      <c r="BU182" s="35" t="s">
        <v>501</v>
      </c>
    </row>
    <row r="183" s="1" customFormat="1" customHeight="1" spans="1:73">
      <c r="A183" s="39" t="s">
        <v>548</v>
      </c>
      <c r="B183" s="15" t="s">
        <v>549</v>
      </c>
      <c r="C183" s="29">
        <v>480</v>
      </c>
      <c r="D183" s="29"/>
      <c r="E183" s="30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30"/>
      <c r="AH183" s="29"/>
      <c r="AI183" s="29"/>
      <c r="AJ183" s="29"/>
      <c r="AK183" s="30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0">
        <f t="shared" si="14"/>
        <v>0</v>
      </c>
      <c r="BO183" s="20">
        <f t="shared" si="15"/>
        <v>0</v>
      </c>
      <c r="BP183" s="20">
        <f t="shared" si="16"/>
        <v>480</v>
      </c>
      <c r="BQ183" s="55">
        <f>0.228*0.305*BP183</f>
        <v>33.3792</v>
      </c>
      <c r="BR183" s="68" t="s">
        <v>550</v>
      </c>
      <c r="BS183" s="33" t="s">
        <v>376</v>
      </c>
      <c r="BT183" s="36"/>
      <c r="BU183" s="35" t="s">
        <v>515</v>
      </c>
    </row>
    <row r="184" s="1" customFormat="1" customHeight="1" spans="1:73">
      <c r="A184" s="39" t="s">
        <v>551</v>
      </c>
      <c r="B184" s="15" t="s">
        <v>552</v>
      </c>
      <c r="C184" s="29">
        <v>50</v>
      </c>
      <c r="D184" s="29"/>
      <c r="E184" s="30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30"/>
      <c r="AH184" s="29"/>
      <c r="AI184" s="29"/>
      <c r="AJ184" s="29"/>
      <c r="AK184" s="30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0">
        <f t="shared" si="14"/>
        <v>0</v>
      </c>
      <c r="BO184" s="20">
        <f t="shared" si="15"/>
        <v>0</v>
      </c>
      <c r="BP184" s="20">
        <f t="shared" si="16"/>
        <v>50</v>
      </c>
      <c r="BQ184" s="55">
        <f>0.457*0.4*BP184</f>
        <v>9.14</v>
      </c>
      <c r="BR184" s="68" t="s">
        <v>409</v>
      </c>
      <c r="BS184" s="33" t="s">
        <v>376</v>
      </c>
      <c r="BT184" s="57" t="s">
        <v>553</v>
      </c>
      <c r="BU184" s="35" t="s">
        <v>515</v>
      </c>
    </row>
    <row r="185" s="1" customFormat="1" customHeight="1" spans="1:73">
      <c r="A185" s="39" t="s">
        <v>554</v>
      </c>
      <c r="B185" s="15" t="s">
        <v>552</v>
      </c>
      <c r="C185" s="29">
        <v>50</v>
      </c>
      <c r="D185" s="29"/>
      <c r="E185" s="30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30"/>
      <c r="AH185" s="29"/>
      <c r="AI185" s="29"/>
      <c r="AJ185" s="29"/>
      <c r="AK185" s="30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0">
        <f t="shared" si="14"/>
        <v>0</v>
      </c>
      <c r="BO185" s="20">
        <f t="shared" si="15"/>
        <v>0</v>
      </c>
      <c r="BP185" s="20">
        <f t="shared" si="16"/>
        <v>50</v>
      </c>
      <c r="BQ185" s="55">
        <f>0.457*0.4*BP185</f>
        <v>9.14</v>
      </c>
      <c r="BR185" s="68" t="s">
        <v>409</v>
      </c>
      <c r="BS185" s="33" t="s">
        <v>376</v>
      </c>
      <c r="BT185" s="57" t="s">
        <v>553</v>
      </c>
      <c r="BU185" s="35" t="s">
        <v>515</v>
      </c>
    </row>
    <row r="186" s="1" customFormat="1" customHeight="1" spans="1:73">
      <c r="A186" s="39" t="s">
        <v>555</v>
      </c>
      <c r="B186" s="15" t="s">
        <v>556</v>
      </c>
      <c r="C186" s="29">
        <v>359</v>
      </c>
      <c r="D186" s="29"/>
      <c r="E186" s="30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30"/>
      <c r="AH186" s="29"/>
      <c r="AI186" s="29"/>
      <c r="AJ186" s="29"/>
      <c r="AK186" s="30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0">
        <f t="shared" si="14"/>
        <v>0</v>
      </c>
      <c r="BO186" s="20">
        <f t="shared" si="15"/>
        <v>0</v>
      </c>
      <c r="BP186" s="20">
        <f t="shared" si="16"/>
        <v>359</v>
      </c>
      <c r="BQ186" s="55">
        <f>0.152*0.335*BP186</f>
        <v>18.28028</v>
      </c>
      <c r="BR186" s="68" t="s">
        <v>557</v>
      </c>
      <c r="BS186" s="33" t="s">
        <v>376</v>
      </c>
      <c r="BT186" s="57"/>
      <c r="BU186" s="35" t="s">
        <v>515</v>
      </c>
    </row>
    <row r="187" s="1" customFormat="1" customHeight="1" spans="1:73">
      <c r="A187" s="15" t="s">
        <v>558</v>
      </c>
      <c r="B187" s="15" t="s">
        <v>559</v>
      </c>
      <c r="C187" s="16">
        <v>203</v>
      </c>
      <c r="D187" s="29"/>
      <c r="E187" s="30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30"/>
      <c r="AH187" s="29"/>
      <c r="AI187" s="29"/>
      <c r="AJ187" s="29"/>
      <c r="AK187" s="30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0">
        <f t="shared" si="14"/>
        <v>0</v>
      </c>
      <c r="BO187" s="20">
        <f t="shared" si="15"/>
        <v>0</v>
      </c>
      <c r="BP187" s="20">
        <f t="shared" si="16"/>
        <v>203</v>
      </c>
      <c r="BQ187" s="51">
        <f>0.457*0.26*BP187</f>
        <v>24.12046</v>
      </c>
      <c r="BR187" s="56" t="s">
        <v>560</v>
      </c>
      <c r="BS187" s="33" t="s">
        <v>376</v>
      </c>
      <c r="BT187" s="36"/>
      <c r="BU187" s="35" t="s">
        <v>515</v>
      </c>
    </row>
    <row r="188" s="1" customFormat="1" customHeight="1" spans="1:73">
      <c r="A188" s="15" t="s">
        <v>561</v>
      </c>
      <c r="B188" s="15" t="s">
        <v>562</v>
      </c>
      <c r="C188" s="16">
        <v>60</v>
      </c>
      <c r="D188" s="29"/>
      <c r="E188" s="30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30"/>
      <c r="AH188" s="29"/>
      <c r="AI188" s="29"/>
      <c r="AJ188" s="29"/>
      <c r="AK188" s="30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0">
        <f t="shared" si="14"/>
        <v>0</v>
      </c>
      <c r="BO188" s="20">
        <f t="shared" si="15"/>
        <v>0</v>
      </c>
      <c r="BP188" s="20">
        <f t="shared" si="16"/>
        <v>60</v>
      </c>
      <c r="BQ188" s="51">
        <f>0.457*0.457*BP188</f>
        <v>12.53094</v>
      </c>
      <c r="BR188" s="56" t="s">
        <v>563</v>
      </c>
      <c r="BS188" s="33" t="s">
        <v>376</v>
      </c>
      <c r="BT188" s="57" t="s">
        <v>564</v>
      </c>
      <c r="BU188" s="35" t="s">
        <v>515</v>
      </c>
    </row>
    <row r="189" s="1" customFormat="1" customHeight="1" spans="1:73">
      <c r="A189" s="15" t="s">
        <v>565</v>
      </c>
      <c r="B189" s="15">
        <v>650</v>
      </c>
      <c r="C189" s="16">
        <v>60</v>
      </c>
      <c r="D189" s="29"/>
      <c r="E189" s="30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30"/>
      <c r="AH189" s="29"/>
      <c r="AI189" s="29"/>
      <c r="AJ189" s="29"/>
      <c r="AK189" s="30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0">
        <f t="shared" si="14"/>
        <v>0</v>
      </c>
      <c r="BO189" s="20">
        <f t="shared" si="15"/>
        <v>0</v>
      </c>
      <c r="BP189" s="20">
        <f t="shared" si="16"/>
        <v>60</v>
      </c>
      <c r="BQ189" s="51">
        <f t="shared" ref="BQ189:BQ202" si="19">B189*BP189/1000</f>
        <v>39</v>
      </c>
      <c r="BR189" s="56" t="s">
        <v>566</v>
      </c>
      <c r="BS189" s="33" t="s">
        <v>376</v>
      </c>
      <c r="BT189" s="36" t="s">
        <v>567</v>
      </c>
      <c r="BU189" s="35" t="s">
        <v>515</v>
      </c>
    </row>
    <row r="190" s="1" customFormat="1" customHeight="1" spans="1:73">
      <c r="A190" s="53" t="s">
        <v>568</v>
      </c>
      <c r="B190" s="15"/>
      <c r="C190" s="16"/>
      <c r="D190" s="29"/>
      <c r="E190" s="30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30"/>
      <c r="AH190" s="29"/>
      <c r="AI190" s="29"/>
      <c r="AJ190" s="29"/>
      <c r="AK190" s="30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0">
        <f t="shared" si="14"/>
        <v>0</v>
      </c>
      <c r="BO190" s="20">
        <f t="shared" si="15"/>
        <v>0</v>
      </c>
      <c r="BP190" s="20">
        <f t="shared" si="16"/>
        <v>0</v>
      </c>
      <c r="BQ190" s="51"/>
      <c r="BR190" s="56"/>
      <c r="BS190" s="33"/>
      <c r="BT190" s="57"/>
      <c r="BU190" s="35"/>
    </row>
    <row r="191" s="1" customFormat="1" customHeight="1" spans="1:73">
      <c r="A191" s="15" t="s">
        <v>569</v>
      </c>
      <c r="B191" s="15">
        <v>55</v>
      </c>
      <c r="C191" s="16">
        <v>300</v>
      </c>
      <c r="D191" s="29"/>
      <c r="E191" s="30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30"/>
      <c r="AH191" s="29"/>
      <c r="AI191" s="29"/>
      <c r="AJ191" s="29"/>
      <c r="AK191" s="30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0">
        <f t="shared" si="14"/>
        <v>0</v>
      </c>
      <c r="BO191" s="20">
        <f t="shared" si="15"/>
        <v>0</v>
      </c>
      <c r="BP191" s="20">
        <f t="shared" si="16"/>
        <v>300</v>
      </c>
      <c r="BQ191" s="51">
        <f t="shared" si="19"/>
        <v>16.5</v>
      </c>
      <c r="BR191" s="56" t="s">
        <v>170</v>
      </c>
      <c r="BS191" s="91" t="s">
        <v>570</v>
      </c>
      <c r="BT191" s="57"/>
      <c r="BU191" s="35" t="s">
        <v>571</v>
      </c>
    </row>
    <row r="192" s="1" customFormat="1" customHeight="1" spans="1:73">
      <c r="A192" s="15" t="s">
        <v>569</v>
      </c>
      <c r="B192" s="15">
        <v>93</v>
      </c>
      <c r="C192" s="16">
        <v>351</v>
      </c>
      <c r="D192" s="29"/>
      <c r="E192" s="30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30"/>
      <c r="AH192" s="29"/>
      <c r="AI192" s="29"/>
      <c r="AJ192" s="29"/>
      <c r="AK192" s="30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0">
        <f t="shared" si="14"/>
        <v>0</v>
      </c>
      <c r="BO192" s="20">
        <f t="shared" si="15"/>
        <v>0</v>
      </c>
      <c r="BP192" s="20">
        <f t="shared" si="16"/>
        <v>351</v>
      </c>
      <c r="BQ192" s="51">
        <f t="shared" si="19"/>
        <v>32.643</v>
      </c>
      <c r="BR192" s="56" t="s">
        <v>265</v>
      </c>
      <c r="BS192" s="91" t="s">
        <v>572</v>
      </c>
      <c r="BT192" s="57"/>
      <c r="BU192" s="35" t="s">
        <v>571</v>
      </c>
    </row>
    <row r="193" s="1" customFormat="1" customHeight="1" spans="1:73">
      <c r="A193" s="15" t="s">
        <v>569</v>
      </c>
      <c r="B193" s="15">
        <v>100</v>
      </c>
      <c r="C193" s="16">
        <v>285</v>
      </c>
      <c r="D193" s="29"/>
      <c r="E193" s="30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30"/>
      <c r="AH193" s="29"/>
      <c r="AI193" s="29"/>
      <c r="AJ193" s="29"/>
      <c r="AK193" s="30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0">
        <f t="shared" si="14"/>
        <v>0</v>
      </c>
      <c r="BO193" s="20">
        <f t="shared" si="15"/>
        <v>0</v>
      </c>
      <c r="BP193" s="20">
        <f t="shared" si="16"/>
        <v>285</v>
      </c>
      <c r="BQ193" s="51">
        <f t="shared" si="19"/>
        <v>28.5</v>
      </c>
      <c r="BR193" s="56" t="s">
        <v>161</v>
      </c>
      <c r="BS193" s="91" t="s">
        <v>573</v>
      </c>
      <c r="BT193" s="36"/>
      <c r="BU193" s="35" t="s">
        <v>571</v>
      </c>
    </row>
    <row r="194" s="1" customFormat="1" customHeight="1" spans="1:73">
      <c r="A194" s="15" t="s">
        <v>569</v>
      </c>
      <c r="B194" s="15">
        <v>240</v>
      </c>
      <c r="C194" s="16">
        <v>180</v>
      </c>
      <c r="D194" s="29"/>
      <c r="E194" s="30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30"/>
      <c r="AH194" s="29"/>
      <c r="AI194" s="29"/>
      <c r="AJ194" s="29"/>
      <c r="AK194" s="30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0">
        <f t="shared" si="14"/>
        <v>0</v>
      </c>
      <c r="BO194" s="20">
        <f t="shared" si="15"/>
        <v>0</v>
      </c>
      <c r="BP194" s="20">
        <f t="shared" si="16"/>
        <v>180</v>
      </c>
      <c r="BQ194" s="51">
        <f t="shared" si="19"/>
        <v>43.2</v>
      </c>
      <c r="BR194" s="56" t="s">
        <v>574</v>
      </c>
      <c r="BS194" s="91" t="s">
        <v>575</v>
      </c>
      <c r="BT194" s="50" t="s">
        <v>576</v>
      </c>
      <c r="BU194" s="35" t="s">
        <v>571</v>
      </c>
    </row>
    <row r="195" s="1" customFormat="1" customHeight="1" spans="1:73">
      <c r="A195" s="15" t="s">
        <v>569</v>
      </c>
      <c r="B195" s="15">
        <v>272</v>
      </c>
      <c r="C195" s="16">
        <v>54</v>
      </c>
      <c r="D195" s="29"/>
      <c r="E195" s="30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30"/>
      <c r="AH195" s="29"/>
      <c r="AI195" s="29"/>
      <c r="AJ195" s="29"/>
      <c r="AK195" s="30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0">
        <f t="shared" ref="BN195:BN258" si="20">D195+F195+H195+J195+L195+N195+P195+R195+T195+V195+X195+Z195+AB195+AD195+AF195+AH195+AJ195+AL195+AN195+AP195+AR195+AT195+AV195+AX195+AZ195+BB195+BD195+BF195+BH195+BJ195+BL195</f>
        <v>0</v>
      </c>
      <c r="BO195" s="20">
        <f t="shared" ref="BO195:BO258" si="21">E195+G195+I195+K195+M195+O195+Q195+S195+U195+W195+Y195+AA195+AC195+AE195+AG195+AI195+AK195+AM195+AO195+AQ195+AS195+AU195+AW195+AY195+BA195+BC195+BE195+BG195+BI195+BK195+BM195</f>
        <v>0</v>
      </c>
      <c r="BP195" s="20">
        <f t="shared" ref="BP195:BP258" si="22">C195+BN195-BO195</f>
        <v>54</v>
      </c>
      <c r="BQ195" s="51">
        <f t="shared" si="19"/>
        <v>14.688</v>
      </c>
      <c r="BR195" s="56" t="s">
        <v>484</v>
      </c>
      <c r="BS195" s="91" t="s">
        <v>577</v>
      </c>
      <c r="BT195" s="36"/>
      <c r="BU195" s="35" t="s">
        <v>571</v>
      </c>
    </row>
    <row r="196" s="1" customFormat="1" customHeight="1" spans="1:73">
      <c r="A196" s="15" t="s">
        <v>569</v>
      </c>
      <c r="B196" s="15">
        <v>285</v>
      </c>
      <c r="C196" s="16">
        <v>300</v>
      </c>
      <c r="D196" s="29"/>
      <c r="E196" s="30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30"/>
      <c r="AH196" s="29"/>
      <c r="AI196" s="29"/>
      <c r="AJ196" s="29"/>
      <c r="AK196" s="30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0">
        <f t="shared" si="20"/>
        <v>0</v>
      </c>
      <c r="BO196" s="20">
        <f t="shared" si="21"/>
        <v>0</v>
      </c>
      <c r="BP196" s="20">
        <f t="shared" si="22"/>
        <v>300</v>
      </c>
      <c r="BQ196" s="51">
        <f t="shared" si="19"/>
        <v>85.5</v>
      </c>
      <c r="BR196" s="56" t="s">
        <v>170</v>
      </c>
      <c r="BS196" s="91" t="s">
        <v>570</v>
      </c>
      <c r="BT196" s="36"/>
      <c r="BU196" s="35" t="s">
        <v>571</v>
      </c>
    </row>
    <row r="197" s="1" customFormat="1" customHeight="1" spans="1:73">
      <c r="A197" s="15" t="s">
        <v>569</v>
      </c>
      <c r="B197" s="15">
        <v>290</v>
      </c>
      <c r="C197" s="16">
        <v>300</v>
      </c>
      <c r="D197" s="29"/>
      <c r="E197" s="30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30"/>
      <c r="AH197" s="29"/>
      <c r="AI197" s="29"/>
      <c r="AJ197" s="29"/>
      <c r="AK197" s="30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0">
        <f t="shared" si="20"/>
        <v>0</v>
      </c>
      <c r="BO197" s="20">
        <f t="shared" si="21"/>
        <v>0</v>
      </c>
      <c r="BP197" s="20">
        <f t="shared" si="22"/>
        <v>300</v>
      </c>
      <c r="BQ197" s="51">
        <f t="shared" si="19"/>
        <v>87</v>
      </c>
      <c r="BR197" s="56" t="s">
        <v>280</v>
      </c>
      <c r="BS197" s="91" t="s">
        <v>578</v>
      </c>
      <c r="BT197" s="36"/>
      <c r="BU197" s="35" t="s">
        <v>571</v>
      </c>
    </row>
    <row r="198" s="1" customFormat="1" customHeight="1" spans="1:73">
      <c r="A198" s="15" t="s">
        <v>569</v>
      </c>
      <c r="B198" s="15">
        <v>297</v>
      </c>
      <c r="C198" s="16">
        <v>300</v>
      </c>
      <c r="D198" s="29"/>
      <c r="E198" s="30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30"/>
      <c r="AH198" s="29"/>
      <c r="AI198" s="29"/>
      <c r="AJ198" s="29"/>
      <c r="AK198" s="30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0">
        <f t="shared" si="20"/>
        <v>0</v>
      </c>
      <c r="BO198" s="20">
        <f t="shared" si="21"/>
        <v>0</v>
      </c>
      <c r="BP198" s="20">
        <f t="shared" si="22"/>
        <v>300</v>
      </c>
      <c r="BQ198" s="51">
        <f t="shared" si="19"/>
        <v>89.1</v>
      </c>
      <c r="BR198" s="56" t="s">
        <v>170</v>
      </c>
      <c r="BS198" s="91" t="s">
        <v>570</v>
      </c>
      <c r="BT198" s="36"/>
      <c r="BU198" s="35" t="s">
        <v>571</v>
      </c>
    </row>
    <row r="199" s="1" customFormat="1" customHeight="1" spans="1:73">
      <c r="A199" s="39" t="s">
        <v>569</v>
      </c>
      <c r="B199" s="15">
        <v>330</v>
      </c>
      <c r="C199" s="16">
        <v>623.5</v>
      </c>
      <c r="D199" s="29"/>
      <c r="E199" s="30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30"/>
      <c r="AH199" s="29"/>
      <c r="AI199" s="29"/>
      <c r="AJ199" s="29"/>
      <c r="AK199" s="30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0">
        <f t="shared" si="20"/>
        <v>0</v>
      </c>
      <c r="BO199" s="20">
        <f t="shared" si="21"/>
        <v>0</v>
      </c>
      <c r="BP199" s="20">
        <f t="shared" si="22"/>
        <v>623.5</v>
      </c>
      <c r="BQ199" s="51">
        <f t="shared" si="19"/>
        <v>205.755</v>
      </c>
      <c r="BR199" s="56" t="s">
        <v>265</v>
      </c>
      <c r="BS199" s="91" t="s">
        <v>570</v>
      </c>
      <c r="BT199" s="36" t="s">
        <v>579</v>
      </c>
      <c r="BU199" s="35" t="s">
        <v>571</v>
      </c>
    </row>
    <row r="200" s="1" customFormat="1" customHeight="1" spans="1:73">
      <c r="A200" s="15" t="s">
        <v>569</v>
      </c>
      <c r="B200" s="15">
        <v>335</v>
      </c>
      <c r="C200" s="16">
        <v>100</v>
      </c>
      <c r="D200" s="29"/>
      <c r="E200" s="30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30"/>
      <c r="AH200" s="29"/>
      <c r="AI200" s="29"/>
      <c r="AJ200" s="29"/>
      <c r="AK200" s="30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0">
        <f t="shared" si="20"/>
        <v>0</v>
      </c>
      <c r="BO200" s="20">
        <f t="shared" si="21"/>
        <v>0</v>
      </c>
      <c r="BP200" s="20">
        <f t="shared" si="22"/>
        <v>100</v>
      </c>
      <c r="BQ200" s="51">
        <f t="shared" si="19"/>
        <v>33.5</v>
      </c>
      <c r="BR200" s="56" t="s">
        <v>280</v>
      </c>
      <c r="BS200" s="91" t="s">
        <v>578</v>
      </c>
      <c r="BT200" s="36"/>
      <c r="BU200" s="35" t="s">
        <v>571</v>
      </c>
    </row>
    <row r="201" s="1" customFormat="1" customHeight="1" spans="1:73">
      <c r="A201" s="15" t="s">
        <v>569</v>
      </c>
      <c r="B201" s="15">
        <v>360</v>
      </c>
      <c r="C201" s="16">
        <v>100</v>
      </c>
      <c r="D201" s="29"/>
      <c r="E201" s="30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88"/>
      <c r="AG201" s="30"/>
      <c r="AH201" s="29"/>
      <c r="AI201" s="29"/>
      <c r="AJ201" s="29"/>
      <c r="AK201" s="30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0">
        <f t="shared" si="20"/>
        <v>0</v>
      </c>
      <c r="BO201" s="20">
        <f t="shared" si="21"/>
        <v>0</v>
      </c>
      <c r="BP201" s="20">
        <f t="shared" si="22"/>
        <v>100</v>
      </c>
      <c r="BQ201" s="51">
        <f t="shared" si="19"/>
        <v>36</v>
      </c>
      <c r="BR201" s="56" t="s">
        <v>484</v>
      </c>
      <c r="BS201" s="91" t="s">
        <v>577</v>
      </c>
      <c r="BT201" s="36"/>
      <c r="BU201" s="35" t="s">
        <v>571</v>
      </c>
    </row>
    <row r="202" s="1" customFormat="1" customHeight="1" spans="1:73">
      <c r="A202" s="94" t="s">
        <v>569</v>
      </c>
      <c r="B202" s="15">
        <v>380</v>
      </c>
      <c r="C202" s="16">
        <v>238</v>
      </c>
      <c r="D202" s="29"/>
      <c r="E202" s="30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88"/>
      <c r="AG202" s="30"/>
      <c r="AH202" s="29"/>
      <c r="AI202" s="29"/>
      <c r="AJ202" s="29"/>
      <c r="AK202" s="30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0">
        <f t="shared" si="20"/>
        <v>0</v>
      </c>
      <c r="BO202" s="20">
        <f t="shared" si="21"/>
        <v>0</v>
      </c>
      <c r="BP202" s="20">
        <f t="shared" si="22"/>
        <v>238</v>
      </c>
      <c r="BQ202" s="51">
        <f t="shared" si="19"/>
        <v>90.44</v>
      </c>
      <c r="BR202" s="56" t="s">
        <v>265</v>
      </c>
      <c r="BS202" s="91" t="s">
        <v>575</v>
      </c>
      <c r="BT202" s="36"/>
      <c r="BU202" s="35" t="s">
        <v>571</v>
      </c>
    </row>
    <row r="203" s="1" customFormat="1" customHeight="1" spans="1:73">
      <c r="A203" s="53" t="s">
        <v>580</v>
      </c>
      <c r="B203" s="15"/>
      <c r="C203" s="16"/>
      <c r="D203" s="29"/>
      <c r="E203" s="30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30"/>
      <c r="AH203" s="29"/>
      <c r="AI203" s="29"/>
      <c r="AJ203" s="29"/>
      <c r="AK203" s="30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0">
        <f t="shared" si="20"/>
        <v>0</v>
      </c>
      <c r="BO203" s="20">
        <f t="shared" si="21"/>
        <v>0</v>
      </c>
      <c r="BP203" s="20">
        <f t="shared" si="22"/>
        <v>0</v>
      </c>
      <c r="BQ203" s="51"/>
      <c r="BR203" s="56"/>
      <c r="BS203" s="45"/>
      <c r="BT203" s="36"/>
      <c r="BU203" s="35"/>
    </row>
    <row r="204" s="1" customFormat="1" customHeight="1" spans="1:73">
      <c r="A204" s="15" t="s">
        <v>581</v>
      </c>
      <c r="B204" s="15">
        <v>285</v>
      </c>
      <c r="C204" s="16">
        <v>461</v>
      </c>
      <c r="D204" s="29"/>
      <c r="E204" s="30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30"/>
      <c r="AH204" s="29"/>
      <c r="AI204" s="29"/>
      <c r="AJ204" s="29"/>
      <c r="AK204" s="30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0">
        <f t="shared" si="20"/>
        <v>0</v>
      </c>
      <c r="BO204" s="20">
        <f t="shared" si="21"/>
        <v>0</v>
      </c>
      <c r="BP204" s="20">
        <f t="shared" si="22"/>
        <v>461</v>
      </c>
      <c r="BQ204" s="51">
        <f t="shared" ref="BQ204:BQ208" si="23">B204*BP204/1000</f>
        <v>131.385</v>
      </c>
      <c r="BR204" s="56" t="s">
        <v>582</v>
      </c>
      <c r="BS204" s="91" t="s">
        <v>577</v>
      </c>
      <c r="BT204" s="36"/>
      <c r="BU204" s="35" t="s">
        <v>571</v>
      </c>
    </row>
    <row r="205" s="1" customFormat="1" customHeight="1" spans="1:73">
      <c r="A205" s="15" t="s">
        <v>581</v>
      </c>
      <c r="B205" s="15">
        <v>310</v>
      </c>
      <c r="C205" s="16">
        <v>200</v>
      </c>
      <c r="D205" s="29"/>
      <c r="E205" s="30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30"/>
      <c r="AH205" s="29"/>
      <c r="AI205" s="29"/>
      <c r="AJ205" s="29"/>
      <c r="AK205" s="30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0">
        <f t="shared" si="20"/>
        <v>0</v>
      </c>
      <c r="BO205" s="20">
        <f t="shared" si="21"/>
        <v>0</v>
      </c>
      <c r="BP205" s="20">
        <f t="shared" si="22"/>
        <v>200</v>
      </c>
      <c r="BQ205" s="51">
        <f t="shared" si="23"/>
        <v>62</v>
      </c>
      <c r="BR205" s="56" t="s">
        <v>409</v>
      </c>
      <c r="BS205" s="91" t="s">
        <v>573</v>
      </c>
      <c r="BT205" s="36"/>
      <c r="BU205" s="35" t="s">
        <v>571</v>
      </c>
    </row>
    <row r="206" s="1" customFormat="1" customHeight="1" spans="1:73">
      <c r="A206" s="15" t="s">
        <v>581</v>
      </c>
      <c r="B206" s="15">
        <v>325</v>
      </c>
      <c r="C206" s="16">
        <v>268</v>
      </c>
      <c r="D206" s="29"/>
      <c r="E206" s="30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30"/>
      <c r="AH206" s="29"/>
      <c r="AI206" s="29"/>
      <c r="AJ206" s="29"/>
      <c r="AK206" s="30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0">
        <f t="shared" si="20"/>
        <v>0</v>
      </c>
      <c r="BO206" s="20">
        <f t="shared" si="21"/>
        <v>0</v>
      </c>
      <c r="BP206" s="20">
        <f t="shared" si="22"/>
        <v>268</v>
      </c>
      <c r="BQ206" s="51">
        <f t="shared" si="23"/>
        <v>87.1</v>
      </c>
      <c r="BR206" s="56" t="s">
        <v>409</v>
      </c>
      <c r="BS206" s="91" t="s">
        <v>583</v>
      </c>
      <c r="BT206" s="36"/>
      <c r="BU206" s="35" t="s">
        <v>571</v>
      </c>
    </row>
    <row r="207" s="1" customFormat="1" customHeight="1" spans="1:73">
      <c r="A207" s="15" t="s">
        <v>581</v>
      </c>
      <c r="B207" s="15">
        <v>338</v>
      </c>
      <c r="C207" s="16">
        <v>190</v>
      </c>
      <c r="D207" s="29"/>
      <c r="E207" s="30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30"/>
      <c r="AH207" s="29"/>
      <c r="AI207" s="29"/>
      <c r="AJ207" s="29"/>
      <c r="AK207" s="30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0">
        <f t="shared" si="20"/>
        <v>0</v>
      </c>
      <c r="BO207" s="20">
        <f t="shared" si="21"/>
        <v>0</v>
      </c>
      <c r="BP207" s="20">
        <f t="shared" si="22"/>
        <v>190</v>
      </c>
      <c r="BQ207" s="51">
        <f t="shared" si="23"/>
        <v>64.22</v>
      </c>
      <c r="BR207" s="56" t="s">
        <v>582</v>
      </c>
      <c r="BS207" s="91" t="s">
        <v>583</v>
      </c>
      <c r="BT207" s="36"/>
      <c r="BU207" s="35" t="s">
        <v>571</v>
      </c>
    </row>
    <row r="208" s="1" customFormat="1" customHeight="1" spans="1:73">
      <c r="A208" s="15" t="s">
        <v>581</v>
      </c>
      <c r="B208" s="15">
        <v>420</v>
      </c>
      <c r="C208" s="16">
        <v>200</v>
      </c>
      <c r="D208" s="29"/>
      <c r="E208" s="30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30"/>
      <c r="AH208" s="29"/>
      <c r="AI208" s="29"/>
      <c r="AJ208" s="29"/>
      <c r="AK208" s="30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0">
        <f t="shared" si="20"/>
        <v>0</v>
      </c>
      <c r="BO208" s="20">
        <f t="shared" si="21"/>
        <v>0</v>
      </c>
      <c r="BP208" s="20">
        <f t="shared" si="22"/>
        <v>200</v>
      </c>
      <c r="BQ208" s="51">
        <f t="shared" si="23"/>
        <v>84</v>
      </c>
      <c r="BR208" s="56" t="s">
        <v>409</v>
      </c>
      <c r="BS208" s="91" t="s">
        <v>573</v>
      </c>
      <c r="BT208" s="36"/>
      <c r="BU208" s="35" t="s">
        <v>571</v>
      </c>
    </row>
    <row r="209" s="1" customFormat="1" customHeight="1" spans="1:73">
      <c r="A209" s="53" t="s">
        <v>584</v>
      </c>
      <c r="B209" s="15"/>
      <c r="C209" s="16"/>
      <c r="D209" s="29"/>
      <c r="E209" s="30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30"/>
      <c r="AH209" s="29"/>
      <c r="AI209" s="29"/>
      <c r="AJ209" s="29"/>
      <c r="AK209" s="30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0">
        <f t="shared" si="20"/>
        <v>0</v>
      </c>
      <c r="BO209" s="20">
        <f t="shared" si="21"/>
        <v>0</v>
      </c>
      <c r="BP209" s="20">
        <f t="shared" si="22"/>
        <v>0</v>
      </c>
      <c r="BQ209" s="51"/>
      <c r="BR209" s="56"/>
      <c r="BS209" s="91"/>
      <c r="BT209" s="36"/>
      <c r="BU209" s="35"/>
    </row>
    <row r="210" s="1" customFormat="1" customHeight="1" spans="1:73">
      <c r="A210" s="15" t="s">
        <v>585</v>
      </c>
      <c r="B210" s="15">
        <v>115</v>
      </c>
      <c r="C210" s="16">
        <v>107</v>
      </c>
      <c r="D210" s="29"/>
      <c r="E210" s="30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30"/>
      <c r="AH210" s="29"/>
      <c r="AI210" s="29"/>
      <c r="AJ210" s="29"/>
      <c r="AK210" s="30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0">
        <f t="shared" si="20"/>
        <v>0</v>
      </c>
      <c r="BO210" s="20">
        <f t="shared" si="21"/>
        <v>0</v>
      </c>
      <c r="BP210" s="20">
        <f t="shared" si="22"/>
        <v>107</v>
      </c>
      <c r="BQ210" s="51">
        <f t="shared" ref="BQ210:BQ218" si="24">B210*BP210/1000</f>
        <v>12.305</v>
      </c>
      <c r="BR210" s="56" t="s">
        <v>138</v>
      </c>
      <c r="BS210" s="91" t="s">
        <v>586</v>
      </c>
      <c r="BT210" s="36"/>
      <c r="BU210" s="35" t="s">
        <v>587</v>
      </c>
    </row>
    <row r="211" s="1" customFormat="1" customHeight="1" spans="1:73">
      <c r="A211" s="15" t="s">
        <v>585</v>
      </c>
      <c r="B211" s="15">
        <v>140</v>
      </c>
      <c r="C211" s="16">
        <v>48</v>
      </c>
      <c r="D211" s="29"/>
      <c r="E211" s="30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30"/>
      <c r="AH211" s="29"/>
      <c r="AI211" s="29"/>
      <c r="AJ211" s="29"/>
      <c r="AK211" s="30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0">
        <f t="shared" si="20"/>
        <v>0</v>
      </c>
      <c r="BO211" s="20">
        <f t="shared" si="21"/>
        <v>0</v>
      </c>
      <c r="BP211" s="20">
        <f t="shared" si="22"/>
        <v>48</v>
      </c>
      <c r="BQ211" s="51">
        <f t="shared" si="24"/>
        <v>6.72</v>
      </c>
      <c r="BR211" s="56" t="s">
        <v>588</v>
      </c>
      <c r="BS211" s="91" t="s">
        <v>589</v>
      </c>
      <c r="BT211" s="36"/>
      <c r="BU211" s="35" t="s">
        <v>587</v>
      </c>
    </row>
    <row r="212" s="1" customFormat="1" customHeight="1" spans="1:73">
      <c r="A212" s="15" t="s">
        <v>585</v>
      </c>
      <c r="B212" s="15">
        <v>205</v>
      </c>
      <c r="C212" s="16">
        <v>300</v>
      </c>
      <c r="D212" s="29"/>
      <c r="E212" s="30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30"/>
      <c r="AH212" s="29"/>
      <c r="AI212" s="29"/>
      <c r="AJ212" s="29"/>
      <c r="AK212" s="30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0">
        <f t="shared" si="20"/>
        <v>0</v>
      </c>
      <c r="BO212" s="20">
        <f t="shared" si="21"/>
        <v>0</v>
      </c>
      <c r="BP212" s="20">
        <f t="shared" si="22"/>
        <v>300</v>
      </c>
      <c r="BQ212" s="51">
        <f t="shared" si="24"/>
        <v>61.5</v>
      </c>
      <c r="BR212" s="56" t="s">
        <v>170</v>
      </c>
      <c r="BS212" s="91" t="s">
        <v>570</v>
      </c>
      <c r="BT212" s="36" t="s">
        <v>590</v>
      </c>
      <c r="BU212" s="35" t="s">
        <v>587</v>
      </c>
    </row>
    <row r="213" s="1" customFormat="1" customHeight="1" spans="1:73">
      <c r="A213" s="15" t="s">
        <v>585</v>
      </c>
      <c r="B213" s="15">
        <v>250</v>
      </c>
      <c r="C213" s="16">
        <v>90</v>
      </c>
      <c r="D213" s="29"/>
      <c r="E213" s="30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30"/>
      <c r="AH213" s="29"/>
      <c r="AI213" s="29"/>
      <c r="AJ213" s="29"/>
      <c r="AK213" s="30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0">
        <f t="shared" si="20"/>
        <v>0</v>
      </c>
      <c r="BO213" s="20">
        <f t="shared" si="21"/>
        <v>0</v>
      </c>
      <c r="BP213" s="20">
        <f t="shared" si="22"/>
        <v>90</v>
      </c>
      <c r="BQ213" s="51">
        <f t="shared" si="24"/>
        <v>22.5</v>
      </c>
      <c r="BR213" s="56" t="s">
        <v>591</v>
      </c>
      <c r="BS213" s="91" t="s">
        <v>592</v>
      </c>
      <c r="BT213" s="36"/>
      <c r="BU213" s="35" t="s">
        <v>587</v>
      </c>
    </row>
    <row r="214" s="1" customFormat="1" customHeight="1" spans="1:73">
      <c r="A214" s="15" t="s">
        <v>585</v>
      </c>
      <c r="B214" s="15">
        <v>265</v>
      </c>
      <c r="C214" s="16">
        <v>200</v>
      </c>
      <c r="D214" s="29"/>
      <c r="E214" s="30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30"/>
      <c r="AH214" s="29"/>
      <c r="AI214" s="29"/>
      <c r="AJ214" s="29"/>
      <c r="AK214" s="30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0">
        <f t="shared" si="20"/>
        <v>0</v>
      </c>
      <c r="BO214" s="20">
        <f t="shared" si="21"/>
        <v>0</v>
      </c>
      <c r="BP214" s="20">
        <f t="shared" si="22"/>
        <v>200</v>
      </c>
      <c r="BQ214" s="51">
        <f t="shared" si="24"/>
        <v>53</v>
      </c>
      <c r="BR214" s="56" t="s">
        <v>280</v>
      </c>
      <c r="BS214" s="91" t="s">
        <v>578</v>
      </c>
      <c r="BT214" s="36"/>
      <c r="BU214" s="35" t="s">
        <v>587</v>
      </c>
    </row>
    <row r="215" s="1" customFormat="1" customHeight="1" spans="1:73">
      <c r="A215" s="15" t="s">
        <v>585</v>
      </c>
      <c r="B215" s="15">
        <v>280</v>
      </c>
      <c r="C215" s="16">
        <v>600</v>
      </c>
      <c r="D215" s="29"/>
      <c r="E215" s="30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30"/>
      <c r="AH215" s="29"/>
      <c r="AI215" s="29"/>
      <c r="AJ215" s="29"/>
      <c r="AK215" s="30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0">
        <f t="shared" si="20"/>
        <v>0</v>
      </c>
      <c r="BO215" s="20">
        <f t="shared" si="21"/>
        <v>0</v>
      </c>
      <c r="BP215" s="20">
        <f t="shared" si="22"/>
        <v>600</v>
      </c>
      <c r="BQ215" s="51">
        <f t="shared" si="24"/>
        <v>168</v>
      </c>
      <c r="BR215" s="56" t="s">
        <v>170</v>
      </c>
      <c r="BS215" s="91" t="s">
        <v>570</v>
      </c>
      <c r="BT215" s="36" t="s">
        <v>590</v>
      </c>
      <c r="BU215" s="35" t="s">
        <v>587</v>
      </c>
    </row>
    <row r="216" s="1" customFormat="1" customHeight="1" spans="1:73">
      <c r="A216" s="15" t="s">
        <v>585</v>
      </c>
      <c r="B216" s="15">
        <v>325</v>
      </c>
      <c r="C216" s="16">
        <v>484</v>
      </c>
      <c r="D216" s="29"/>
      <c r="E216" s="30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30"/>
      <c r="AH216" s="29"/>
      <c r="AI216" s="29"/>
      <c r="AJ216" s="29"/>
      <c r="AK216" s="30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0">
        <f t="shared" si="20"/>
        <v>0</v>
      </c>
      <c r="BO216" s="20">
        <f t="shared" si="21"/>
        <v>0</v>
      </c>
      <c r="BP216" s="20">
        <f t="shared" si="22"/>
        <v>484</v>
      </c>
      <c r="BQ216" s="51">
        <f t="shared" si="24"/>
        <v>157.3</v>
      </c>
      <c r="BR216" s="56" t="s">
        <v>138</v>
      </c>
      <c r="BS216" s="91" t="s">
        <v>570</v>
      </c>
      <c r="BT216" s="36" t="s">
        <v>590</v>
      </c>
      <c r="BU216" s="35" t="s">
        <v>587</v>
      </c>
    </row>
    <row r="217" s="2" customFormat="1" customHeight="1" spans="1:73">
      <c r="A217" s="15" t="s">
        <v>585</v>
      </c>
      <c r="B217" s="15">
        <v>390</v>
      </c>
      <c r="C217" s="16">
        <v>120</v>
      </c>
      <c r="D217" s="29"/>
      <c r="E217" s="30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30"/>
      <c r="AH217" s="29"/>
      <c r="AI217" s="29"/>
      <c r="AJ217" s="29"/>
      <c r="AK217" s="30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0">
        <f t="shared" si="20"/>
        <v>0</v>
      </c>
      <c r="BO217" s="20">
        <f t="shared" si="21"/>
        <v>0</v>
      </c>
      <c r="BP217" s="20">
        <f t="shared" si="22"/>
        <v>120</v>
      </c>
      <c r="BQ217" s="51">
        <f t="shared" si="24"/>
        <v>46.8</v>
      </c>
      <c r="BR217" s="56" t="s">
        <v>593</v>
      </c>
      <c r="BS217" s="91" t="s">
        <v>573</v>
      </c>
      <c r="BT217" s="95" t="s">
        <v>594</v>
      </c>
      <c r="BU217" s="49" t="s">
        <v>595</v>
      </c>
    </row>
    <row r="218" s="1" customFormat="1" customHeight="1" spans="1:73">
      <c r="A218" s="15" t="s">
        <v>585</v>
      </c>
      <c r="B218" s="15">
        <v>420</v>
      </c>
      <c r="C218" s="16">
        <v>235</v>
      </c>
      <c r="D218" s="29"/>
      <c r="E218" s="30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30"/>
      <c r="AH218" s="29"/>
      <c r="AI218" s="29"/>
      <c r="AJ218" s="29"/>
      <c r="AK218" s="30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0">
        <f t="shared" si="20"/>
        <v>0</v>
      </c>
      <c r="BO218" s="20">
        <f t="shared" si="21"/>
        <v>0</v>
      </c>
      <c r="BP218" s="20">
        <f t="shared" si="22"/>
        <v>235</v>
      </c>
      <c r="BQ218" s="51">
        <f t="shared" si="24"/>
        <v>98.7</v>
      </c>
      <c r="BR218" s="56" t="s">
        <v>591</v>
      </c>
      <c r="BS218" s="91" t="s">
        <v>592</v>
      </c>
      <c r="BT218" s="57" t="s">
        <v>596</v>
      </c>
      <c r="BU218" s="49" t="s">
        <v>595</v>
      </c>
    </row>
    <row r="219" s="1" customFormat="1" customHeight="1" spans="1:73">
      <c r="A219" s="53" t="s">
        <v>597</v>
      </c>
      <c r="B219" s="15"/>
      <c r="C219" s="16"/>
      <c r="D219" s="29"/>
      <c r="E219" s="30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30"/>
      <c r="AH219" s="29"/>
      <c r="AI219" s="29"/>
      <c r="AJ219" s="29"/>
      <c r="AK219" s="30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0">
        <f t="shared" si="20"/>
        <v>0</v>
      </c>
      <c r="BO219" s="20">
        <f t="shared" si="21"/>
        <v>0</v>
      </c>
      <c r="BP219" s="20">
        <f t="shared" si="22"/>
        <v>0</v>
      </c>
      <c r="BQ219" s="51"/>
      <c r="BR219" s="56"/>
      <c r="BS219" s="45"/>
      <c r="BT219" s="57"/>
      <c r="BU219" s="49"/>
    </row>
    <row r="220" s="1" customFormat="1" customHeight="1" spans="1:73">
      <c r="A220" s="15" t="s">
        <v>598</v>
      </c>
      <c r="B220" s="15">
        <v>190</v>
      </c>
      <c r="C220" s="16">
        <v>721.5</v>
      </c>
      <c r="D220" s="29"/>
      <c r="E220" s="30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30"/>
      <c r="AH220" s="29"/>
      <c r="AI220" s="29"/>
      <c r="AJ220" s="29"/>
      <c r="AK220" s="30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0">
        <f t="shared" si="20"/>
        <v>0</v>
      </c>
      <c r="BO220" s="20">
        <f t="shared" si="21"/>
        <v>0</v>
      </c>
      <c r="BP220" s="20">
        <f t="shared" si="22"/>
        <v>721.5</v>
      </c>
      <c r="BQ220" s="51">
        <f t="shared" ref="BQ220:BQ222" si="25">B220*BP220/1000</f>
        <v>137.085</v>
      </c>
      <c r="BR220" s="56" t="s">
        <v>409</v>
      </c>
      <c r="BS220" s="91" t="s">
        <v>573</v>
      </c>
      <c r="BT220" s="36"/>
      <c r="BU220" s="35" t="s">
        <v>599</v>
      </c>
    </row>
    <row r="221" s="1" customFormat="1" customHeight="1" spans="1:73">
      <c r="A221" s="15" t="s">
        <v>598</v>
      </c>
      <c r="B221" s="15">
        <v>280</v>
      </c>
      <c r="C221" s="16">
        <v>140</v>
      </c>
      <c r="D221" s="29"/>
      <c r="E221" s="30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30"/>
      <c r="AH221" s="29"/>
      <c r="AI221" s="29"/>
      <c r="AJ221" s="29"/>
      <c r="AK221" s="30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0">
        <f t="shared" si="20"/>
        <v>0</v>
      </c>
      <c r="BO221" s="20">
        <f t="shared" si="21"/>
        <v>0</v>
      </c>
      <c r="BP221" s="20">
        <f t="shared" si="22"/>
        <v>140</v>
      </c>
      <c r="BQ221" s="51">
        <f t="shared" si="25"/>
        <v>39.2</v>
      </c>
      <c r="BR221" s="56" t="s">
        <v>409</v>
      </c>
      <c r="BS221" s="91" t="s">
        <v>573</v>
      </c>
      <c r="BT221" s="36"/>
      <c r="BU221" s="35" t="s">
        <v>599</v>
      </c>
    </row>
    <row r="222" s="1" customFormat="1" customHeight="1" spans="1:73">
      <c r="A222" s="15" t="s">
        <v>598</v>
      </c>
      <c r="B222" s="15">
        <v>320</v>
      </c>
      <c r="C222" s="16">
        <v>90</v>
      </c>
      <c r="D222" s="29"/>
      <c r="E222" s="30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30"/>
      <c r="AH222" s="29"/>
      <c r="AI222" s="29"/>
      <c r="AJ222" s="29"/>
      <c r="AK222" s="30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0">
        <f t="shared" si="20"/>
        <v>0</v>
      </c>
      <c r="BO222" s="20">
        <f t="shared" si="21"/>
        <v>0</v>
      </c>
      <c r="BP222" s="20">
        <f t="shared" si="22"/>
        <v>90</v>
      </c>
      <c r="BQ222" s="51">
        <f t="shared" si="25"/>
        <v>28.8</v>
      </c>
      <c r="BR222" s="56" t="s">
        <v>409</v>
      </c>
      <c r="BS222" s="91" t="s">
        <v>573</v>
      </c>
      <c r="BT222" s="36"/>
      <c r="BU222" s="35" t="s">
        <v>599</v>
      </c>
    </row>
    <row r="223" s="1" customFormat="1" customHeight="1" spans="1:73">
      <c r="A223" s="53" t="s">
        <v>600</v>
      </c>
      <c r="B223" s="15"/>
      <c r="C223" s="16"/>
      <c r="D223" s="29"/>
      <c r="E223" s="30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30"/>
      <c r="AH223" s="29"/>
      <c r="AI223" s="29"/>
      <c r="AJ223" s="29"/>
      <c r="AK223" s="30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0">
        <f t="shared" si="20"/>
        <v>0</v>
      </c>
      <c r="BO223" s="20">
        <f t="shared" si="21"/>
        <v>0</v>
      </c>
      <c r="BP223" s="20">
        <f t="shared" si="22"/>
        <v>0</v>
      </c>
      <c r="BQ223" s="51"/>
      <c r="BR223" s="56"/>
      <c r="BS223" s="91"/>
      <c r="BT223" s="36"/>
      <c r="BU223" s="35"/>
    </row>
    <row r="224" s="1" customFormat="1" customHeight="1" spans="1:73">
      <c r="A224" s="15" t="s">
        <v>601</v>
      </c>
      <c r="B224" s="15">
        <v>157</v>
      </c>
      <c r="C224" s="16">
        <v>30</v>
      </c>
      <c r="D224" s="29"/>
      <c r="E224" s="30"/>
      <c r="F224" s="29"/>
      <c r="G224" s="30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30"/>
      <c r="AH224" s="29"/>
      <c r="AI224" s="29"/>
      <c r="AJ224" s="29"/>
      <c r="AK224" s="30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0">
        <f t="shared" si="20"/>
        <v>0</v>
      </c>
      <c r="BO224" s="20">
        <f t="shared" si="21"/>
        <v>0</v>
      </c>
      <c r="BP224" s="20">
        <f t="shared" si="22"/>
        <v>30</v>
      </c>
      <c r="BQ224" s="51">
        <f t="shared" ref="BQ224:BQ230" si="26">B224*BP224/1000</f>
        <v>4.71</v>
      </c>
      <c r="BR224" s="56" t="s">
        <v>409</v>
      </c>
      <c r="BS224" s="91" t="s">
        <v>573</v>
      </c>
      <c r="BT224" s="36"/>
      <c r="BU224" s="35" t="s">
        <v>602</v>
      </c>
    </row>
    <row r="225" s="1" customFormat="1" customHeight="1" spans="1:73">
      <c r="A225" s="15" t="s">
        <v>601</v>
      </c>
      <c r="B225" s="15">
        <v>166</v>
      </c>
      <c r="C225" s="16">
        <v>89</v>
      </c>
      <c r="D225" s="29"/>
      <c r="E225" s="30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30"/>
      <c r="AH225" s="29"/>
      <c r="AI225" s="29"/>
      <c r="AJ225" s="29"/>
      <c r="AK225" s="30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0">
        <f t="shared" si="20"/>
        <v>0</v>
      </c>
      <c r="BO225" s="20">
        <f t="shared" si="21"/>
        <v>0</v>
      </c>
      <c r="BP225" s="20">
        <f t="shared" si="22"/>
        <v>89</v>
      </c>
      <c r="BQ225" s="51">
        <f t="shared" si="26"/>
        <v>14.774</v>
      </c>
      <c r="BR225" s="56" t="s">
        <v>409</v>
      </c>
      <c r="BS225" s="91" t="s">
        <v>573</v>
      </c>
      <c r="BT225" s="36"/>
      <c r="BU225" s="35" t="s">
        <v>602</v>
      </c>
    </row>
    <row r="226" s="1" customFormat="1" customHeight="1" spans="1:73">
      <c r="A226" s="53" t="s">
        <v>603</v>
      </c>
      <c r="B226" s="15"/>
      <c r="C226" s="16"/>
      <c r="D226" s="29"/>
      <c r="E226" s="30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30"/>
      <c r="AH226" s="29"/>
      <c r="AI226" s="29"/>
      <c r="AJ226" s="29"/>
      <c r="AK226" s="30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0">
        <f t="shared" si="20"/>
        <v>0</v>
      </c>
      <c r="BO226" s="20">
        <f t="shared" si="21"/>
        <v>0</v>
      </c>
      <c r="BP226" s="20">
        <f t="shared" si="22"/>
        <v>0</v>
      </c>
      <c r="BQ226" s="51"/>
      <c r="BR226" s="56"/>
      <c r="BS226" s="91"/>
      <c r="BT226" s="36"/>
      <c r="BU226" s="35"/>
    </row>
    <row r="227" s="1" customFormat="1" customHeight="1" spans="1:73">
      <c r="A227" s="39" t="s">
        <v>604</v>
      </c>
      <c r="B227" s="15">
        <v>130</v>
      </c>
      <c r="C227" s="16">
        <v>56</v>
      </c>
      <c r="D227" s="29"/>
      <c r="E227" s="30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30"/>
      <c r="AH227" s="29"/>
      <c r="AI227" s="29"/>
      <c r="AJ227" s="29"/>
      <c r="AK227" s="30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0">
        <f t="shared" si="20"/>
        <v>0</v>
      </c>
      <c r="BO227" s="20">
        <f t="shared" si="21"/>
        <v>0</v>
      </c>
      <c r="BP227" s="20">
        <f t="shared" si="22"/>
        <v>56</v>
      </c>
      <c r="BQ227" s="51">
        <f t="shared" si="26"/>
        <v>7.28</v>
      </c>
      <c r="BR227" s="56" t="s">
        <v>409</v>
      </c>
      <c r="BS227" s="91" t="s">
        <v>573</v>
      </c>
      <c r="BT227" s="36"/>
      <c r="BU227" s="35" t="s">
        <v>602</v>
      </c>
    </row>
    <row r="228" s="1" customFormat="1" customHeight="1" spans="1:73">
      <c r="A228" s="39" t="s">
        <v>604</v>
      </c>
      <c r="B228" s="15">
        <v>280</v>
      </c>
      <c r="C228" s="16">
        <v>112</v>
      </c>
      <c r="D228" s="29"/>
      <c r="E228" s="30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30"/>
      <c r="AH228" s="29"/>
      <c r="AI228" s="29"/>
      <c r="AJ228" s="29"/>
      <c r="AK228" s="30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0">
        <f t="shared" si="20"/>
        <v>0</v>
      </c>
      <c r="BO228" s="20">
        <f t="shared" si="21"/>
        <v>0</v>
      </c>
      <c r="BP228" s="20">
        <f t="shared" si="22"/>
        <v>112</v>
      </c>
      <c r="BQ228" s="51">
        <f t="shared" si="26"/>
        <v>31.36</v>
      </c>
      <c r="BR228" s="56" t="s">
        <v>409</v>
      </c>
      <c r="BS228" s="91" t="s">
        <v>573</v>
      </c>
      <c r="BT228" s="36"/>
      <c r="BU228" s="35" t="s">
        <v>602</v>
      </c>
    </row>
    <row r="229" s="1" customFormat="1" customHeight="1" spans="1:73">
      <c r="A229" s="39" t="s">
        <v>604</v>
      </c>
      <c r="B229" s="15">
        <v>290</v>
      </c>
      <c r="C229" s="16">
        <v>20</v>
      </c>
      <c r="D229" s="29"/>
      <c r="E229" s="30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30"/>
      <c r="AH229" s="29"/>
      <c r="AI229" s="29"/>
      <c r="AJ229" s="29"/>
      <c r="AK229" s="30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0">
        <f t="shared" si="20"/>
        <v>0</v>
      </c>
      <c r="BO229" s="20">
        <f t="shared" si="21"/>
        <v>0</v>
      </c>
      <c r="BP229" s="20">
        <f t="shared" si="22"/>
        <v>20</v>
      </c>
      <c r="BQ229" s="51">
        <f t="shared" si="26"/>
        <v>5.8</v>
      </c>
      <c r="BR229" s="56" t="s">
        <v>409</v>
      </c>
      <c r="BS229" s="91" t="s">
        <v>573</v>
      </c>
      <c r="BT229" s="36"/>
      <c r="BU229" s="35" t="s">
        <v>602</v>
      </c>
    </row>
    <row r="230" s="1" customFormat="1" customHeight="1" spans="1:73">
      <c r="A230" s="39" t="s">
        <v>604</v>
      </c>
      <c r="B230" s="15">
        <v>400</v>
      </c>
      <c r="C230" s="16">
        <v>200</v>
      </c>
      <c r="D230" s="29"/>
      <c r="E230" s="30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30"/>
      <c r="AH230" s="29"/>
      <c r="AI230" s="29"/>
      <c r="AJ230" s="29"/>
      <c r="AK230" s="30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0">
        <f t="shared" si="20"/>
        <v>0</v>
      </c>
      <c r="BO230" s="20">
        <f t="shared" si="21"/>
        <v>0</v>
      </c>
      <c r="BP230" s="20">
        <f t="shared" si="22"/>
        <v>200</v>
      </c>
      <c r="BQ230" s="51">
        <f t="shared" si="26"/>
        <v>80</v>
      </c>
      <c r="BR230" s="56" t="s">
        <v>409</v>
      </c>
      <c r="BS230" s="91" t="s">
        <v>573</v>
      </c>
      <c r="BT230" s="36"/>
      <c r="BU230" s="35" t="s">
        <v>602</v>
      </c>
    </row>
    <row r="231" s="1" customFormat="1" customHeight="1" spans="1:73">
      <c r="A231" s="53" t="s">
        <v>605</v>
      </c>
      <c r="B231" s="15"/>
      <c r="C231" s="16"/>
      <c r="D231" s="29"/>
      <c r="E231" s="30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30"/>
      <c r="AH231" s="29"/>
      <c r="AI231" s="29"/>
      <c r="AJ231" s="29"/>
      <c r="AK231" s="30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0">
        <f t="shared" si="20"/>
        <v>0</v>
      </c>
      <c r="BO231" s="20">
        <f t="shared" si="21"/>
        <v>0</v>
      </c>
      <c r="BP231" s="20">
        <f t="shared" si="22"/>
        <v>0</v>
      </c>
      <c r="BQ231" s="51"/>
      <c r="BR231" s="56"/>
      <c r="BS231" s="91"/>
      <c r="BT231" s="36"/>
      <c r="BU231" s="35"/>
    </row>
    <row r="232" s="2" customFormat="1" customHeight="1" spans="1:73">
      <c r="A232" s="15" t="s">
        <v>606</v>
      </c>
      <c r="B232" s="15">
        <v>270</v>
      </c>
      <c r="C232" s="16">
        <v>50</v>
      </c>
      <c r="D232" s="29"/>
      <c r="E232" s="30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30"/>
      <c r="AH232" s="29"/>
      <c r="AI232" s="29"/>
      <c r="AJ232" s="29"/>
      <c r="AK232" s="30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0">
        <f t="shared" si="20"/>
        <v>0</v>
      </c>
      <c r="BO232" s="20">
        <f t="shared" si="21"/>
        <v>0</v>
      </c>
      <c r="BP232" s="20">
        <f t="shared" si="22"/>
        <v>50</v>
      </c>
      <c r="BQ232" s="51">
        <f t="shared" ref="BQ232:BQ237" si="27">B232*BP232/1000</f>
        <v>13.5</v>
      </c>
      <c r="BR232" s="56" t="s">
        <v>409</v>
      </c>
      <c r="BS232" s="91" t="s">
        <v>573</v>
      </c>
      <c r="BT232" s="96" t="s">
        <v>607</v>
      </c>
      <c r="BU232" s="35" t="s">
        <v>602</v>
      </c>
    </row>
    <row r="233" s="2" customFormat="1" customHeight="1" spans="1:73">
      <c r="A233" s="53" t="s">
        <v>608</v>
      </c>
      <c r="B233" s="15"/>
      <c r="C233" s="16"/>
      <c r="D233" s="29"/>
      <c r="E233" s="30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30"/>
      <c r="AH233" s="29"/>
      <c r="AI233" s="29"/>
      <c r="AJ233" s="29"/>
      <c r="AK233" s="30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0">
        <f t="shared" si="20"/>
        <v>0</v>
      </c>
      <c r="BO233" s="20">
        <f t="shared" si="21"/>
        <v>0</v>
      </c>
      <c r="BP233" s="20">
        <f t="shared" si="22"/>
        <v>0</v>
      </c>
      <c r="BQ233" s="51"/>
      <c r="BR233" s="56"/>
      <c r="BS233" s="45"/>
      <c r="BT233" s="96"/>
      <c r="BU233" s="35"/>
    </row>
    <row r="234" s="2" customFormat="1" customHeight="1" spans="1:73">
      <c r="A234" s="15" t="s">
        <v>609</v>
      </c>
      <c r="B234" s="15">
        <v>200</v>
      </c>
      <c r="C234" s="16">
        <v>75</v>
      </c>
      <c r="D234" s="29"/>
      <c r="E234" s="30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30"/>
      <c r="AH234" s="29"/>
      <c r="AI234" s="29"/>
      <c r="AJ234" s="29"/>
      <c r="AK234" s="30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0">
        <f t="shared" si="20"/>
        <v>0</v>
      </c>
      <c r="BO234" s="20">
        <f t="shared" si="21"/>
        <v>0</v>
      </c>
      <c r="BP234" s="20">
        <f t="shared" si="22"/>
        <v>75</v>
      </c>
      <c r="BQ234" s="51">
        <f t="shared" si="27"/>
        <v>15</v>
      </c>
      <c r="BR234" s="56" t="s">
        <v>610</v>
      </c>
      <c r="BS234" s="91" t="s">
        <v>573</v>
      </c>
      <c r="BT234" s="96"/>
      <c r="BU234" s="35" t="s">
        <v>611</v>
      </c>
    </row>
    <row r="235" s="2" customFormat="1" customHeight="1" spans="1:73">
      <c r="A235" s="53" t="s">
        <v>612</v>
      </c>
      <c r="B235" s="15"/>
      <c r="C235" s="16"/>
      <c r="D235" s="29"/>
      <c r="E235" s="30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30"/>
      <c r="AH235" s="29"/>
      <c r="AI235" s="29"/>
      <c r="AJ235" s="29"/>
      <c r="AK235" s="30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0">
        <f t="shared" si="20"/>
        <v>0</v>
      </c>
      <c r="BO235" s="20">
        <f t="shared" si="21"/>
        <v>0</v>
      </c>
      <c r="BP235" s="20">
        <f t="shared" si="22"/>
        <v>0</v>
      </c>
      <c r="BQ235" s="51"/>
      <c r="BR235" s="56"/>
      <c r="BS235" s="45"/>
      <c r="BT235" s="96"/>
      <c r="BU235" s="35"/>
    </row>
    <row r="236" s="1" customFormat="1" customHeight="1" spans="1:73">
      <c r="A236" s="15" t="s">
        <v>613</v>
      </c>
      <c r="B236" s="15">
        <v>200</v>
      </c>
      <c r="C236" s="16">
        <v>27</v>
      </c>
      <c r="D236" s="29"/>
      <c r="E236" s="30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30"/>
      <c r="AH236" s="29"/>
      <c r="AI236" s="29"/>
      <c r="AJ236" s="29"/>
      <c r="AK236" s="30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0">
        <f t="shared" si="20"/>
        <v>0</v>
      </c>
      <c r="BO236" s="20">
        <f t="shared" si="21"/>
        <v>0</v>
      </c>
      <c r="BP236" s="20">
        <f t="shared" si="22"/>
        <v>27</v>
      </c>
      <c r="BQ236" s="51">
        <f t="shared" si="27"/>
        <v>5.4</v>
      </c>
      <c r="BR236" s="56" t="s">
        <v>610</v>
      </c>
      <c r="BS236" s="91" t="s">
        <v>573</v>
      </c>
      <c r="BT236" s="36"/>
      <c r="BU236" s="35" t="s">
        <v>611</v>
      </c>
    </row>
    <row r="237" s="1" customFormat="1" customHeight="1" spans="1:73">
      <c r="A237" s="15" t="s">
        <v>613</v>
      </c>
      <c r="B237" s="15">
        <v>270</v>
      </c>
      <c r="C237" s="16">
        <v>67</v>
      </c>
      <c r="D237" s="29"/>
      <c r="E237" s="30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30"/>
      <c r="AH237" s="29"/>
      <c r="AI237" s="29"/>
      <c r="AJ237" s="29"/>
      <c r="AK237" s="30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0">
        <f t="shared" si="20"/>
        <v>0</v>
      </c>
      <c r="BO237" s="20">
        <f t="shared" si="21"/>
        <v>0</v>
      </c>
      <c r="BP237" s="20">
        <f t="shared" si="22"/>
        <v>67</v>
      </c>
      <c r="BQ237" s="51">
        <f t="shared" si="27"/>
        <v>18.09</v>
      </c>
      <c r="BR237" s="56" t="s">
        <v>582</v>
      </c>
      <c r="BS237" s="91" t="s">
        <v>583</v>
      </c>
      <c r="BT237" s="36"/>
      <c r="BU237" s="35"/>
    </row>
    <row r="238" s="1" customFormat="1" customHeight="1" spans="1:73">
      <c r="A238" s="53" t="s">
        <v>614</v>
      </c>
      <c r="B238" s="15"/>
      <c r="C238" s="16"/>
      <c r="D238" s="29"/>
      <c r="E238" s="30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30"/>
      <c r="AH238" s="29"/>
      <c r="AI238" s="29"/>
      <c r="AJ238" s="29"/>
      <c r="AK238" s="30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0">
        <f t="shared" si="20"/>
        <v>0</v>
      </c>
      <c r="BO238" s="20">
        <f t="shared" si="21"/>
        <v>0</v>
      </c>
      <c r="BP238" s="20">
        <f t="shared" si="22"/>
        <v>0</v>
      </c>
      <c r="BQ238" s="51"/>
      <c r="BR238" s="56"/>
      <c r="BS238" s="45"/>
      <c r="BT238" s="36"/>
      <c r="BU238" s="35"/>
    </row>
    <row r="239" s="1" customFormat="1" customHeight="1" spans="1:73">
      <c r="A239" s="37" t="s">
        <v>615</v>
      </c>
      <c r="B239" s="15">
        <v>115</v>
      </c>
      <c r="C239" s="16">
        <v>300</v>
      </c>
      <c r="D239" s="29"/>
      <c r="E239" s="30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30"/>
      <c r="AH239" s="29"/>
      <c r="AI239" s="29"/>
      <c r="AJ239" s="29"/>
      <c r="AK239" s="30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0">
        <f t="shared" si="20"/>
        <v>0</v>
      </c>
      <c r="BO239" s="20">
        <f t="shared" si="21"/>
        <v>0</v>
      </c>
      <c r="BP239" s="20">
        <f t="shared" si="22"/>
        <v>300</v>
      </c>
      <c r="BQ239" s="51">
        <f t="shared" ref="BQ239:BQ248" si="28">B239*BP239/1000</f>
        <v>34.5</v>
      </c>
      <c r="BR239" s="56" t="s">
        <v>170</v>
      </c>
      <c r="BS239" s="91" t="s">
        <v>570</v>
      </c>
      <c r="BT239" s="36"/>
      <c r="BU239" s="35" t="s">
        <v>611</v>
      </c>
    </row>
    <row r="240" s="1" customFormat="1" customHeight="1" spans="1:73">
      <c r="A240" s="37" t="s">
        <v>615</v>
      </c>
      <c r="B240" s="15">
        <v>160</v>
      </c>
      <c r="C240" s="16">
        <v>1411</v>
      </c>
      <c r="D240" s="29"/>
      <c r="E240" s="30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30"/>
      <c r="AH240" s="29"/>
      <c r="AI240" s="29"/>
      <c r="AJ240" s="29"/>
      <c r="AK240" s="30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0">
        <f t="shared" si="20"/>
        <v>0</v>
      </c>
      <c r="BO240" s="20">
        <f t="shared" si="21"/>
        <v>0</v>
      </c>
      <c r="BP240" s="20">
        <f t="shared" si="22"/>
        <v>1411</v>
      </c>
      <c r="BQ240" s="51">
        <f t="shared" si="28"/>
        <v>225.76</v>
      </c>
      <c r="BR240" s="56" t="s">
        <v>616</v>
      </c>
      <c r="BS240" s="91" t="s">
        <v>577</v>
      </c>
      <c r="BT240" s="36"/>
      <c r="BU240" s="35" t="s">
        <v>611</v>
      </c>
    </row>
    <row r="241" s="1" customFormat="1" customHeight="1" spans="1:73">
      <c r="A241" s="37" t="s">
        <v>615</v>
      </c>
      <c r="B241" s="15">
        <v>195</v>
      </c>
      <c r="C241" s="16">
        <v>246</v>
      </c>
      <c r="D241" s="29"/>
      <c r="E241" s="30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30"/>
      <c r="AB241" s="29"/>
      <c r="AC241" s="29"/>
      <c r="AD241" s="29"/>
      <c r="AE241" s="29"/>
      <c r="AF241" s="29"/>
      <c r="AG241" s="30"/>
      <c r="AH241" s="29"/>
      <c r="AI241" s="29"/>
      <c r="AJ241" s="29"/>
      <c r="AK241" s="30"/>
      <c r="AL241" s="29"/>
      <c r="AM241" s="29"/>
      <c r="AN241" s="29"/>
      <c r="AO241" s="29"/>
      <c r="AP241" s="29"/>
      <c r="AQ241" s="82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0">
        <f t="shared" si="20"/>
        <v>0</v>
      </c>
      <c r="BO241" s="20">
        <f t="shared" si="21"/>
        <v>0</v>
      </c>
      <c r="BP241" s="20">
        <f t="shared" si="22"/>
        <v>246</v>
      </c>
      <c r="BQ241" s="51">
        <f t="shared" si="28"/>
        <v>47.97</v>
      </c>
      <c r="BR241" s="56" t="s">
        <v>610</v>
      </c>
      <c r="BS241" s="91" t="s">
        <v>573</v>
      </c>
      <c r="BT241" s="36"/>
      <c r="BU241" s="35" t="s">
        <v>617</v>
      </c>
    </row>
    <row r="242" s="1" customFormat="1" customHeight="1" spans="1:73">
      <c r="A242" s="37" t="s">
        <v>615</v>
      </c>
      <c r="B242" s="15">
        <v>255</v>
      </c>
      <c r="C242" s="16">
        <v>380</v>
      </c>
      <c r="D242" s="29"/>
      <c r="E242" s="30"/>
      <c r="F242" s="29"/>
      <c r="G242" s="82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30"/>
      <c r="AB242" s="29"/>
      <c r="AC242" s="29"/>
      <c r="AD242" s="29"/>
      <c r="AE242" s="29"/>
      <c r="AF242" s="29"/>
      <c r="AG242" s="30"/>
      <c r="AH242" s="29"/>
      <c r="AI242" s="29"/>
      <c r="AJ242" s="29"/>
      <c r="AK242" s="30"/>
      <c r="AL242" s="29"/>
      <c r="AM242" s="29"/>
      <c r="AN242" s="29"/>
      <c r="AO242" s="29"/>
      <c r="AP242" s="29"/>
      <c r="AQ242" s="82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0">
        <f t="shared" si="20"/>
        <v>0</v>
      </c>
      <c r="BO242" s="20">
        <f t="shared" si="21"/>
        <v>0</v>
      </c>
      <c r="BP242" s="20">
        <f t="shared" si="22"/>
        <v>380</v>
      </c>
      <c r="BQ242" s="51">
        <f t="shared" si="28"/>
        <v>96.9</v>
      </c>
      <c r="BR242" s="56" t="s">
        <v>610</v>
      </c>
      <c r="BS242" s="91" t="s">
        <v>573</v>
      </c>
      <c r="BT242" s="36"/>
      <c r="BU242" s="35" t="s">
        <v>617</v>
      </c>
    </row>
    <row r="243" s="1" customFormat="1" customHeight="1" spans="1:73">
      <c r="A243" s="37" t="s">
        <v>615</v>
      </c>
      <c r="B243" s="15">
        <v>280</v>
      </c>
      <c r="C243" s="16">
        <v>662</v>
      </c>
      <c r="D243" s="29"/>
      <c r="E243" s="30"/>
      <c r="F243" s="29"/>
      <c r="G243" s="82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30"/>
      <c r="AB243" s="29"/>
      <c r="AC243" s="29"/>
      <c r="AD243" s="29"/>
      <c r="AE243" s="29"/>
      <c r="AF243" s="29"/>
      <c r="AG243" s="30"/>
      <c r="AH243" s="29"/>
      <c r="AI243" s="29"/>
      <c r="AJ243" s="29"/>
      <c r="AK243" s="30"/>
      <c r="AL243" s="29"/>
      <c r="AM243" s="29"/>
      <c r="AN243" s="29"/>
      <c r="AO243" s="29"/>
      <c r="AP243" s="29"/>
      <c r="AQ243" s="82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0">
        <f t="shared" si="20"/>
        <v>0</v>
      </c>
      <c r="BO243" s="20">
        <f t="shared" si="21"/>
        <v>0</v>
      </c>
      <c r="BP243" s="20">
        <f t="shared" si="22"/>
        <v>662</v>
      </c>
      <c r="BQ243" s="51">
        <f t="shared" si="28"/>
        <v>185.36</v>
      </c>
      <c r="BR243" s="56" t="s">
        <v>574</v>
      </c>
      <c r="BS243" s="91" t="s">
        <v>570</v>
      </c>
      <c r="BT243" s="36"/>
      <c r="BU243" s="35"/>
    </row>
    <row r="244" s="1" customFormat="1" customHeight="1" spans="1:73">
      <c r="A244" s="37" t="s">
        <v>615</v>
      </c>
      <c r="B244" s="15">
        <v>290</v>
      </c>
      <c r="C244" s="29">
        <v>40</v>
      </c>
      <c r="D244" s="29"/>
      <c r="E244" s="30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30"/>
      <c r="AB244" s="29"/>
      <c r="AC244" s="29"/>
      <c r="AD244" s="29"/>
      <c r="AE244" s="30"/>
      <c r="AF244" s="29"/>
      <c r="AG244" s="30"/>
      <c r="AH244" s="29"/>
      <c r="AI244" s="30"/>
      <c r="AJ244" s="29"/>
      <c r="AK244" s="30"/>
      <c r="AL244" s="29"/>
      <c r="AM244" s="29"/>
      <c r="AN244" s="29"/>
      <c r="AO244" s="29"/>
      <c r="AP244" s="29"/>
      <c r="AQ244" s="82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0">
        <f t="shared" si="20"/>
        <v>0</v>
      </c>
      <c r="BO244" s="20">
        <f t="shared" si="21"/>
        <v>0</v>
      </c>
      <c r="BP244" s="20">
        <f t="shared" si="22"/>
        <v>40</v>
      </c>
      <c r="BQ244" s="51">
        <f t="shared" si="28"/>
        <v>11.6</v>
      </c>
      <c r="BR244" s="68" t="s">
        <v>618</v>
      </c>
      <c r="BS244" s="91" t="s">
        <v>619</v>
      </c>
      <c r="BT244" s="57" t="s">
        <v>620</v>
      </c>
      <c r="BU244" s="44" t="s">
        <v>617</v>
      </c>
    </row>
    <row r="245" s="1" customFormat="1" customHeight="1" spans="1:73">
      <c r="A245" s="37" t="s">
        <v>615</v>
      </c>
      <c r="B245" s="15">
        <v>320</v>
      </c>
      <c r="C245" s="29">
        <v>177</v>
      </c>
      <c r="D245" s="29"/>
      <c r="E245" s="30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30"/>
      <c r="AB245" s="29"/>
      <c r="AC245" s="29"/>
      <c r="AD245" s="29"/>
      <c r="AE245" s="30"/>
      <c r="AF245" s="29"/>
      <c r="AG245" s="30"/>
      <c r="AH245" s="29"/>
      <c r="AI245" s="29"/>
      <c r="AJ245" s="29"/>
      <c r="AK245" s="30"/>
      <c r="AL245" s="29"/>
      <c r="AM245" s="29"/>
      <c r="AN245" s="29"/>
      <c r="AO245" s="29"/>
      <c r="AP245" s="29"/>
      <c r="AQ245" s="82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0">
        <f t="shared" si="20"/>
        <v>0</v>
      </c>
      <c r="BO245" s="20">
        <f t="shared" si="21"/>
        <v>0</v>
      </c>
      <c r="BP245" s="20">
        <f t="shared" si="22"/>
        <v>177</v>
      </c>
      <c r="BQ245" s="51">
        <f t="shared" si="28"/>
        <v>56.64</v>
      </c>
      <c r="BR245" s="68" t="s">
        <v>582</v>
      </c>
      <c r="BS245" s="91" t="s">
        <v>583</v>
      </c>
      <c r="BT245" s="57"/>
      <c r="BU245" s="44" t="s">
        <v>617</v>
      </c>
    </row>
    <row r="246" s="1" customFormat="1" customHeight="1" spans="1:73">
      <c r="A246" s="37" t="s">
        <v>615</v>
      </c>
      <c r="B246" s="15">
        <v>325</v>
      </c>
      <c r="C246" s="29">
        <v>300</v>
      </c>
      <c r="D246" s="29"/>
      <c r="E246" s="30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30"/>
      <c r="AB246" s="29"/>
      <c r="AC246" s="29"/>
      <c r="AD246" s="29"/>
      <c r="AE246" s="30"/>
      <c r="AF246" s="29"/>
      <c r="AG246" s="30"/>
      <c r="AH246" s="29"/>
      <c r="AI246" s="29"/>
      <c r="AJ246" s="29"/>
      <c r="AK246" s="30"/>
      <c r="AL246" s="29"/>
      <c r="AM246" s="29"/>
      <c r="AN246" s="29"/>
      <c r="AO246" s="29"/>
      <c r="AP246" s="29"/>
      <c r="AQ246" s="82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0">
        <f t="shared" si="20"/>
        <v>0</v>
      </c>
      <c r="BO246" s="20">
        <f t="shared" si="21"/>
        <v>0</v>
      </c>
      <c r="BP246" s="20">
        <f t="shared" si="22"/>
        <v>300</v>
      </c>
      <c r="BQ246" s="51">
        <f t="shared" si="28"/>
        <v>97.5</v>
      </c>
      <c r="BR246" s="68" t="s">
        <v>170</v>
      </c>
      <c r="BS246" s="91" t="s">
        <v>621</v>
      </c>
      <c r="BT246" s="57"/>
      <c r="BU246" s="44" t="s">
        <v>617</v>
      </c>
    </row>
    <row r="247" s="1" customFormat="1" customHeight="1" spans="1:73">
      <c r="A247" s="37" t="s">
        <v>615</v>
      </c>
      <c r="B247" s="15">
        <v>333</v>
      </c>
      <c r="C247" s="29">
        <v>215</v>
      </c>
      <c r="D247" s="29"/>
      <c r="E247" s="30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30"/>
      <c r="AB247" s="29"/>
      <c r="AC247" s="29"/>
      <c r="AD247" s="29"/>
      <c r="AE247" s="30"/>
      <c r="AF247" s="29"/>
      <c r="AG247" s="30"/>
      <c r="AH247" s="29"/>
      <c r="AI247" s="29"/>
      <c r="AJ247" s="29"/>
      <c r="AK247" s="30"/>
      <c r="AL247" s="29"/>
      <c r="AM247" s="29"/>
      <c r="AN247" s="29"/>
      <c r="AO247" s="29"/>
      <c r="AP247" s="29"/>
      <c r="AQ247" s="82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0">
        <f t="shared" si="20"/>
        <v>0</v>
      </c>
      <c r="BO247" s="20">
        <f t="shared" si="21"/>
        <v>0</v>
      </c>
      <c r="BP247" s="20">
        <f t="shared" si="22"/>
        <v>215</v>
      </c>
      <c r="BQ247" s="51">
        <f t="shared" si="28"/>
        <v>71.595</v>
      </c>
      <c r="BR247" s="68" t="s">
        <v>138</v>
      </c>
      <c r="BS247" s="91" t="s">
        <v>586</v>
      </c>
      <c r="BT247" s="57"/>
      <c r="BU247" s="44" t="s">
        <v>617</v>
      </c>
    </row>
    <row r="248" s="1" customFormat="1" customHeight="1" spans="1:73">
      <c r="A248" s="37" t="s">
        <v>615</v>
      </c>
      <c r="B248" s="15">
        <v>340</v>
      </c>
      <c r="C248" s="29">
        <v>210</v>
      </c>
      <c r="D248" s="29"/>
      <c r="E248" s="30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30"/>
      <c r="AB248" s="29"/>
      <c r="AC248" s="29"/>
      <c r="AD248" s="29"/>
      <c r="AE248" s="30"/>
      <c r="AF248" s="29"/>
      <c r="AG248" s="30"/>
      <c r="AH248" s="29"/>
      <c r="AI248" s="29"/>
      <c r="AJ248" s="29"/>
      <c r="AK248" s="30"/>
      <c r="AL248" s="29"/>
      <c r="AM248" s="29"/>
      <c r="AN248" s="29"/>
      <c r="AO248" s="29"/>
      <c r="AP248" s="29"/>
      <c r="AQ248" s="82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0">
        <f t="shared" si="20"/>
        <v>0</v>
      </c>
      <c r="BO248" s="20">
        <f t="shared" si="21"/>
        <v>0</v>
      </c>
      <c r="BP248" s="20">
        <f t="shared" si="22"/>
        <v>210</v>
      </c>
      <c r="BQ248" s="51">
        <f t="shared" si="28"/>
        <v>71.4</v>
      </c>
      <c r="BR248" s="68" t="s">
        <v>582</v>
      </c>
      <c r="BS248" s="91" t="s">
        <v>583</v>
      </c>
      <c r="BT248" s="57" t="s">
        <v>531</v>
      </c>
      <c r="BU248" s="44" t="s">
        <v>617</v>
      </c>
    </row>
    <row r="249" s="1" customFormat="1" customHeight="1" spans="1:73">
      <c r="A249" s="53" t="s">
        <v>622</v>
      </c>
      <c r="B249" s="15"/>
      <c r="C249" s="29"/>
      <c r="D249" s="29"/>
      <c r="E249" s="30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30"/>
      <c r="AB249" s="29"/>
      <c r="AC249" s="29"/>
      <c r="AD249" s="29"/>
      <c r="AE249" s="30"/>
      <c r="AF249" s="29"/>
      <c r="AG249" s="30"/>
      <c r="AH249" s="29"/>
      <c r="AI249" s="29"/>
      <c r="AJ249" s="29"/>
      <c r="AK249" s="30"/>
      <c r="AL249" s="29"/>
      <c r="AM249" s="29"/>
      <c r="AN249" s="29"/>
      <c r="AO249" s="29"/>
      <c r="AP249" s="29"/>
      <c r="AQ249" s="82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0">
        <f t="shared" si="20"/>
        <v>0</v>
      </c>
      <c r="BO249" s="20">
        <f t="shared" si="21"/>
        <v>0</v>
      </c>
      <c r="BP249" s="20">
        <f t="shared" si="22"/>
        <v>0</v>
      </c>
      <c r="BQ249" s="51"/>
      <c r="BR249" s="68"/>
      <c r="BS249" s="91"/>
      <c r="BT249" s="57"/>
      <c r="BU249" s="44"/>
    </row>
    <row r="250" s="1" customFormat="1" customHeight="1" spans="1:73">
      <c r="A250" s="37" t="s">
        <v>623</v>
      </c>
      <c r="B250" s="15">
        <v>58</v>
      </c>
      <c r="C250" s="16">
        <v>200</v>
      </c>
      <c r="D250" s="29"/>
      <c r="E250" s="30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30"/>
      <c r="AB250" s="29"/>
      <c r="AC250" s="29"/>
      <c r="AD250" s="29"/>
      <c r="AE250" s="30"/>
      <c r="AF250" s="29"/>
      <c r="AG250" s="30"/>
      <c r="AH250" s="29"/>
      <c r="AI250" s="29"/>
      <c r="AJ250" s="29"/>
      <c r="AK250" s="30"/>
      <c r="AL250" s="29"/>
      <c r="AM250" s="29"/>
      <c r="AN250" s="29"/>
      <c r="AO250" s="29"/>
      <c r="AP250" s="29"/>
      <c r="AQ250" s="82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0">
        <f t="shared" si="20"/>
        <v>0</v>
      </c>
      <c r="BO250" s="20">
        <f t="shared" si="21"/>
        <v>0</v>
      </c>
      <c r="BP250" s="20">
        <f t="shared" si="22"/>
        <v>200</v>
      </c>
      <c r="BQ250" s="51">
        <f t="shared" ref="BQ250:BQ257" si="29">B250*BP250/1000</f>
        <v>11.6</v>
      </c>
      <c r="BR250" s="56" t="s">
        <v>280</v>
      </c>
      <c r="BS250" s="91" t="s">
        <v>578</v>
      </c>
      <c r="BT250" s="57"/>
      <c r="BU250" s="35" t="s">
        <v>617</v>
      </c>
    </row>
    <row r="251" s="1" customFormat="1" customHeight="1" spans="1:73">
      <c r="A251" s="37" t="s">
        <v>623</v>
      </c>
      <c r="B251" s="15">
        <v>250</v>
      </c>
      <c r="C251" s="16">
        <v>165</v>
      </c>
      <c r="D251" s="29"/>
      <c r="E251" s="30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30"/>
      <c r="AB251" s="29"/>
      <c r="AC251" s="29"/>
      <c r="AD251" s="29"/>
      <c r="AE251" s="30"/>
      <c r="AF251" s="29"/>
      <c r="AG251" s="30"/>
      <c r="AH251" s="29"/>
      <c r="AI251" s="29"/>
      <c r="AJ251" s="29"/>
      <c r="AK251" s="30"/>
      <c r="AL251" s="29"/>
      <c r="AM251" s="29"/>
      <c r="AN251" s="29"/>
      <c r="AO251" s="29"/>
      <c r="AP251" s="29"/>
      <c r="AQ251" s="82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0">
        <f t="shared" si="20"/>
        <v>0</v>
      </c>
      <c r="BO251" s="20">
        <f t="shared" si="21"/>
        <v>0</v>
      </c>
      <c r="BP251" s="20">
        <f t="shared" si="22"/>
        <v>165</v>
      </c>
      <c r="BQ251" s="51">
        <f t="shared" si="29"/>
        <v>41.25</v>
      </c>
      <c r="BR251" s="56" t="s">
        <v>574</v>
      </c>
      <c r="BS251" s="91" t="s">
        <v>575</v>
      </c>
      <c r="BT251" s="57"/>
      <c r="BU251" s="35" t="s">
        <v>617</v>
      </c>
    </row>
    <row r="252" s="1" customFormat="1" customHeight="1" spans="1:73">
      <c r="A252" s="37" t="s">
        <v>623</v>
      </c>
      <c r="B252" s="15">
        <v>280</v>
      </c>
      <c r="C252" s="16">
        <v>385</v>
      </c>
      <c r="D252" s="29"/>
      <c r="E252" s="30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30"/>
      <c r="AB252" s="29"/>
      <c r="AC252" s="29"/>
      <c r="AD252" s="29"/>
      <c r="AE252" s="30"/>
      <c r="AF252" s="29"/>
      <c r="AG252" s="30"/>
      <c r="AH252" s="29"/>
      <c r="AI252" s="29"/>
      <c r="AJ252" s="29"/>
      <c r="AK252" s="30"/>
      <c r="AL252" s="29"/>
      <c r="AM252" s="29"/>
      <c r="AN252" s="29"/>
      <c r="AO252" s="29"/>
      <c r="AP252" s="29"/>
      <c r="AQ252" s="82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0">
        <f t="shared" si="20"/>
        <v>0</v>
      </c>
      <c r="BO252" s="20">
        <f t="shared" si="21"/>
        <v>0</v>
      </c>
      <c r="BP252" s="20">
        <f t="shared" si="22"/>
        <v>385</v>
      </c>
      <c r="BQ252" s="51">
        <f t="shared" si="29"/>
        <v>107.8</v>
      </c>
      <c r="BR252" s="56" t="s">
        <v>484</v>
      </c>
      <c r="BS252" s="91" t="s">
        <v>575</v>
      </c>
      <c r="BT252" s="57"/>
      <c r="BU252" s="35" t="s">
        <v>617</v>
      </c>
    </row>
    <row r="253" s="1" customFormat="1" customHeight="1" spans="1:73">
      <c r="A253" s="37" t="s">
        <v>623</v>
      </c>
      <c r="B253" s="15">
        <v>320</v>
      </c>
      <c r="C253" s="16">
        <v>77</v>
      </c>
      <c r="D253" s="29"/>
      <c r="E253" s="30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30"/>
      <c r="AB253" s="29"/>
      <c r="AC253" s="29"/>
      <c r="AD253" s="29"/>
      <c r="AE253" s="30"/>
      <c r="AF253" s="29"/>
      <c r="AG253" s="30"/>
      <c r="AH253" s="29"/>
      <c r="AI253" s="29"/>
      <c r="AJ253" s="29"/>
      <c r="AK253" s="30"/>
      <c r="AL253" s="29"/>
      <c r="AM253" s="29"/>
      <c r="AN253" s="29"/>
      <c r="AO253" s="29"/>
      <c r="AP253" s="29"/>
      <c r="AQ253" s="82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0">
        <f t="shared" si="20"/>
        <v>0</v>
      </c>
      <c r="BO253" s="20">
        <f t="shared" si="21"/>
        <v>0</v>
      </c>
      <c r="BP253" s="20">
        <f t="shared" si="22"/>
        <v>77</v>
      </c>
      <c r="BQ253" s="51">
        <f t="shared" si="29"/>
        <v>24.64</v>
      </c>
      <c r="BR253" s="56" t="s">
        <v>582</v>
      </c>
      <c r="BS253" s="91" t="s">
        <v>583</v>
      </c>
      <c r="BT253" s="57"/>
      <c r="BU253" s="35" t="s">
        <v>617</v>
      </c>
    </row>
    <row r="254" s="1" customFormat="1" customHeight="1" spans="1:73">
      <c r="A254" s="37" t="s">
        <v>623</v>
      </c>
      <c r="B254" s="15">
        <v>330</v>
      </c>
      <c r="C254" s="16">
        <v>312</v>
      </c>
      <c r="D254" s="29"/>
      <c r="E254" s="30"/>
      <c r="F254" s="29"/>
      <c r="G254" s="29"/>
      <c r="H254" s="29"/>
      <c r="I254" s="29"/>
      <c r="J254" s="29"/>
      <c r="K254" s="29"/>
      <c r="L254" s="29"/>
      <c r="M254" s="29">
        <v>300</v>
      </c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30"/>
      <c r="AB254" s="29"/>
      <c r="AC254" s="29"/>
      <c r="AD254" s="29"/>
      <c r="AE254" s="30"/>
      <c r="AF254" s="29"/>
      <c r="AG254" s="30"/>
      <c r="AH254" s="29"/>
      <c r="AI254" s="29"/>
      <c r="AJ254" s="29"/>
      <c r="AK254" s="30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0">
        <f t="shared" si="20"/>
        <v>0</v>
      </c>
      <c r="BO254" s="20">
        <f t="shared" si="21"/>
        <v>300</v>
      </c>
      <c r="BP254" s="20">
        <f t="shared" si="22"/>
        <v>12</v>
      </c>
      <c r="BQ254" s="51">
        <f t="shared" si="29"/>
        <v>3.96</v>
      </c>
      <c r="BR254" s="56" t="s">
        <v>265</v>
      </c>
      <c r="BS254" s="91" t="s">
        <v>572</v>
      </c>
      <c r="BT254" s="57"/>
      <c r="BU254" s="35" t="s">
        <v>617</v>
      </c>
    </row>
    <row r="255" s="1" customFormat="1" customHeight="1" spans="1:73">
      <c r="A255" s="37" t="s">
        <v>623</v>
      </c>
      <c r="B255" s="15">
        <v>338</v>
      </c>
      <c r="C255" s="16">
        <v>40</v>
      </c>
      <c r="D255" s="29"/>
      <c r="E255" s="30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30"/>
      <c r="AB255" s="29"/>
      <c r="AC255" s="29"/>
      <c r="AD255" s="29"/>
      <c r="AE255" s="30"/>
      <c r="AF255" s="29"/>
      <c r="AG255" s="30"/>
      <c r="AH255" s="29"/>
      <c r="AI255" s="29"/>
      <c r="AJ255" s="29"/>
      <c r="AK255" s="30"/>
      <c r="AL255" s="29"/>
      <c r="AM255" s="29"/>
      <c r="AN255" s="29"/>
      <c r="AO255" s="29"/>
      <c r="AP255" s="29"/>
      <c r="AQ255" s="82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0">
        <f t="shared" si="20"/>
        <v>0</v>
      </c>
      <c r="BO255" s="20">
        <f t="shared" si="21"/>
        <v>0</v>
      </c>
      <c r="BP255" s="20">
        <f t="shared" si="22"/>
        <v>40</v>
      </c>
      <c r="BQ255" s="51">
        <f t="shared" si="29"/>
        <v>13.52</v>
      </c>
      <c r="BR255" s="56" t="s">
        <v>582</v>
      </c>
      <c r="BS255" s="91" t="s">
        <v>583</v>
      </c>
      <c r="BT255" s="57"/>
      <c r="BU255" s="35" t="s">
        <v>617</v>
      </c>
    </row>
    <row r="256" s="1" customFormat="1" customHeight="1" spans="1:73">
      <c r="A256" s="37" t="s">
        <v>624</v>
      </c>
      <c r="B256" s="15">
        <v>345</v>
      </c>
      <c r="C256" s="16">
        <v>50</v>
      </c>
      <c r="D256" s="29"/>
      <c r="E256" s="30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30"/>
      <c r="AB256" s="29"/>
      <c r="AC256" s="29"/>
      <c r="AD256" s="29"/>
      <c r="AE256" s="30"/>
      <c r="AF256" s="29"/>
      <c r="AG256" s="30"/>
      <c r="AH256" s="29"/>
      <c r="AI256" s="29"/>
      <c r="AJ256" s="29"/>
      <c r="AK256" s="30"/>
      <c r="AL256" s="29"/>
      <c r="AM256" s="29"/>
      <c r="AN256" s="29"/>
      <c r="AO256" s="29"/>
      <c r="AP256" s="29"/>
      <c r="AQ256" s="82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0">
        <f t="shared" si="20"/>
        <v>0</v>
      </c>
      <c r="BO256" s="20">
        <f t="shared" si="21"/>
        <v>0</v>
      </c>
      <c r="BP256" s="20">
        <f t="shared" si="22"/>
        <v>50</v>
      </c>
      <c r="BQ256" s="51">
        <f t="shared" si="29"/>
        <v>17.25</v>
      </c>
      <c r="BR256" s="97" t="s">
        <v>625</v>
      </c>
      <c r="BS256" s="91" t="s">
        <v>573</v>
      </c>
      <c r="BT256" s="57" t="s">
        <v>626</v>
      </c>
      <c r="BU256" s="98" t="s">
        <v>627</v>
      </c>
    </row>
    <row r="257" s="1" customFormat="1" customHeight="1" spans="1:74">
      <c r="A257" s="37" t="s">
        <v>624</v>
      </c>
      <c r="B257" s="15">
        <v>430</v>
      </c>
      <c r="C257" s="16">
        <v>50</v>
      </c>
      <c r="D257" s="29"/>
      <c r="E257" s="30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30"/>
      <c r="AB257" s="29"/>
      <c r="AC257" s="29"/>
      <c r="AD257" s="29"/>
      <c r="AE257" s="30"/>
      <c r="AF257" s="29"/>
      <c r="AG257" s="30"/>
      <c r="AH257" s="29"/>
      <c r="AI257" s="29"/>
      <c r="AJ257" s="29"/>
      <c r="AK257" s="30"/>
      <c r="AL257" s="29"/>
      <c r="AM257" s="29"/>
      <c r="AN257" s="29"/>
      <c r="AO257" s="29"/>
      <c r="AP257" s="29"/>
      <c r="AQ257" s="82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0">
        <f t="shared" si="20"/>
        <v>0</v>
      </c>
      <c r="BO257" s="20">
        <f t="shared" si="21"/>
        <v>0</v>
      </c>
      <c r="BP257" s="20">
        <f t="shared" si="22"/>
        <v>50</v>
      </c>
      <c r="BQ257" s="51">
        <f t="shared" si="29"/>
        <v>21.5</v>
      </c>
      <c r="BR257" s="97" t="s">
        <v>625</v>
      </c>
      <c r="BS257" s="91" t="s">
        <v>573</v>
      </c>
      <c r="BT257" s="57" t="s">
        <v>626</v>
      </c>
      <c r="BU257" s="98" t="s">
        <v>627</v>
      </c>
    </row>
    <row r="258" s="1" customFormat="1" customHeight="1" spans="1:74">
      <c r="A258" s="53" t="s">
        <v>628</v>
      </c>
      <c r="B258" s="15"/>
      <c r="C258" s="16"/>
      <c r="D258" s="29"/>
      <c r="E258" s="30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30"/>
      <c r="AB258" s="29"/>
      <c r="AC258" s="29"/>
      <c r="AD258" s="29"/>
      <c r="AE258" s="30"/>
      <c r="AF258" s="29"/>
      <c r="AG258" s="30"/>
      <c r="AH258" s="29"/>
      <c r="AI258" s="29"/>
      <c r="AJ258" s="29"/>
      <c r="AK258" s="30"/>
      <c r="AL258" s="29"/>
      <c r="AM258" s="29"/>
      <c r="AN258" s="29"/>
      <c r="AO258" s="29"/>
      <c r="AP258" s="29"/>
      <c r="AQ258" s="82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0">
        <f t="shared" si="20"/>
        <v>0</v>
      </c>
      <c r="BO258" s="20">
        <f t="shared" si="21"/>
        <v>0</v>
      </c>
      <c r="BP258" s="20">
        <f t="shared" si="22"/>
        <v>0</v>
      </c>
      <c r="BQ258" s="51"/>
      <c r="BR258" s="56"/>
      <c r="BS258" s="45"/>
      <c r="BT258" s="57"/>
      <c r="BU258" s="44"/>
    </row>
    <row r="259" s="1" customFormat="1" customHeight="1" spans="1:74">
      <c r="A259" s="53" t="s">
        <v>629</v>
      </c>
      <c r="B259" s="15" t="s">
        <v>630</v>
      </c>
      <c r="C259" s="16">
        <v>167</v>
      </c>
      <c r="D259" s="29"/>
      <c r="E259" s="30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30"/>
      <c r="AB259" s="29"/>
      <c r="AC259" s="29"/>
      <c r="AD259" s="29"/>
      <c r="AE259" s="30"/>
      <c r="AF259" s="29"/>
      <c r="AG259" s="30"/>
      <c r="AH259" s="29"/>
      <c r="AI259" s="29"/>
      <c r="AJ259" s="29"/>
      <c r="AK259" s="30"/>
      <c r="AL259" s="29"/>
      <c r="AM259" s="29"/>
      <c r="AN259" s="29"/>
      <c r="AO259" s="29"/>
      <c r="AP259" s="29"/>
      <c r="AQ259" s="82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0">
        <f t="shared" ref="BN259:BN297" si="30">D259+F259+H259+J259+L259+N259+P259+R259+T259+V259+X259+Z259+AB259+AD259+AF259+AH259+AJ259+AL259+AN259+AP259+AR259+AT259+AV259+AX259+AZ259+BB259+BD259+BF259+BH259+BJ259+BL259</f>
        <v>0</v>
      </c>
      <c r="BO259" s="20">
        <f t="shared" ref="BO259:BO297" si="31">E259+G259+I259+K259+M259+O259+Q259+S259+U259+W259+Y259+AA259+AC259+AE259+AG259+AI259+AK259+AM259+AO259+AQ259+AS259+AU259+AW259+AY259+BA259+BC259+BE259+BG259+BI259+BK259+BM259</f>
        <v>0</v>
      </c>
      <c r="BP259" s="20">
        <f t="shared" ref="BP259:BP297" si="32">C259+BN259-BO259</f>
        <v>167</v>
      </c>
      <c r="BQ259" s="51">
        <f>0.44*0.39*BP259</f>
        <v>28.6572</v>
      </c>
      <c r="BR259" s="56" t="s">
        <v>631</v>
      </c>
      <c r="BS259" s="91" t="s">
        <v>632</v>
      </c>
      <c r="BT259" s="57" t="s">
        <v>633</v>
      </c>
      <c r="BU259" s="35" t="s">
        <v>634</v>
      </c>
    </row>
    <row r="260" s="1" customFormat="1" customHeight="1" spans="1:74">
      <c r="A260" s="92" t="s">
        <v>635</v>
      </c>
      <c r="B260" s="15" t="s">
        <v>636</v>
      </c>
      <c r="C260" s="16">
        <v>185</v>
      </c>
      <c r="D260" s="29"/>
      <c r="E260" s="30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30"/>
      <c r="Z260" s="29"/>
      <c r="AA260" s="29"/>
      <c r="AB260" s="29"/>
      <c r="AC260" s="29"/>
      <c r="AD260" s="29"/>
      <c r="AE260" s="29"/>
      <c r="AF260" s="29"/>
      <c r="AG260" s="30"/>
      <c r="AH260" s="29"/>
      <c r="AI260" s="30"/>
      <c r="AJ260" s="29"/>
      <c r="AK260" s="30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0">
        <f t="shared" si="30"/>
        <v>0</v>
      </c>
      <c r="BO260" s="20">
        <f t="shared" si="31"/>
        <v>0</v>
      </c>
      <c r="BP260" s="20">
        <f t="shared" si="32"/>
        <v>185</v>
      </c>
      <c r="BQ260" s="51">
        <f>0.315*0.43*BP260</f>
        <v>25.05825</v>
      </c>
      <c r="BR260" s="56" t="s">
        <v>637</v>
      </c>
      <c r="BS260" s="91" t="s">
        <v>573</v>
      </c>
      <c r="BT260" s="36" t="s">
        <v>638</v>
      </c>
      <c r="BU260" s="35" t="s">
        <v>634</v>
      </c>
    </row>
    <row r="261" s="1" customFormat="1" customHeight="1" spans="1:74">
      <c r="A261" s="53" t="s">
        <v>639</v>
      </c>
      <c r="B261" s="15" t="s">
        <v>636</v>
      </c>
      <c r="C261" s="16">
        <v>10</v>
      </c>
      <c r="D261" s="29"/>
      <c r="E261" s="30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30"/>
      <c r="Z261" s="29"/>
      <c r="AA261" s="29"/>
      <c r="AB261" s="29"/>
      <c r="AC261" s="29"/>
      <c r="AD261" s="29"/>
      <c r="AE261" s="29"/>
      <c r="AF261" s="29"/>
      <c r="AG261" s="30"/>
      <c r="AH261" s="29"/>
      <c r="AI261" s="30"/>
      <c r="AJ261" s="29"/>
      <c r="AK261" s="30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0">
        <f t="shared" si="30"/>
        <v>0</v>
      </c>
      <c r="BO261" s="20">
        <f t="shared" si="31"/>
        <v>0</v>
      </c>
      <c r="BP261" s="20">
        <f t="shared" si="32"/>
        <v>10</v>
      </c>
      <c r="BQ261" s="51">
        <f>0.315*0.43*BP261</f>
        <v>1.3545</v>
      </c>
      <c r="BR261" s="56" t="s">
        <v>640</v>
      </c>
      <c r="BS261" s="91" t="s">
        <v>573</v>
      </c>
      <c r="BT261" s="36" t="s">
        <v>641</v>
      </c>
      <c r="BU261" s="35" t="s">
        <v>634</v>
      </c>
    </row>
    <row r="262" s="1" customFormat="1" customHeight="1" spans="1:74">
      <c r="A262" s="53" t="s">
        <v>639</v>
      </c>
      <c r="B262" s="99" t="s">
        <v>642</v>
      </c>
      <c r="C262" s="100">
        <v>201</v>
      </c>
      <c r="D262" s="88"/>
      <c r="E262" s="101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101"/>
      <c r="Z262" s="88"/>
      <c r="AA262" s="88"/>
      <c r="AB262" s="88"/>
      <c r="AC262" s="88"/>
      <c r="AD262" s="88"/>
      <c r="AE262" s="88"/>
      <c r="AF262" s="88"/>
      <c r="AG262" s="101"/>
      <c r="AH262" s="88"/>
      <c r="AI262" s="101"/>
      <c r="AJ262" s="88"/>
      <c r="AK262" s="101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20">
        <f t="shared" si="30"/>
        <v>0</v>
      </c>
      <c r="BO262" s="20">
        <f t="shared" si="31"/>
        <v>0</v>
      </c>
      <c r="BP262" s="20">
        <f t="shared" si="32"/>
        <v>201</v>
      </c>
      <c r="BQ262" s="51">
        <f>0.39*0.185*BP262</f>
        <v>14.50215</v>
      </c>
      <c r="BR262" s="56" t="s">
        <v>643</v>
      </c>
      <c r="BS262" s="91" t="s">
        <v>644</v>
      </c>
      <c r="BT262" s="102" t="s">
        <v>645</v>
      </c>
      <c r="BU262" s="35" t="s">
        <v>646</v>
      </c>
    </row>
    <row r="263" s="1" customFormat="1" customHeight="1" spans="1:74">
      <c r="A263" s="103" t="s">
        <v>647</v>
      </c>
      <c r="B263" s="99" t="s">
        <v>648</v>
      </c>
      <c r="C263" s="100">
        <v>13</v>
      </c>
      <c r="D263" s="88"/>
      <c r="E263" s="101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101"/>
      <c r="Z263" s="88"/>
      <c r="AA263" s="88"/>
      <c r="AB263" s="88"/>
      <c r="AC263" s="88"/>
      <c r="AD263" s="88"/>
      <c r="AE263" s="88"/>
      <c r="AF263" s="88"/>
      <c r="AG263" s="101"/>
      <c r="AH263" s="88"/>
      <c r="AI263" s="101"/>
      <c r="AJ263" s="88"/>
      <c r="AK263" s="101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20">
        <f t="shared" si="30"/>
        <v>0</v>
      </c>
      <c r="BO263" s="20">
        <f t="shared" si="31"/>
        <v>0</v>
      </c>
      <c r="BP263" s="20">
        <f t="shared" si="32"/>
        <v>13</v>
      </c>
      <c r="BQ263" s="51">
        <f>0.42*0.225*BP263</f>
        <v>1.2285</v>
      </c>
      <c r="BR263" s="56" t="s">
        <v>649</v>
      </c>
      <c r="BS263" s="91" t="s">
        <v>650</v>
      </c>
      <c r="BT263" s="102" t="s">
        <v>651</v>
      </c>
      <c r="BU263" s="35" t="s">
        <v>646</v>
      </c>
    </row>
    <row r="264" s="1" customFormat="1" customHeight="1" spans="1:74">
      <c r="A264" s="53" t="s">
        <v>652</v>
      </c>
      <c r="B264" s="104"/>
      <c r="C264" s="104"/>
      <c r="D264" s="105"/>
      <c r="E264" s="105"/>
      <c r="F264" s="105"/>
      <c r="G264" s="106"/>
      <c r="H264" s="105"/>
      <c r="I264" s="105"/>
      <c r="J264" s="105"/>
      <c r="K264" s="105"/>
      <c r="L264" s="105"/>
      <c r="M264" s="105"/>
      <c r="N264" s="105"/>
      <c r="O264" s="105"/>
      <c r="P264" s="106"/>
      <c r="Q264" s="105"/>
      <c r="R264" s="106"/>
      <c r="S264" s="105"/>
      <c r="T264" s="105"/>
      <c r="U264" s="105"/>
      <c r="V264" s="106"/>
      <c r="W264" s="106"/>
      <c r="X264" s="105"/>
      <c r="Y264" s="106"/>
      <c r="Z264" s="105"/>
      <c r="AA264" s="105"/>
      <c r="AB264" s="105"/>
      <c r="AC264" s="106"/>
      <c r="AD264" s="105"/>
      <c r="AE264" s="105"/>
      <c r="AF264" s="105"/>
      <c r="AG264" s="106"/>
      <c r="AH264" s="105"/>
      <c r="AI264" s="105"/>
      <c r="AJ264" s="105"/>
      <c r="AK264" s="105"/>
      <c r="AL264" s="105"/>
      <c r="AM264" s="106"/>
      <c r="AN264" s="105"/>
      <c r="AO264" s="106"/>
      <c r="AP264" s="105"/>
      <c r="AQ264" s="105"/>
      <c r="AR264" s="105"/>
      <c r="AS264" s="105"/>
      <c r="AT264" s="105"/>
      <c r="AU264" s="105"/>
      <c r="AV264" s="105"/>
      <c r="AW264" s="105"/>
      <c r="AX264" s="105"/>
      <c r="AY264" s="106"/>
      <c r="AZ264" s="105"/>
      <c r="BA264" s="105"/>
      <c r="BB264" s="105"/>
      <c r="BC264" s="105"/>
      <c r="BD264" s="105"/>
      <c r="BE264" s="106"/>
      <c r="BF264" s="105"/>
      <c r="BG264" s="105"/>
      <c r="BH264" s="105"/>
      <c r="BI264" s="106"/>
      <c r="BJ264" s="105"/>
      <c r="BK264" s="105"/>
      <c r="BL264" s="105"/>
      <c r="BM264" s="105"/>
      <c r="BN264" s="20">
        <f t="shared" si="30"/>
        <v>0</v>
      </c>
      <c r="BO264" s="20">
        <f t="shared" si="31"/>
        <v>0</v>
      </c>
      <c r="BP264" s="20">
        <f t="shared" si="32"/>
        <v>0</v>
      </c>
      <c r="BQ264" s="105"/>
      <c r="BR264" s="107"/>
      <c r="BS264" s="108"/>
      <c r="BT264" s="102"/>
      <c r="BU264" s="109"/>
    </row>
    <row r="265" s="1" customFormat="1" customHeight="1" spans="1:74">
      <c r="A265" s="37" t="s">
        <v>653</v>
      </c>
      <c r="B265" s="15">
        <v>188</v>
      </c>
      <c r="C265" s="16">
        <v>885</v>
      </c>
      <c r="D265" s="29"/>
      <c r="E265" s="30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30"/>
      <c r="AH265" s="29"/>
      <c r="AI265" s="29"/>
      <c r="AJ265" s="29"/>
      <c r="AK265" s="30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82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0">
        <f t="shared" si="30"/>
        <v>0</v>
      </c>
      <c r="BO265" s="20">
        <f t="shared" si="31"/>
        <v>0</v>
      </c>
      <c r="BP265" s="20">
        <f t="shared" si="32"/>
        <v>885</v>
      </c>
      <c r="BQ265" s="51">
        <f t="shared" ref="BQ265:BQ272" si="33">B265*BP265/1000</f>
        <v>166.38</v>
      </c>
      <c r="BR265" s="56" t="s">
        <v>625</v>
      </c>
      <c r="BS265" s="91" t="s">
        <v>573</v>
      </c>
      <c r="BT265" s="110" t="s">
        <v>654</v>
      </c>
      <c r="BU265" s="35" t="s">
        <v>655</v>
      </c>
      <c r="BV265" s="1" t="s">
        <v>656</v>
      </c>
    </row>
    <row r="266" s="1" customFormat="1" customHeight="1" spans="1:74">
      <c r="A266" s="53" t="s">
        <v>657</v>
      </c>
      <c r="B266" s="15"/>
      <c r="C266" s="16"/>
      <c r="D266" s="29"/>
      <c r="E266" s="30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30"/>
      <c r="AH266" s="29"/>
      <c r="AI266" s="29"/>
      <c r="AJ266" s="29"/>
      <c r="AK266" s="30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82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0">
        <f t="shared" si="30"/>
        <v>0</v>
      </c>
      <c r="BO266" s="20">
        <f t="shared" si="31"/>
        <v>0</v>
      </c>
      <c r="BP266" s="20">
        <f t="shared" si="32"/>
        <v>0</v>
      </c>
      <c r="BQ266" s="51"/>
      <c r="BR266" s="56"/>
      <c r="BS266" s="111"/>
      <c r="BT266" s="36"/>
      <c r="BU266" s="112"/>
    </row>
    <row r="267" s="1" customFormat="1" customHeight="1" spans="1:74">
      <c r="A267" s="15" t="s">
        <v>658</v>
      </c>
      <c r="B267" s="15">
        <v>80</v>
      </c>
      <c r="C267" s="16">
        <v>227</v>
      </c>
      <c r="D267" s="29"/>
      <c r="E267" s="30"/>
      <c r="F267" s="29"/>
      <c r="G267" s="29"/>
      <c r="H267" s="29"/>
      <c r="I267" s="29"/>
      <c r="J267" s="29"/>
      <c r="K267" s="29"/>
      <c r="L267" s="29"/>
      <c r="M267" s="29">
        <v>6</v>
      </c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30"/>
      <c r="AH267" s="29"/>
      <c r="AI267" s="29"/>
      <c r="AJ267" s="29"/>
      <c r="AK267" s="30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82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0">
        <f t="shared" si="30"/>
        <v>0</v>
      </c>
      <c r="BO267" s="20">
        <f t="shared" si="31"/>
        <v>6</v>
      </c>
      <c r="BP267" s="20">
        <f t="shared" si="32"/>
        <v>221</v>
      </c>
      <c r="BQ267" s="51">
        <f t="shared" si="33"/>
        <v>17.68</v>
      </c>
      <c r="BR267" s="56" t="s">
        <v>625</v>
      </c>
      <c r="BS267" s="91" t="s">
        <v>573</v>
      </c>
      <c r="BT267" s="36"/>
      <c r="BU267" s="35" t="s">
        <v>655</v>
      </c>
    </row>
    <row r="268" s="1" customFormat="1" customHeight="1" spans="1:74">
      <c r="A268" s="15" t="s">
        <v>658</v>
      </c>
      <c r="B268" s="15">
        <v>100</v>
      </c>
      <c r="C268" s="16">
        <v>1</v>
      </c>
      <c r="D268" s="29"/>
      <c r="E268" s="30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30"/>
      <c r="AH268" s="29"/>
      <c r="AI268" s="29"/>
      <c r="AJ268" s="29"/>
      <c r="AK268" s="30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82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0">
        <f t="shared" si="30"/>
        <v>0</v>
      </c>
      <c r="BO268" s="20">
        <f t="shared" si="31"/>
        <v>0</v>
      </c>
      <c r="BP268" s="20">
        <f t="shared" si="32"/>
        <v>1</v>
      </c>
      <c r="BQ268" s="51">
        <f t="shared" si="33"/>
        <v>0.1</v>
      </c>
      <c r="BR268" s="56" t="s">
        <v>625</v>
      </c>
      <c r="BS268" s="91" t="s">
        <v>573</v>
      </c>
      <c r="BT268" s="36"/>
      <c r="BU268" s="35" t="s">
        <v>655</v>
      </c>
    </row>
    <row r="269" s="1" customFormat="1" customHeight="1" spans="1:74">
      <c r="A269" s="15" t="s">
        <v>658</v>
      </c>
      <c r="B269" s="15">
        <v>150</v>
      </c>
      <c r="C269" s="16">
        <v>336</v>
      </c>
      <c r="D269" s="29"/>
      <c r="E269" s="30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82"/>
      <c r="X269" s="29"/>
      <c r="Y269" s="29"/>
      <c r="Z269" s="29"/>
      <c r="AA269" s="29"/>
      <c r="AB269" s="29"/>
      <c r="AC269" s="29"/>
      <c r="AD269" s="29"/>
      <c r="AE269" s="29"/>
      <c r="AF269" s="29"/>
      <c r="AG269" s="30"/>
      <c r="AH269" s="29"/>
      <c r="AI269" s="29"/>
      <c r="AJ269" s="29"/>
      <c r="AK269" s="30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0">
        <f t="shared" si="30"/>
        <v>0</v>
      </c>
      <c r="BO269" s="20">
        <f t="shared" si="31"/>
        <v>0</v>
      </c>
      <c r="BP269" s="20">
        <f t="shared" si="32"/>
        <v>336</v>
      </c>
      <c r="BQ269" s="51">
        <f t="shared" si="33"/>
        <v>50.4</v>
      </c>
      <c r="BR269" s="56" t="s">
        <v>625</v>
      </c>
      <c r="BS269" s="91" t="s">
        <v>573</v>
      </c>
      <c r="BT269" s="36"/>
      <c r="BU269" s="35" t="s">
        <v>655</v>
      </c>
    </row>
    <row r="270" s="1" customFormat="1" customHeight="1" spans="1:74">
      <c r="A270" s="15" t="s">
        <v>658</v>
      </c>
      <c r="B270" s="15">
        <v>180</v>
      </c>
      <c r="C270" s="16">
        <v>477</v>
      </c>
      <c r="D270" s="29"/>
      <c r="E270" s="30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82"/>
      <c r="X270" s="29"/>
      <c r="Y270" s="29"/>
      <c r="Z270" s="29"/>
      <c r="AA270" s="29"/>
      <c r="AB270" s="29"/>
      <c r="AC270" s="29"/>
      <c r="AD270" s="29"/>
      <c r="AE270" s="29"/>
      <c r="AF270" s="29"/>
      <c r="AG270" s="30"/>
      <c r="AH270" s="29"/>
      <c r="AI270" s="29"/>
      <c r="AJ270" s="29"/>
      <c r="AK270" s="30"/>
      <c r="AL270" s="29"/>
      <c r="AM270" s="29"/>
      <c r="AN270" s="29"/>
      <c r="AO270" s="29"/>
      <c r="AP270" s="29"/>
      <c r="AQ270" s="29"/>
      <c r="AR270" s="29"/>
      <c r="AS270" s="29"/>
      <c r="AT270" s="29"/>
      <c r="AU270" s="30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0">
        <f t="shared" si="30"/>
        <v>0</v>
      </c>
      <c r="BO270" s="20">
        <f t="shared" si="31"/>
        <v>0</v>
      </c>
      <c r="BP270" s="20">
        <f t="shared" si="32"/>
        <v>477</v>
      </c>
      <c r="BQ270" s="51">
        <f t="shared" si="33"/>
        <v>85.86</v>
      </c>
      <c r="BR270" s="56" t="s">
        <v>659</v>
      </c>
      <c r="BS270" s="91" t="s">
        <v>570</v>
      </c>
      <c r="BT270" s="36" t="s">
        <v>660</v>
      </c>
      <c r="BU270" s="35" t="s">
        <v>655</v>
      </c>
    </row>
    <row r="271" s="1" customFormat="1" customHeight="1" spans="1:74">
      <c r="A271" s="15" t="s">
        <v>658</v>
      </c>
      <c r="B271" s="15">
        <v>220</v>
      </c>
      <c r="C271" s="16">
        <v>109</v>
      </c>
      <c r="D271" s="29"/>
      <c r="E271" s="30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82"/>
      <c r="X271" s="29"/>
      <c r="Y271" s="29"/>
      <c r="Z271" s="29"/>
      <c r="AA271" s="29"/>
      <c r="AB271" s="29"/>
      <c r="AC271" s="29"/>
      <c r="AD271" s="29"/>
      <c r="AE271" s="29"/>
      <c r="AF271" s="29"/>
      <c r="AG271" s="30"/>
      <c r="AH271" s="29"/>
      <c r="AI271" s="29"/>
      <c r="AJ271" s="29"/>
      <c r="AK271" s="30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0">
        <f t="shared" si="30"/>
        <v>0</v>
      </c>
      <c r="BO271" s="20">
        <f t="shared" si="31"/>
        <v>0</v>
      </c>
      <c r="BP271" s="20">
        <f t="shared" si="32"/>
        <v>109</v>
      </c>
      <c r="BQ271" s="51">
        <f t="shared" si="33"/>
        <v>23.98</v>
      </c>
      <c r="BR271" s="56" t="s">
        <v>625</v>
      </c>
      <c r="BS271" s="91" t="s">
        <v>573</v>
      </c>
      <c r="BT271" s="36"/>
      <c r="BU271" s="35" t="s">
        <v>655</v>
      </c>
    </row>
    <row r="272" s="1" customFormat="1" customHeight="1" spans="1:74">
      <c r="A272" s="15" t="s">
        <v>658</v>
      </c>
      <c r="B272" s="15">
        <v>320</v>
      </c>
      <c r="C272" s="16">
        <v>90</v>
      </c>
      <c r="D272" s="29"/>
      <c r="E272" s="30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82"/>
      <c r="X272" s="29"/>
      <c r="Y272" s="29"/>
      <c r="Z272" s="29"/>
      <c r="AA272" s="29"/>
      <c r="AB272" s="29"/>
      <c r="AC272" s="29"/>
      <c r="AD272" s="29"/>
      <c r="AE272" s="29"/>
      <c r="AF272" s="29"/>
      <c r="AG272" s="30"/>
      <c r="AH272" s="29"/>
      <c r="AI272" s="29"/>
      <c r="AJ272" s="29"/>
      <c r="AK272" s="30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0">
        <f t="shared" si="30"/>
        <v>0</v>
      </c>
      <c r="BO272" s="20">
        <f t="shared" si="31"/>
        <v>0</v>
      </c>
      <c r="BP272" s="20">
        <f t="shared" si="32"/>
        <v>90</v>
      </c>
      <c r="BQ272" s="51">
        <f t="shared" si="33"/>
        <v>28.8</v>
      </c>
      <c r="BR272" s="56" t="s">
        <v>625</v>
      </c>
      <c r="BS272" s="91" t="s">
        <v>573</v>
      </c>
      <c r="BT272" s="36" t="s">
        <v>661</v>
      </c>
      <c r="BU272" s="35" t="s">
        <v>655</v>
      </c>
    </row>
    <row r="273" s="1" customFormat="1" customHeight="1" spans="1:73">
      <c r="A273" s="53" t="s">
        <v>662</v>
      </c>
      <c r="B273" s="15"/>
      <c r="C273" s="16"/>
      <c r="D273" s="29"/>
      <c r="E273" s="30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82"/>
      <c r="X273" s="29"/>
      <c r="Y273" s="29"/>
      <c r="Z273" s="29"/>
      <c r="AA273" s="29"/>
      <c r="AB273" s="29"/>
      <c r="AC273" s="29"/>
      <c r="AD273" s="29"/>
      <c r="AE273" s="29"/>
      <c r="AF273" s="29"/>
      <c r="AG273" s="30"/>
      <c r="AH273" s="29"/>
      <c r="AI273" s="29"/>
      <c r="AJ273" s="29"/>
      <c r="AK273" s="30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0">
        <f t="shared" si="30"/>
        <v>0</v>
      </c>
      <c r="BO273" s="20">
        <f t="shared" si="31"/>
        <v>0</v>
      </c>
      <c r="BP273" s="20">
        <f t="shared" si="32"/>
        <v>0</v>
      </c>
      <c r="BQ273" s="51"/>
      <c r="BR273" s="56"/>
      <c r="BS273" s="111"/>
      <c r="BT273" s="36"/>
      <c r="BU273" s="112"/>
    </row>
    <row r="274" s="1" customFormat="1" customHeight="1" spans="1:73">
      <c r="A274" s="15" t="s">
        <v>663</v>
      </c>
      <c r="B274" s="15">
        <v>65</v>
      </c>
      <c r="C274" s="16">
        <v>120</v>
      </c>
      <c r="D274" s="29"/>
      <c r="E274" s="30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82"/>
      <c r="X274" s="29"/>
      <c r="Y274" s="29"/>
      <c r="Z274" s="29"/>
      <c r="AA274" s="29"/>
      <c r="AB274" s="29"/>
      <c r="AC274" s="29"/>
      <c r="AD274" s="29"/>
      <c r="AE274" s="29"/>
      <c r="AF274" s="29"/>
      <c r="AG274" s="30"/>
      <c r="AH274" s="29"/>
      <c r="AI274" s="29"/>
      <c r="AJ274" s="29"/>
      <c r="AK274" s="30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0">
        <f t="shared" si="30"/>
        <v>0</v>
      </c>
      <c r="BO274" s="20">
        <f t="shared" si="31"/>
        <v>0</v>
      </c>
      <c r="BP274" s="20">
        <f t="shared" si="32"/>
        <v>120</v>
      </c>
      <c r="BQ274" s="51">
        <f t="shared" ref="BQ274:BQ276" si="34">B274*BP274/1000</f>
        <v>7.8</v>
      </c>
      <c r="BR274" s="56" t="s">
        <v>625</v>
      </c>
      <c r="BS274" s="91" t="s">
        <v>573</v>
      </c>
      <c r="BT274" s="36"/>
      <c r="BU274" s="35" t="s">
        <v>664</v>
      </c>
    </row>
    <row r="275" s="1" customFormat="1" customHeight="1" spans="1:73">
      <c r="A275" s="15" t="s">
        <v>663</v>
      </c>
      <c r="B275" s="15">
        <v>215</v>
      </c>
      <c r="C275" s="16">
        <v>673</v>
      </c>
      <c r="D275" s="29"/>
      <c r="E275" s="30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30"/>
      <c r="AH275" s="29"/>
      <c r="AI275" s="29"/>
      <c r="AJ275" s="29"/>
      <c r="AK275" s="30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0">
        <f t="shared" si="30"/>
        <v>0</v>
      </c>
      <c r="BO275" s="20">
        <f t="shared" si="31"/>
        <v>0</v>
      </c>
      <c r="BP275" s="20">
        <f t="shared" si="32"/>
        <v>673</v>
      </c>
      <c r="BQ275" s="51">
        <f t="shared" si="34"/>
        <v>144.695</v>
      </c>
      <c r="BR275" s="56" t="s">
        <v>665</v>
      </c>
      <c r="BS275" s="91" t="s">
        <v>666</v>
      </c>
      <c r="BT275" s="36"/>
      <c r="BU275" s="35" t="s">
        <v>664</v>
      </c>
    </row>
    <row r="276" s="1" customFormat="1" customHeight="1" spans="1:73">
      <c r="A276" s="15" t="s">
        <v>663</v>
      </c>
      <c r="B276" s="15">
        <v>305</v>
      </c>
      <c r="C276" s="16">
        <v>401</v>
      </c>
      <c r="D276" s="29"/>
      <c r="E276" s="30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30"/>
      <c r="AH276" s="29"/>
      <c r="AI276" s="29"/>
      <c r="AJ276" s="29"/>
      <c r="AK276" s="30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0">
        <f t="shared" si="30"/>
        <v>0</v>
      </c>
      <c r="BO276" s="20">
        <f t="shared" si="31"/>
        <v>0</v>
      </c>
      <c r="BP276" s="20">
        <f t="shared" si="32"/>
        <v>401</v>
      </c>
      <c r="BQ276" s="51">
        <f t="shared" si="34"/>
        <v>122.305</v>
      </c>
      <c r="BR276" s="56" t="s">
        <v>667</v>
      </c>
      <c r="BS276" s="91" t="s">
        <v>668</v>
      </c>
      <c r="BT276" s="113" t="s">
        <v>669</v>
      </c>
      <c r="BU276" s="35" t="s">
        <v>664</v>
      </c>
    </row>
    <row r="277" s="1" customFormat="1" customHeight="1" spans="1:73">
      <c r="A277" s="53" t="s">
        <v>670</v>
      </c>
      <c r="B277" s="15"/>
      <c r="C277" s="16"/>
      <c r="D277" s="29"/>
      <c r="E277" s="30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30"/>
      <c r="AH277" s="29"/>
      <c r="AI277" s="29"/>
      <c r="AJ277" s="29"/>
      <c r="AK277" s="30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0">
        <f t="shared" si="30"/>
        <v>0</v>
      </c>
      <c r="BO277" s="20">
        <f t="shared" si="31"/>
        <v>0</v>
      </c>
      <c r="BP277" s="20">
        <f t="shared" si="32"/>
        <v>0</v>
      </c>
      <c r="BQ277" s="51"/>
      <c r="BR277" s="56"/>
      <c r="BS277" s="113"/>
      <c r="BT277" s="36"/>
      <c r="BU277" s="112"/>
    </row>
    <row r="278" s="1" customFormat="1" customHeight="1" spans="1:73">
      <c r="A278" s="28" t="s">
        <v>671</v>
      </c>
      <c r="B278" s="15" t="s">
        <v>672</v>
      </c>
      <c r="C278" s="16">
        <v>43</v>
      </c>
      <c r="D278" s="29"/>
      <c r="E278" s="30"/>
      <c r="F278" s="29"/>
      <c r="G278" s="29"/>
      <c r="H278" s="29"/>
      <c r="I278" s="30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30"/>
      <c r="AH278" s="29"/>
      <c r="AI278" s="29"/>
      <c r="AJ278" s="29"/>
      <c r="AK278" s="30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0">
        <f t="shared" si="30"/>
        <v>0</v>
      </c>
      <c r="BO278" s="20">
        <f t="shared" si="31"/>
        <v>0</v>
      </c>
      <c r="BP278" s="20">
        <f t="shared" si="32"/>
        <v>43</v>
      </c>
      <c r="BQ278" s="51">
        <f>0.67*0.44*BP278</f>
        <v>12.6764</v>
      </c>
      <c r="BR278" s="56" t="s">
        <v>673</v>
      </c>
      <c r="BS278" s="91" t="s">
        <v>673</v>
      </c>
      <c r="BT278" s="36"/>
      <c r="BU278" s="114" t="s">
        <v>674</v>
      </c>
    </row>
    <row r="279" s="1" customFormat="1" customHeight="1" spans="1:73">
      <c r="A279" s="28" t="s">
        <v>671</v>
      </c>
      <c r="B279" s="15" t="s">
        <v>675</v>
      </c>
      <c r="C279" s="16">
        <v>70</v>
      </c>
      <c r="D279" s="29"/>
      <c r="E279" s="30"/>
      <c r="F279" s="29"/>
      <c r="G279" s="29"/>
      <c r="H279" s="29"/>
      <c r="I279" s="30"/>
      <c r="J279" s="29"/>
      <c r="K279" s="29"/>
      <c r="L279" s="29"/>
      <c r="M279" s="29">
        <v>5</v>
      </c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30"/>
      <c r="AH279" s="29"/>
      <c r="AI279" s="29"/>
      <c r="AJ279" s="29"/>
      <c r="AK279" s="30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0">
        <f t="shared" si="30"/>
        <v>0</v>
      </c>
      <c r="BO279" s="20">
        <f t="shared" si="31"/>
        <v>5</v>
      </c>
      <c r="BP279" s="20">
        <f t="shared" si="32"/>
        <v>65</v>
      </c>
      <c r="BQ279" s="51">
        <f>0.475*0.365*BP279</f>
        <v>11.269375</v>
      </c>
      <c r="BR279" s="56" t="s">
        <v>676</v>
      </c>
      <c r="BS279" s="91" t="s">
        <v>677</v>
      </c>
      <c r="BT279" s="36"/>
      <c r="BU279" s="114" t="s">
        <v>674</v>
      </c>
    </row>
    <row r="280" s="1" customFormat="1" customHeight="1" spans="1:73">
      <c r="A280" s="28" t="s">
        <v>671</v>
      </c>
      <c r="B280" s="15">
        <v>95</v>
      </c>
      <c r="C280" s="16">
        <v>150</v>
      </c>
      <c r="D280" s="29"/>
      <c r="E280" s="30"/>
      <c r="F280" s="29"/>
      <c r="G280" s="29"/>
      <c r="H280" s="29"/>
      <c r="I280" s="30"/>
      <c r="J280" s="29"/>
      <c r="K280" s="29"/>
      <c r="L280" s="29"/>
      <c r="M280" s="30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30"/>
      <c r="AH280" s="29"/>
      <c r="AI280" s="29"/>
      <c r="AJ280" s="29"/>
      <c r="AK280" s="30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0">
        <f t="shared" si="30"/>
        <v>0</v>
      </c>
      <c r="BO280" s="20">
        <f t="shared" si="31"/>
        <v>0</v>
      </c>
      <c r="BP280" s="20">
        <f t="shared" si="32"/>
        <v>150</v>
      </c>
      <c r="BQ280" s="51">
        <f t="shared" ref="BQ280:BQ297" si="35">B280/1000*BP280</f>
        <v>14.25</v>
      </c>
      <c r="BR280" s="56" t="s">
        <v>170</v>
      </c>
      <c r="BS280" s="91" t="s">
        <v>570</v>
      </c>
      <c r="BT280" s="115"/>
      <c r="BU280" s="35" t="s">
        <v>678</v>
      </c>
    </row>
    <row r="281" s="1" customFormat="1" customHeight="1" spans="1:73">
      <c r="A281" s="28" t="s">
        <v>671</v>
      </c>
      <c r="B281" s="15">
        <v>115</v>
      </c>
      <c r="C281" s="16">
        <v>148</v>
      </c>
      <c r="D281" s="29"/>
      <c r="E281" s="30"/>
      <c r="F281" s="29"/>
      <c r="G281" s="29"/>
      <c r="H281" s="29"/>
      <c r="I281" s="30"/>
      <c r="J281" s="29"/>
      <c r="K281" s="29"/>
      <c r="L281" s="29"/>
      <c r="M281" s="30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30"/>
      <c r="AH281" s="29"/>
      <c r="AI281" s="29"/>
      <c r="AJ281" s="29"/>
      <c r="AK281" s="30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0">
        <f t="shared" si="30"/>
        <v>0</v>
      </c>
      <c r="BO281" s="20">
        <f t="shared" si="31"/>
        <v>0</v>
      </c>
      <c r="BP281" s="20">
        <f t="shared" si="32"/>
        <v>148</v>
      </c>
      <c r="BQ281" s="51">
        <f t="shared" si="35"/>
        <v>17.02</v>
      </c>
      <c r="BR281" s="56" t="s">
        <v>679</v>
      </c>
      <c r="BS281" s="91" t="s">
        <v>680</v>
      </c>
      <c r="BT281" s="115"/>
      <c r="BU281" s="35" t="s">
        <v>678</v>
      </c>
    </row>
    <row r="282" s="1" customFormat="1" customHeight="1" spans="1:73">
      <c r="A282" s="28" t="s">
        <v>671</v>
      </c>
      <c r="B282" s="15">
        <v>125</v>
      </c>
      <c r="C282" s="16">
        <v>93</v>
      </c>
      <c r="D282" s="29"/>
      <c r="E282" s="30"/>
      <c r="F282" s="29"/>
      <c r="G282" s="29"/>
      <c r="H282" s="29"/>
      <c r="I282" s="30"/>
      <c r="J282" s="29"/>
      <c r="K282" s="29"/>
      <c r="L282" s="29"/>
      <c r="M282" s="30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30"/>
      <c r="AH282" s="29"/>
      <c r="AI282" s="29"/>
      <c r="AJ282" s="29"/>
      <c r="AK282" s="30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0">
        <f t="shared" si="30"/>
        <v>0</v>
      </c>
      <c r="BO282" s="20">
        <f t="shared" si="31"/>
        <v>0</v>
      </c>
      <c r="BP282" s="20">
        <f t="shared" si="32"/>
        <v>93</v>
      </c>
      <c r="BQ282" s="51">
        <f t="shared" si="35"/>
        <v>11.625</v>
      </c>
      <c r="BR282" s="56" t="s">
        <v>659</v>
      </c>
      <c r="BS282" s="91" t="s">
        <v>570</v>
      </c>
      <c r="BT282" s="115"/>
      <c r="BU282" s="35" t="s">
        <v>678</v>
      </c>
    </row>
    <row r="283" s="1" customFormat="1" customHeight="1" spans="1:73">
      <c r="A283" s="28" t="s">
        <v>671</v>
      </c>
      <c r="B283" s="15">
        <v>135</v>
      </c>
      <c r="C283" s="16">
        <v>212</v>
      </c>
      <c r="D283" s="29"/>
      <c r="E283" s="30"/>
      <c r="F283" s="29"/>
      <c r="G283" s="29"/>
      <c r="H283" s="29"/>
      <c r="I283" s="30"/>
      <c r="J283" s="29"/>
      <c r="K283" s="29"/>
      <c r="L283" s="29"/>
      <c r="M283" s="30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30"/>
      <c r="AH283" s="29"/>
      <c r="AI283" s="29"/>
      <c r="AJ283" s="29"/>
      <c r="AK283" s="30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0">
        <f t="shared" si="30"/>
        <v>0</v>
      </c>
      <c r="BO283" s="20">
        <f t="shared" si="31"/>
        <v>0</v>
      </c>
      <c r="BP283" s="20">
        <f t="shared" si="32"/>
        <v>212</v>
      </c>
      <c r="BQ283" s="51">
        <f t="shared" si="35"/>
        <v>28.62</v>
      </c>
      <c r="BR283" s="56" t="s">
        <v>679</v>
      </c>
      <c r="BS283" s="91" t="s">
        <v>680</v>
      </c>
      <c r="BT283" s="115"/>
      <c r="BU283" s="35" t="s">
        <v>678</v>
      </c>
    </row>
    <row r="284" s="1" customFormat="1" customHeight="1" spans="1:73">
      <c r="A284" s="28" t="s">
        <v>671</v>
      </c>
      <c r="B284" s="15">
        <v>155</v>
      </c>
      <c r="C284" s="16">
        <v>205</v>
      </c>
      <c r="D284" s="29"/>
      <c r="E284" s="30"/>
      <c r="F284" s="29"/>
      <c r="G284" s="29"/>
      <c r="H284" s="29"/>
      <c r="I284" s="30"/>
      <c r="J284" s="29"/>
      <c r="K284" s="29"/>
      <c r="L284" s="29"/>
      <c r="M284" s="30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30"/>
      <c r="AH284" s="29"/>
      <c r="AI284" s="29"/>
      <c r="AJ284" s="29"/>
      <c r="AK284" s="30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0">
        <f t="shared" si="30"/>
        <v>0</v>
      </c>
      <c r="BO284" s="20">
        <f t="shared" si="31"/>
        <v>0</v>
      </c>
      <c r="BP284" s="20">
        <f t="shared" si="32"/>
        <v>205</v>
      </c>
      <c r="BQ284" s="51">
        <f t="shared" si="35"/>
        <v>31.775</v>
      </c>
      <c r="BR284" s="56" t="s">
        <v>681</v>
      </c>
      <c r="BS284" s="91" t="s">
        <v>682</v>
      </c>
      <c r="BT284" s="115"/>
      <c r="BU284" s="35" t="s">
        <v>678</v>
      </c>
    </row>
    <row r="285" s="1" customFormat="1" customHeight="1" spans="1:73">
      <c r="A285" s="28" t="s">
        <v>671</v>
      </c>
      <c r="B285" s="15">
        <v>175</v>
      </c>
      <c r="C285" s="16">
        <v>416</v>
      </c>
      <c r="D285" s="29"/>
      <c r="E285" s="30"/>
      <c r="F285" s="29"/>
      <c r="G285" s="29"/>
      <c r="H285" s="29"/>
      <c r="I285" s="30"/>
      <c r="J285" s="29"/>
      <c r="K285" s="29"/>
      <c r="L285" s="29"/>
      <c r="M285" s="30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30"/>
      <c r="AH285" s="29"/>
      <c r="AI285" s="29"/>
      <c r="AJ285" s="29"/>
      <c r="AK285" s="30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0">
        <f t="shared" si="30"/>
        <v>0</v>
      </c>
      <c r="BO285" s="20">
        <f t="shared" si="31"/>
        <v>0</v>
      </c>
      <c r="BP285" s="20">
        <f t="shared" si="32"/>
        <v>416</v>
      </c>
      <c r="BQ285" s="51">
        <f t="shared" si="35"/>
        <v>72.8</v>
      </c>
      <c r="BR285" s="56" t="s">
        <v>683</v>
      </c>
      <c r="BS285" s="91" t="s">
        <v>684</v>
      </c>
      <c r="BT285" s="115"/>
      <c r="BU285" s="35" t="s">
        <v>678</v>
      </c>
    </row>
    <row r="286" s="1" customFormat="1" customHeight="1" spans="1:73">
      <c r="A286" s="28" t="s">
        <v>671</v>
      </c>
      <c r="B286" s="15">
        <v>180</v>
      </c>
      <c r="C286" s="16">
        <v>401</v>
      </c>
      <c r="D286" s="29"/>
      <c r="E286" s="30"/>
      <c r="F286" s="29"/>
      <c r="G286" s="29"/>
      <c r="H286" s="29"/>
      <c r="I286" s="30"/>
      <c r="J286" s="29"/>
      <c r="K286" s="29"/>
      <c r="L286" s="29"/>
      <c r="M286" s="30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30"/>
      <c r="AH286" s="29"/>
      <c r="AI286" s="29"/>
      <c r="AJ286" s="29"/>
      <c r="AK286" s="30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0">
        <f t="shared" si="30"/>
        <v>0</v>
      </c>
      <c r="BO286" s="20">
        <f t="shared" si="31"/>
        <v>0</v>
      </c>
      <c r="BP286" s="20">
        <f t="shared" si="32"/>
        <v>401</v>
      </c>
      <c r="BQ286" s="51">
        <f t="shared" si="35"/>
        <v>72.18</v>
      </c>
      <c r="BR286" s="56" t="s">
        <v>685</v>
      </c>
      <c r="BS286" s="91" t="s">
        <v>686</v>
      </c>
      <c r="BT286" s="115" t="s">
        <v>687</v>
      </c>
      <c r="BU286" s="35" t="s">
        <v>678</v>
      </c>
    </row>
    <row r="287" s="1" customFormat="1" customHeight="1" spans="1:73">
      <c r="A287" s="28" t="s">
        <v>671</v>
      </c>
      <c r="B287" s="15">
        <v>190</v>
      </c>
      <c r="C287" s="16">
        <v>730</v>
      </c>
      <c r="D287" s="29"/>
      <c r="E287" s="30"/>
      <c r="F287" s="29"/>
      <c r="G287" s="29"/>
      <c r="H287" s="29"/>
      <c r="I287" s="30"/>
      <c r="J287" s="29"/>
      <c r="K287" s="29"/>
      <c r="L287" s="29"/>
      <c r="M287" s="30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30"/>
      <c r="AH287" s="29"/>
      <c r="AI287" s="29"/>
      <c r="AJ287" s="29"/>
      <c r="AK287" s="30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0">
        <f t="shared" si="30"/>
        <v>0</v>
      </c>
      <c r="BO287" s="20">
        <f t="shared" si="31"/>
        <v>0</v>
      </c>
      <c r="BP287" s="20">
        <f t="shared" si="32"/>
        <v>730</v>
      </c>
      <c r="BQ287" s="51">
        <f t="shared" si="35"/>
        <v>138.7</v>
      </c>
      <c r="BR287" s="56" t="s">
        <v>219</v>
      </c>
      <c r="BS287" s="91" t="s">
        <v>592</v>
      </c>
      <c r="BT287" s="115"/>
      <c r="BU287" s="35" t="s">
        <v>678</v>
      </c>
    </row>
    <row r="288" s="1" customFormat="1" customHeight="1" spans="1:73">
      <c r="A288" s="28" t="s">
        <v>671</v>
      </c>
      <c r="B288" s="15">
        <v>200</v>
      </c>
      <c r="C288" s="16">
        <v>171</v>
      </c>
      <c r="D288" s="29"/>
      <c r="E288" s="30"/>
      <c r="F288" s="29"/>
      <c r="G288" s="29"/>
      <c r="H288" s="29"/>
      <c r="I288" s="30"/>
      <c r="J288" s="29"/>
      <c r="K288" s="29"/>
      <c r="L288" s="29"/>
      <c r="M288" s="30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30"/>
      <c r="AH288" s="29"/>
      <c r="AI288" s="29"/>
      <c r="AJ288" s="29"/>
      <c r="AK288" s="30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0">
        <f t="shared" si="30"/>
        <v>0</v>
      </c>
      <c r="BO288" s="20">
        <f t="shared" si="31"/>
        <v>0</v>
      </c>
      <c r="BP288" s="20">
        <f t="shared" si="32"/>
        <v>171</v>
      </c>
      <c r="BQ288" s="51">
        <f t="shared" si="35"/>
        <v>34.2</v>
      </c>
      <c r="BR288" s="56" t="s">
        <v>683</v>
      </c>
      <c r="BS288" s="91" t="s">
        <v>684</v>
      </c>
      <c r="BT288" s="115"/>
      <c r="BU288" s="35" t="s">
        <v>678</v>
      </c>
    </row>
    <row r="289" s="1" customFormat="1" customHeight="1" spans="1:73">
      <c r="A289" s="28" t="s">
        <v>671</v>
      </c>
      <c r="B289" s="15">
        <v>210</v>
      </c>
      <c r="C289" s="16">
        <v>7</v>
      </c>
      <c r="D289" s="29"/>
      <c r="E289" s="30"/>
      <c r="F289" s="29"/>
      <c r="G289" s="82"/>
      <c r="H289" s="29"/>
      <c r="I289" s="29"/>
      <c r="J289" s="29"/>
      <c r="K289" s="29"/>
      <c r="L289" s="29"/>
      <c r="M289" s="30"/>
      <c r="N289" s="29"/>
      <c r="O289" s="29"/>
      <c r="P289" s="29"/>
      <c r="Q289" s="29"/>
      <c r="R289" s="29"/>
      <c r="S289" s="29"/>
      <c r="T289" s="29"/>
      <c r="U289" s="30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30"/>
      <c r="AH289" s="29"/>
      <c r="AI289" s="30"/>
      <c r="AJ289" s="29"/>
      <c r="AK289" s="30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82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0">
        <f t="shared" si="30"/>
        <v>0</v>
      </c>
      <c r="BO289" s="20">
        <f t="shared" si="31"/>
        <v>0</v>
      </c>
      <c r="BP289" s="20">
        <f t="shared" si="32"/>
        <v>7</v>
      </c>
      <c r="BQ289" s="51">
        <f t="shared" si="35"/>
        <v>1.47</v>
      </c>
      <c r="BR289" s="56" t="s">
        <v>685</v>
      </c>
      <c r="BS289" s="91" t="s">
        <v>680</v>
      </c>
      <c r="BT289" s="115"/>
      <c r="BU289" s="35" t="s">
        <v>678</v>
      </c>
    </row>
    <row r="290" s="1" customFormat="1" customHeight="1" spans="1:73">
      <c r="A290" s="28" t="s">
        <v>671</v>
      </c>
      <c r="B290" s="15">
        <v>220</v>
      </c>
      <c r="C290" s="16">
        <v>143</v>
      </c>
      <c r="D290" s="29"/>
      <c r="E290" s="30"/>
      <c r="F290" s="29"/>
      <c r="G290" s="82"/>
      <c r="H290" s="29"/>
      <c r="I290" s="29"/>
      <c r="J290" s="29"/>
      <c r="K290" s="29"/>
      <c r="L290" s="29"/>
      <c r="M290" s="30">
        <v>6</v>
      </c>
      <c r="N290" s="29"/>
      <c r="O290" s="29"/>
      <c r="P290" s="29"/>
      <c r="Q290" s="29"/>
      <c r="R290" s="29"/>
      <c r="S290" s="29"/>
      <c r="T290" s="29"/>
      <c r="U290" s="30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30"/>
      <c r="AH290" s="29"/>
      <c r="AI290" s="30"/>
      <c r="AJ290" s="29"/>
      <c r="AK290" s="30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0">
        <f t="shared" si="30"/>
        <v>0</v>
      </c>
      <c r="BO290" s="20">
        <f t="shared" si="31"/>
        <v>6</v>
      </c>
      <c r="BP290" s="20">
        <f t="shared" si="32"/>
        <v>137</v>
      </c>
      <c r="BQ290" s="51">
        <f t="shared" si="35"/>
        <v>30.14</v>
      </c>
      <c r="BR290" s="56" t="s">
        <v>574</v>
      </c>
      <c r="BS290" s="91" t="s">
        <v>575</v>
      </c>
      <c r="BT290" s="115"/>
      <c r="BU290" s="35" t="s">
        <v>678</v>
      </c>
    </row>
    <row r="291" s="1" customFormat="1" customHeight="1" spans="1:73">
      <c r="A291" s="28" t="s">
        <v>671</v>
      </c>
      <c r="B291" s="15">
        <v>230</v>
      </c>
      <c r="C291" s="16">
        <v>515</v>
      </c>
      <c r="D291" s="29"/>
      <c r="E291" s="30"/>
      <c r="F291" s="29"/>
      <c r="G291" s="82"/>
      <c r="H291" s="29"/>
      <c r="I291" s="29"/>
      <c r="J291" s="29"/>
      <c r="K291" s="29"/>
      <c r="L291" s="29"/>
      <c r="M291" s="30"/>
      <c r="N291" s="29"/>
      <c r="O291" s="29"/>
      <c r="P291" s="29"/>
      <c r="Q291" s="29"/>
      <c r="R291" s="29"/>
      <c r="S291" s="29"/>
      <c r="T291" s="29"/>
      <c r="U291" s="30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30"/>
      <c r="AH291" s="29"/>
      <c r="AI291" s="30"/>
      <c r="AJ291" s="29"/>
      <c r="AK291" s="30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0">
        <f t="shared" si="30"/>
        <v>0</v>
      </c>
      <c r="BO291" s="20">
        <f t="shared" si="31"/>
        <v>0</v>
      </c>
      <c r="BP291" s="20">
        <f t="shared" si="32"/>
        <v>515</v>
      </c>
      <c r="BQ291" s="51">
        <f t="shared" si="35"/>
        <v>118.45</v>
      </c>
      <c r="BR291" s="56" t="s">
        <v>688</v>
      </c>
      <c r="BS291" s="91" t="s">
        <v>592</v>
      </c>
      <c r="BT291" s="115" t="s">
        <v>689</v>
      </c>
      <c r="BU291" s="35" t="s">
        <v>678</v>
      </c>
    </row>
    <row r="292" s="1" customFormat="1" customHeight="1" spans="1:73">
      <c r="A292" s="28" t="s">
        <v>671</v>
      </c>
      <c r="B292" s="15">
        <v>255</v>
      </c>
      <c r="C292" s="16">
        <v>57</v>
      </c>
      <c r="D292" s="29"/>
      <c r="E292" s="30"/>
      <c r="F292" s="29"/>
      <c r="G292" s="82"/>
      <c r="H292" s="29"/>
      <c r="I292" s="29"/>
      <c r="J292" s="29"/>
      <c r="K292" s="29"/>
      <c r="L292" s="29"/>
      <c r="M292" s="30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30"/>
      <c r="AH292" s="29"/>
      <c r="AI292" s="30"/>
      <c r="AJ292" s="29"/>
      <c r="AK292" s="30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0">
        <f t="shared" si="30"/>
        <v>0</v>
      </c>
      <c r="BO292" s="20">
        <f t="shared" si="31"/>
        <v>0</v>
      </c>
      <c r="BP292" s="20">
        <f t="shared" si="32"/>
        <v>57</v>
      </c>
      <c r="BQ292" s="51">
        <f t="shared" si="35"/>
        <v>14.535</v>
      </c>
      <c r="BR292" s="56" t="s">
        <v>679</v>
      </c>
      <c r="BS292" s="91" t="s">
        <v>680</v>
      </c>
      <c r="BT292" s="115"/>
      <c r="BU292" s="35" t="s">
        <v>678</v>
      </c>
    </row>
    <row r="293" s="1" customFormat="1" customHeight="1" spans="1:73">
      <c r="A293" s="28" t="s">
        <v>671</v>
      </c>
      <c r="B293" s="15">
        <v>285</v>
      </c>
      <c r="C293" s="16">
        <v>305</v>
      </c>
      <c r="D293" s="29"/>
      <c r="E293" s="30"/>
      <c r="F293" s="29"/>
      <c r="G293" s="82"/>
      <c r="H293" s="29"/>
      <c r="I293" s="29">
        <v>46</v>
      </c>
      <c r="J293" s="29"/>
      <c r="K293" s="29">
        <v>69</v>
      </c>
      <c r="L293" s="29"/>
      <c r="M293" s="30"/>
      <c r="N293" s="29"/>
      <c r="O293" s="29"/>
      <c r="P293" s="29"/>
      <c r="Q293" s="29"/>
      <c r="R293" s="29"/>
      <c r="S293" s="29"/>
      <c r="T293" s="29"/>
      <c r="U293" s="30"/>
      <c r="V293" s="29"/>
      <c r="W293" s="29"/>
      <c r="X293" s="29"/>
      <c r="Y293" s="29"/>
      <c r="Z293" s="29"/>
      <c r="AA293" s="116"/>
      <c r="AB293" s="29"/>
      <c r="AC293" s="29"/>
      <c r="AD293" s="29"/>
      <c r="AE293" s="29"/>
      <c r="AF293" s="29"/>
      <c r="AG293" s="30"/>
      <c r="AH293" s="29"/>
      <c r="AI293" s="30"/>
      <c r="AJ293" s="29"/>
      <c r="AK293" s="30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0">
        <f t="shared" si="30"/>
        <v>0</v>
      </c>
      <c r="BO293" s="20">
        <f t="shared" si="31"/>
        <v>115</v>
      </c>
      <c r="BP293" s="20">
        <f t="shared" si="32"/>
        <v>190</v>
      </c>
      <c r="BQ293" s="51">
        <f t="shared" si="35"/>
        <v>54.15</v>
      </c>
      <c r="BR293" s="56" t="s">
        <v>690</v>
      </c>
      <c r="BS293" s="91" t="s">
        <v>680</v>
      </c>
      <c r="BT293" s="115"/>
      <c r="BU293" s="35" t="s">
        <v>691</v>
      </c>
    </row>
    <row r="294" s="1" customFormat="1" customHeight="1" spans="1:73">
      <c r="A294" s="28" t="s">
        <v>671</v>
      </c>
      <c r="B294" s="15">
        <v>300</v>
      </c>
      <c r="C294" s="16">
        <v>43</v>
      </c>
      <c r="D294" s="29"/>
      <c r="E294" s="30"/>
      <c r="F294" s="29"/>
      <c r="G294" s="82"/>
      <c r="H294" s="29"/>
      <c r="I294" s="29"/>
      <c r="J294" s="29"/>
      <c r="K294" s="29"/>
      <c r="L294" s="29"/>
      <c r="M294" s="30"/>
      <c r="N294" s="29"/>
      <c r="O294" s="29"/>
      <c r="P294" s="29"/>
      <c r="Q294" s="29"/>
      <c r="R294" s="29"/>
      <c r="S294" s="29"/>
      <c r="T294" s="29"/>
      <c r="U294" s="30"/>
      <c r="V294" s="29"/>
      <c r="W294" s="29"/>
      <c r="X294" s="29"/>
      <c r="Y294" s="29"/>
      <c r="Z294" s="29"/>
      <c r="AA294" s="116"/>
      <c r="AB294" s="29"/>
      <c r="AC294" s="29"/>
      <c r="AD294" s="29"/>
      <c r="AE294" s="29"/>
      <c r="AF294" s="29"/>
      <c r="AG294" s="30"/>
      <c r="AH294" s="29"/>
      <c r="AI294" s="30"/>
      <c r="AJ294" s="29"/>
      <c r="AK294" s="30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0">
        <f t="shared" si="30"/>
        <v>0</v>
      </c>
      <c r="BO294" s="20">
        <f t="shared" si="31"/>
        <v>0</v>
      </c>
      <c r="BP294" s="20">
        <f t="shared" si="32"/>
        <v>43</v>
      </c>
      <c r="BQ294" s="51">
        <f t="shared" si="35"/>
        <v>12.9</v>
      </c>
      <c r="BR294" s="56" t="s">
        <v>692</v>
      </c>
      <c r="BS294" s="91" t="s">
        <v>693</v>
      </c>
      <c r="BT294" s="115" t="s">
        <v>694</v>
      </c>
      <c r="BU294" s="35"/>
    </row>
    <row r="295" s="3" customFormat="1" customHeight="1" spans="1:73">
      <c r="A295" s="28" t="s">
        <v>671</v>
      </c>
      <c r="B295" s="28">
        <v>320</v>
      </c>
      <c r="C295" s="117">
        <v>56</v>
      </c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118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29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29"/>
      <c r="BJ295" s="30"/>
      <c r="BK295" s="30"/>
      <c r="BL295" s="30"/>
      <c r="BM295" s="30"/>
      <c r="BN295" s="20">
        <f t="shared" si="30"/>
        <v>0</v>
      </c>
      <c r="BO295" s="20">
        <f t="shared" si="31"/>
        <v>0</v>
      </c>
      <c r="BP295" s="20">
        <f t="shared" si="32"/>
        <v>56</v>
      </c>
      <c r="BQ295" s="51">
        <f t="shared" si="35"/>
        <v>17.92</v>
      </c>
      <c r="BR295" s="56" t="s">
        <v>610</v>
      </c>
      <c r="BS295" s="91" t="s">
        <v>573</v>
      </c>
      <c r="BT295" s="119"/>
      <c r="BU295" s="35" t="s">
        <v>695</v>
      </c>
    </row>
    <row r="296" s="3" customFormat="1" customHeight="1" spans="1:73">
      <c r="A296" s="28" t="s">
        <v>671</v>
      </c>
      <c r="B296" s="28">
        <v>365</v>
      </c>
      <c r="C296" s="117">
        <v>175</v>
      </c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118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29"/>
      <c r="AX296" s="30"/>
      <c r="AY296" s="30"/>
      <c r="AZ296" s="30"/>
      <c r="BA296" s="30"/>
      <c r="BB296" s="29"/>
      <c r="BC296" s="30"/>
      <c r="BD296" s="30"/>
      <c r="BE296" s="30"/>
      <c r="BF296" s="30"/>
      <c r="BG296" s="30"/>
      <c r="BH296" s="30"/>
      <c r="BI296" s="29"/>
      <c r="BJ296" s="30"/>
      <c r="BK296" s="30"/>
      <c r="BL296" s="30"/>
      <c r="BM296" s="30"/>
      <c r="BN296" s="20">
        <f t="shared" si="30"/>
        <v>0</v>
      </c>
      <c r="BO296" s="20">
        <f t="shared" si="31"/>
        <v>0</v>
      </c>
      <c r="BP296" s="20">
        <f t="shared" si="32"/>
        <v>175</v>
      </c>
      <c r="BQ296" s="51">
        <f t="shared" si="35"/>
        <v>63.875</v>
      </c>
      <c r="BR296" s="56" t="s">
        <v>688</v>
      </c>
      <c r="BS296" s="91" t="s">
        <v>696</v>
      </c>
      <c r="BT296" s="119"/>
      <c r="BU296" s="35" t="s">
        <v>695</v>
      </c>
    </row>
    <row r="297" s="1" customFormat="1" customHeight="1" spans="1:73">
      <c r="A297" s="60" t="s">
        <v>671</v>
      </c>
      <c r="B297" s="15">
        <v>435</v>
      </c>
      <c r="C297" s="29">
        <v>138</v>
      </c>
      <c r="D297" s="29"/>
      <c r="E297" s="30"/>
      <c r="F297" s="29"/>
      <c r="G297" s="29"/>
      <c r="H297" s="29"/>
      <c r="I297" s="30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30"/>
      <c r="AH297" s="29"/>
      <c r="AI297" s="29"/>
      <c r="AJ297" s="29"/>
      <c r="AK297" s="30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0">
        <f t="shared" si="30"/>
        <v>0</v>
      </c>
      <c r="BO297" s="20">
        <f t="shared" si="31"/>
        <v>0</v>
      </c>
      <c r="BP297" s="20">
        <f t="shared" si="32"/>
        <v>138</v>
      </c>
      <c r="BQ297" s="51">
        <f t="shared" si="35"/>
        <v>60.03</v>
      </c>
      <c r="BR297" s="68" t="s">
        <v>697</v>
      </c>
      <c r="BS297" s="91" t="s">
        <v>698</v>
      </c>
      <c r="BT297" s="57"/>
      <c r="BU297" s="35" t="s">
        <v>695</v>
      </c>
    </row>
    <row r="298" s="1" customFormat="1" customHeight="1" spans="1:73">
      <c r="A298" s="53" t="s">
        <v>699</v>
      </c>
      <c r="B298" s="15"/>
      <c r="C298" s="29"/>
      <c r="D298" s="29"/>
      <c r="E298" s="30"/>
      <c r="F298" s="29"/>
      <c r="G298" s="29"/>
      <c r="H298" s="29"/>
      <c r="I298" s="30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30"/>
      <c r="AH298" s="29"/>
      <c r="AI298" s="29"/>
      <c r="AJ298" s="29"/>
      <c r="AK298" s="30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0"/>
      <c r="BO298" s="20"/>
      <c r="BP298" s="20"/>
      <c r="BQ298" s="51"/>
      <c r="BR298" s="68"/>
      <c r="BS298" s="91"/>
      <c r="BT298" s="57"/>
      <c r="BU298" s="84"/>
    </row>
    <row r="299" s="1" customFormat="1" customHeight="1" spans="1:73">
      <c r="A299" s="28" t="s">
        <v>700</v>
      </c>
      <c r="B299" s="15" t="s">
        <v>701</v>
      </c>
      <c r="C299" s="16">
        <v>5</v>
      </c>
      <c r="D299" s="29"/>
      <c r="E299" s="30"/>
      <c r="F299" s="29"/>
      <c r="G299" s="29"/>
      <c r="H299" s="29"/>
      <c r="I299" s="30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30"/>
      <c r="AH299" s="29"/>
      <c r="AI299" s="29"/>
      <c r="AJ299" s="29"/>
      <c r="AK299" s="30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0">
        <f t="shared" ref="BN299:BN362" si="36">D299+F299+H299+J299+L299+N299+P299+R299+T299+V299+X299+Z299+AB299+AD299+AF299+AH299+AJ299+AL299+AN299+AP299+AR299+AT299+AV299+AX299+AZ299+BB299+BD299+BF299+BH299+BJ299+BL299</f>
        <v>0</v>
      </c>
      <c r="BO299" s="20">
        <f t="shared" ref="BO299:BO362" si="37">E299+G299+I299+K299+M299+O299+Q299+S299+U299+W299+Y299+AA299+AC299+AE299+AG299+AI299+AK299+AM299+AO299+AQ299+AS299+AU299+AW299+AY299+BA299+BC299+BE299+BG299+BI299+BK299+BM299</f>
        <v>0</v>
      </c>
      <c r="BP299" s="20">
        <f t="shared" ref="BP299:BP362" si="38">C299+BN299-BO299</f>
        <v>5</v>
      </c>
      <c r="BQ299" s="51">
        <f>0.395*0.265*BP299</f>
        <v>0.523375</v>
      </c>
      <c r="BR299" s="56" t="s">
        <v>683</v>
      </c>
      <c r="BS299" s="91" t="s">
        <v>684</v>
      </c>
      <c r="BT299" s="36"/>
      <c r="BU299" s="98" t="s">
        <v>702</v>
      </c>
    </row>
    <row r="300" s="1" customFormat="1" customHeight="1" spans="1:73">
      <c r="A300" s="28" t="s">
        <v>700</v>
      </c>
      <c r="B300" s="15" t="s">
        <v>703</v>
      </c>
      <c r="C300" s="16">
        <v>448</v>
      </c>
      <c r="D300" s="29"/>
      <c r="E300" s="29"/>
      <c r="F300" s="29"/>
      <c r="G300" s="29"/>
      <c r="H300" s="29"/>
      <c r="I300" s="30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30"/>
      <c r="AH300" s="29"/>
      <c r="AI300" s="29"/>
      <c r="AJ300" s="29"/>
      <c r="AK300" s="30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0">
        <f t="shared" si="36"/>
        <v>0</v>
      </c>
      <c r="BO300" s="20">
        <f t="shared" si="37"/>
        <v>0</v>
      </c>
      <c r="BP300" s="20">
        <f t="shared" si="38"/>
        <v>448</v>
      </c>
      <c r="BQ300" s="51">
        <f>0.22*0.33*BP300</f>
        <v>32.5248</v>
      </c>
      <c r="BR300" s="56" t="s">
        <v>265</v>
      </c>
      <c r="BS300" s="91" t="s">
        <v>704</v>
      </c>
      <c r="BT300" s="36"/>
      <c r="BU300" s="98" t="s">
        <v>702</v>
      </c>
    </row>
    <row r="301" s="1" customFormat="1" customHeight="1" spans="1:73">
      <c r="A301" s="28" t="s">
        <v>700</v>
      </c>
      <c r="B301" s="15" t="s">
        <v>705</v>
      </c>
      <c r="C301" s="16">
        <v>0</v>
      </c>
      <c r="D301" s="29">
        <v>255</v>
      </c>
      <c r="E301" s="29"/>
      <c r="F301" s="29"/>
      <c r="G301" s="29"/>
      <c r="H301" s="29"/>
      <c r="I301" s="30"/>
      <c r="J301" s="29"/>
      <c r="K301" s="29"/>
      <c r="L301" s="29"/>
      <c r="M301" s="29">
        <v>96</v>
      </c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30"/>
      <c r="AH301" s="29"/>
      <c r="AI301" s="29"/>
      <c r="AJ301" s="29"/>
      <c r="AK301" s="30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0">
        <f t="shared" si="36"/>
        <v>255</v>
      </c>
      <c r="BO301" s="20">
        <f t="shared" si="37"/>
        <v>96</v>
      </c>
      <c r="BP301" s="20">
        <f t="shared" si="38"/>
        <v>159</v>
      </c>
      <c r="BQ301" s="51">
        <f>0.28*0.255*BP301</f>
        <v>11.3526</v>
      </c>
      <c r="BR301" s="56" t="s">
        <v>706</v>
      </c>
      <c r="BS301" s="91" t="s">
        <v>707</v>
      </c>
      <c r="BT301" s="36"/>
      <c r="BU301" s="98" t="s">
        <v>702</v>
      </c>
    </row>
    <row r="302" s="1" customFormat="1" customHeight="1" spans="1:73">
      <c r="A302" s="28" t="s">
        <v>700</v>
      </c>
      <c r="B302" s="15" t="s">
        <v>708</v>
      </c>
      <c r="C302" s="16">
        <v>752</v>
      </c>
      <c r="D302" s="29"/>
      <c r="E302" s="29"/>
      <c r="F302" s="29"/>
      <c r="G302" s="29"/>
      <c r="H302" s="29"/>
      <c r="I302" s="30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30"/>
      <c r="AH302" s="29"/>
      <c r="AI302" s="29"/>
      <c r="AJ302" s="29"/>
      <c r="AK302" s="30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0">
        <f t="shared" si="36"/>
        <v>0</v>
      </c>
      <c r="BO302" s="20">
        <f t="shared" si="37"/>
        <v>0</v>
      </c>
      <c r="BP302" s="20">
        <f t="shared" si="38"/>
        <v>752</v>
      </c>
      <c r="BQ302" s="51">
        <f>0.33*0.25*BP302</f>
        <v>62.04</v>
      </c>
      <c r="BR302" s="56" t="s">
        <v>265</v>
      </c>
      <c r="BS302" s="91" t="s">
        <v>704</v>
      </c>
      <c r="BT302" s="36"/>
      <c r="BU302" s="98" t="s">
        <v>702</v>
      </c>
    </row>
    <row r="303" s="1" customFormat="1" customHeight="1" spans="1:73">
      <c r="A303" s="28" t="s">
        <v>700</v>
      </c>
      <c r="B303" s="15" t="s">
        <v>709</v>
      </c>
      <c r="C303" s="16">
        <v>163</v>
      </c>
      <c r="D303" s="29"/>
      <c r="E303" s="30"/>
      <c r="F303" s="29"/>
      <c r="G303" s="29"/>
      <c r="H303" s="29"/>
      <c r="I303" s="30"/>
      <c r="J303" s="29"/>
      <c r="K303" s="29"/>
      <c r="L303" s="29"/>
      <c r="M303" s="29">
        <v>17</v>
      </c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30"/>
      <c r="AH303" s="29"/>
      <c r="AI303" s="29"/>
      <c r="AJ303" s="29"/>
      <c r="AK303" s="30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0">
        <f t="shared" si="36"/>
        <v>0</v>
      </c>
      <c r="BO303" s="20">
        <f t="shared" si="37"/>
        <v>17</v>
      </c>
      <c r="BP303" s="20">
        <f t="shared" si="38"/>
        <v>146</v>
      </c>
      <c r="BQ303" s="51">
        <f>0.33*0.28*BP303</f>
        <v>13.4904</v>
      </c>
      <c r="BR303" s="56" t="s">
        <v>710</v>
      </c>
      <c r="BS303" s="91" t="s">
        <v>704</v>
      </c>
      <c r="BT303" s="36"/>
      <c r="BU303" s="98" t="s">
        <v>702</v>
      </c>
    </row>
    <row r="304" s="1" customFormat="1" customHeight="1" spans="1:73">
      <c r="A304" s="28" t="s">
        <v>700</v>
      </c>
      <c r="B304" s="15" t="s">
        <v>711</v>
      </c>
      <c r="C304" s="16">
        <v>1340</v>
      </c>
      <c r="D304" s="29"/>
      <c r="E304" s="30"/>
      <c r="F304" s="29"/>
      <c r="G304" s="29"/>
      <c r="H304" s="29"/>
      <c r="I304" s="30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30"/>
      <c r="AH304" s="29"/>
      <c r="AI304" s="29"/>
      <c r="AJ304" s="29"/>
      <c r="AK304" s="30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0">
        <f t="shared" si="36"/>
        <v>0</v>
      </c>
      <c r="BO304" s="20">
        <f t="shared" si="37"/>
        <v>0</v>
      </c>
      <c r="BP304" s="20">
        <f t="shared" si="38"/>
        <v>1340</v>
      </c>
      <c r="BQ304" s="51">
        <f>0.34*0.34*BP304</f>
        <v>154.904</v>
      </c>
      <c r="BR304" s="56" t="s">
        <v>138</v>
      </c>
      <c r="BS304" s="91" t="s">
        <v>586</v>
      </c>
      <c r="BT304" s="36"/>
      <c r="BU304" s="114" t="s">
        <v>674</v>
      </c>
    </row>
    <row r="305" s="1" customFormat="1" customHeight="1" spans="1:73">
      <c r="A305" s="28" t="s">
        <v>700</v>
      </c>
      <c r="B305" s="15" t="s">
        <v>712</v>
      </c>
      <c r="C305" s="16">
        <v>95</v>
      </c>
      <c r="D305" s="29"/>
      <c r="E305" s="30"/>
      <c r="F305" s="29"/>
      <c r="G305" s="29"/>
      <c r="H305" s="29"/>
      <c r="I305" s="30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30"/>
      <c r="AH305" s="29"/>
      <c r="AI305" s="29"/>
      <c r="AJ305" s="29"/>
      <c r="AK305" s="30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0">
        <f t="shared" si="36"/>
        <v>0</v>
      </c>
      <c r="BO305" s="20">
        <f t="shared" si="37"/>
        <v>0</v>
      </c>
      <c r="BP305" s="20">
        <f t="shared" si="38"/>
        <v>95</v>
      </c>
      <c r="BQ305" s="51">
        <f>0.41*0.21*BP305</f>
        <v>8.1795</v>
      </c>
      <c r="BR305" s="56" t="s">
        <v>713</v>
      </c>
      <c r="BS305" s="91" t="s">
        <v>714</v>
      </c>
      <c r="BT305" s="36"/>
      <c r="BU305" s="114" t="s">
        <v>674</v>
      </c>
    </row>
    <row r="306" s="1" customFormat="1" customHeight="1" spans="1:73">
      <c r="A306" s="28" t="s">
        <v>700</v>
      </c>
      <c r="B306" s="15" t="s">
        <v>715</v>
      </c>
      <c r="C306" s="16">
        <v>761</v>
      </c>
      <c r="D306" s="29"/>
      <c r="E306" s="30"/>
      <c r="F306" s="29"/>
      <c r="G306" s="29"/>
      <c r="H306" s="29"/>
      <c r="I306" s="30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30"/>
      <c r="AH306" s="29"/>
      <c r="AI306" s="29"/>
      <c r="AJ306" s="29"/>
      <c r="AK306" s="30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0">
        <f t="shared" si="36"/>
        <v>0</v>
      </c>
      <c r="BO306" s="20">
        <f t="shared" si="37"/>
        <v>0</v>
      </c>
      <c r="BP306" s="20">
        <f t="shared" si="38"/>
        <v>761</v>
      </c>
      <c r="BQ306" s="51">
        <f>0.5*0.16*BP306</f>
        <v>60.88</v>
      </c>
      <c r="BR306" s="56" t="s">
        <v>716</v>
      </c>
      <c r="BS306" s="91" t="s">
        <v>717</v>
      </c>
      <c r="BT306" s="36"/>
      <c r="BU306" s="114" t="s">
        <v>674</v>
      </c>
    </row>
    <row r="307" s="1" customFormat="1" customHeight="1" spans="1:73">
      <c r="A307" s="28" t="s">
        <v>700</v>
      </c>
      <c r="B307" s="15" t="s">
        <v>718</v>
      </c>
      <c r="C307" s="16">
        <v>410</v>
      </c>
      <c r="D307" s="29"/>
      <c r="E307" s="30"/>
      <c r="F307" s="29"/>
      <c r="G307" s="29"/>
      <c r="H307" s="29"/>
      <c r="I307" s="30">
        <v>15</v>
      </c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30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0">
        <f t="shared" si="36"/>
        <v>0</v>
      </c>
      <c r="BO307" s="20">
        <f t="shared" si="37"/>
        <v>15</v>
      </c>
      <c r="BP307" s="20">
        <f t="shared" si="38"/>
        <v>395</v>
      </c>
      <c r="BQ307" s="51">
        <f>0.48*0.28*BP307</f>
        <v>53.088</v>
      </c>
      <c r="BR307" s="56" t="s">
        <v>719</v>
      </c>
      <c r="BS307" s="91" t="s">
        <v>720</v>
      </c>
      <c r="BT307" s="36" t="s">
        <v>721</v>
      </c>
      <c r="BU307" s="114" t="s">
        <v>674</v>
      </c>
    </row>
    <row r="308" s="1" customFormat="1" customHeight="1" spans="1:73">
      <c r="A308" s="28" t="s">
        <v>700</v>
      </c>
      <c r="B308" s="15" t="s">
        <v>722</v>
      </c>
      <c r="C308" s="16">
        <v>421</v>
      </c>
      <c r="D308" s="29"/>
      <c r="E308" s="30"/>
      <c r="F308" s="29"/>
      <c r="G308" s="29"/>
      <c r="H308" s="29"/>
      <c r="I308" s="30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30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0">
        <f t="shared" si="36"/>
        <v>0</v>
      </c>
      <c r="BO308" s="20">
        <f t="shared" si="37"/>
        <v>0</v>
      </c>
      <c r="BP308" s="20">
        <f t="shared" si="38"/>
        <v>421</v>
      </c>
      <c r="BQ308" s="51">
        <f>0.48*0.31*BP308</f>
        <v>62.6448</v>
      </c>
      <c r="BR308" s="56" t="s">
        <v>719</v>
      </c>
      <c r="BS308" s="91" t="s">
        <v>720</v>
      </c>
      <c r="BT308" s="36"/>
      <c r="BU308" s="114" t="s">
        <v>674</v>
      </c>
    </row>
    <row r="309" s="1" customFormat="1" customHeight="1" spans="1:73">
      <c r="A309" s="28" t="s">
        <v>700</v>
      </c>
      <c r="B309" s="15" t="s">
        <v>723</v>
      </c>
      <c r="C309" s="16">
        <v>15</v>
      </c>
      <c r="D309" s="29"/>
      <c r="E309" s="30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30"/>
      <c r="AH309" s="29"/>
      <c r="AI309" s="29"/>
      <c r="AJ309" s="29"/>
      <c r="AK309" s="30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0">
        <f t="shared" si="36"/>
        <v>0</v>
      </c>
      <c r="BO309" s="20">
        <f t="shared" si="37"/>
        <v>0</v>
      </c>
      <c r="BP309" s="20">
        <f t="shared" si="38"/>
        <v>15</v>
      </c>
      <c r="BQ309" s="51">
        <f>0.435*0.435*BP309</f>
        <v>2.838375</v>
      </c>
      <c r="BR309" s="56" t="s">
        <v>574</v>
      </c>
      <c r="BS309" s="91" t="s">
        <v>592</v>
      </c>
      <c r="BT309" s="36" t="s">
        <v>724</v>
      </c>
      <c r="BU309" s="114" t="s">
        <v>674</v>
      </c>
    </row>
    <row r="310" s="1" customFormat="1" customHeight="1" spans="1:73">
      <c r="A310" s="28" t="s">
        <v>700</v>
      </c>
      <c r="B310" s="15" t="s">
        <v>675</v>
      </c>
      <c r="C310" s="16">
        <v>802</v>
      </c>
      <c r="D310" s="29"/>
      <c r="E310" s="30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30"/>
      <c r="AH310" s="29"/>
      <c r="AI310" s="29"/>
      <c r="AJ310" s="29"/>
      <c r="AK310" s="30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0">
        <f t="shared" si="36"/>
        <v>0</v>
      </c>
      <c r="BO310" s="20">
        <f t="shared" si="37"/>
        <v>0</v>
      </c>
      <c r="BP310" s="20">
        <f t="shared" si="38"/>
        <v>802</v>
      </c>
      <c r="BQ310" s="51">
        <f>0.475*0.365*BP310</f>
        <v>139.04675</v>
      </c>
      <c r="BR310" s="56" t="s">
        <v>170</v>
      </c>
      <c r="BS310" s="91" t="s">
        <v>570</v>
      </c>
      <c r="BT310" s="36"/>
      <c r="BU310" s="114" t="s">
        <v>674</v>
      </c>
    </row>
    <row r="311" s="1" customFormat="1" customHeight="1" spans="1:73">
      <c r="A311" s="28" t="s">
        <v>700</v>
      </c>
      <c r="B311" s="15" t="s">
        <v>725</v>
      </c>
      <c r="C311" s="16">
        <v>23</v>
      </c>
      <c r="D311" s="29"/>
      <c r="E311" s="30"/>
      <c r="F311" s="29"/>
      <c r="G311" s="29"/>
      <c r="H311" s="29"/>
      <c r="I311" s="30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30"/>
      <c r="AH311" s="29"/>
      <c r="AI311" s="29"/>
      <c r="AJ311" s="29"/>
      <c r="AK311" s="30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0">
        <f t="shared" si="36"/>
        <v>0</v>
      </c>
      <c r="BO311" s="20">
        <f t="shared" si="37"/>
        <v>0</v>
      </c>
      <c r="BP311" s="20">
        <f t="shared" si="38"/>
        <v>23</v>
      </c>
      <c r="BQ311" s="51">
        <f>0.545*0.34*BP311</f>
        <v>4.2619</v>
      </c>
      <c r="BR311" s="56" t="s">
        <v>726</v>
      </c>
      <c r="BS311" s="91" t="s">
        <v>727</v>
      </c>
      <c r="BT311" s="36" t="s">
        <v>728</v>
      </c>
      <c r="BU311" s="114" t="s">
        <v>674</v>
      </c>
    </row>
    <row r="312" s="1" customFormat="1" customHeight="1" spans="1:73">
      <c r="A312" s="28" t="s">
        <v>700</v>
      </c>
      <c r="B312" s="15" t="s">
        <v>729</v>
      </c>
      <c r="C312" s="16">
        <v>104</v>
      </c>
      <c r="D312" s="29"/>
      <c r="E312" s="30"/>
      <c r="F312" s="29"/>
      <c r="G312" s="29"/>
      <c r="H312" s="29"/>
      <c r="I312" s="30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30"/>
      <c r="AH312" s="29"/>
      <c r="AI312" s="29"/>
      <c r="AJ312" s="29"/>
      <c r="AK312" s="30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0">
        <f t="shared" si="36"/>
        <v>0</v>
      </c>
      <c r="BO312" s="20">
        <f t="shared" si="37"/>
        <v>0</v>
      </c>
      <c r="BP312" s="20">
        <f t="shared" si="38"/>
        <v>104</v>
      </c>
      <c r="BQ312" s="51">
        <f>0.57*0.32*BP312</f>
        <v>18.9696</v>
      </c>
      <c r="BR312" s="56" t="s">
        <v>102</v>
      </c>
      <c r="BS312" s="91" t="s">
        <v>730</v>
      </c>
      <c r="BT312" s="36"/>
      <c r="BU312" s="114" t="s">
        <v>674</v>
      </c>
    </row>
    <row r="313" s="1" customFormat="1" customHeight="1" spans="1:73">
      <c r="A313" s="28" t="s">
        <v>700</v>
      </c>
      <c r="B313" s="15" t="s">
        <v>731</v>
      </c>
      <c r="C313" s="16">
        <v>40</v>
      </c>
      <c r="D313" s="29"/>
      <c r="E313" s="30"/>
      <c r="F313" s="29"/>
      <c r="G313" s="29"/>
      <c r="H313" s="29"/>
      <c r="I313" s="30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30"/>
      <c r="AH313" s="29"/>
      <c r="AI313" s="29"/>
      <c r="AJ313" s="29"/>
      <c r="AK313" s="30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0">
        <f t="shared" si="36"/>
        <v>0</v>
      </c>
      <c r="BO313" s="20">
        <f t="shared" si="37"/>
        <v>0</v>
      </c>
      <c r="BP313" s="20">
        <f t="shared" si="38"/>
        <v>40</v>
      </c>
      <c r="BQ313" s="51">
        <f>0.57*0.32*BP313</f>
        <v>7.296</v>
      </c>
      <c r="BR313" s="56" t="s">
        <v>679</v>
      </c>
      <c r="BS313" s="91" t="s">
        <v>680</v>
      </c>
      <c r="BT313" s="36"/>
      <c r="BU313" s="114" t="s">
        <v>674</v>
      </c>
    </row>
    <row r="314" s="1" customFormat="1" customHeight="1" spans="1:73">
      <c r="A314" s="15" t="s">
        <v>700</v>
      </c>
      <c r="B314" s="15">
        <v>100</v>
      </c>
      <c r="C314" s="16">
        <v>473</v>
      </c>
      <c r="D314" s="29"/>
      <c r="E314" s="30"/>
      <c r="F314" s="29"/>
      <c r="G314" s="30"/>
      <c r="H314" s="29"/>
      <c r="I314" s="29"/>
      <c r="J314" s="29"/>
      <c r="K314" s="29">
        <v>10</v>
      </c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30"/>
      <c r="X314" s="29"/>
      <c r="Y314" s="29"/>
      <c r="Z314" s="29"/>
      <c r="AA314" s="29"/>
      <c r="AB314" s="29"/>
      <c r="AC314" s="30"/>
      <c r="AD314" s="29"/>
      <c r="AE314" s="29"/>
      <c r="AF314" s="29"/>
      <c r="AG314" s="30"/>
      <c r="AH314" s="29"/>
      <c r="AI314" s="29"/>
      <c r="AJ314" s="29"/>
      <c r="AK314" s="30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0">
        <f t="shared" si="36"/>
        <v>0</v>
      </c>
      <c r="BO314" s="20">
        <f t="shared" si="37"/>
        <v>10</v>
      </c>
      <c r="BP314" s="20">
        <f t="shared" si="38"/>
        <v>463</v>
      </c>
      <c r="BQ314" s="51">
        <f t="shared" ref="BQ314:BQ347" si="39">B314/1000*BP314</f>
        <v>46.3</v>
      </c>
      <c r="BR314" s="56" t="s">
        <v>732</v>
      </c>
      <c r="BS314" s="91" t="s">
        <v>730</v>
      </c>
      <c r="BT314" s="36"/>
      <c r="BU314" s="35" t="s">
        <v>733</v>
      </c>
    </row>
    <row r="315" s="1" customFormat="1" customHeight="1" spans="1:73">
      <c r="A315" s="15" t="s">
        <v>700</v>
      </c>
      <c r="B315" s="15">
        <v>110</v>
      </c>
      <c r="C315" s="16">
        <v>361</v>
      </c>
      <c r="D315" s="29"/>
      <c r="E315" s="30"/>
      <c r="F315" s="29"/>
      <c r="G315" s="30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30"/>
      <c r="X315" s="29"/>
      <c r="Y315" s="29"/>
      <c r="Z315" s="29"/>
      <c r="AA315" s="29"/>
      <c r="AB315" s="29"/>
      <c r="AC315" s="30"/>
      <c r="AD315" s="29"/>
      <c r="AE315" s="29"/>
      <c r="AF315" s="29"/>
      <c r="AG315" s="30"/>
      <c r="AH315" s="29"/>
      <c r="AI315" s="29"/>
      <c r="AJ315" s="29"/>
      <c r="AK315" s="30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0">
        <f t="shared" si="36"/>
        <v>0</v>
      </c>
      <c r="BO315" s="20">
        <f t="shared" si="37"/>
        <v>0</v>
      </c>
      <c r="BP315" s="20">
        <f t="shared" si="38"/>
        <v>361</v>
      </c>
      <c r="BQ315" s="51">
        <f t="shared" si="39"/>
        <v>39.71</v>
      </c>
      <c r="BR315" s="56" t="s">
        <v>219</v>
      </c>
      <c r="BS315" s="91" t="s">
        <v>704</v>
      </c>
      <c r="BT315" s="36"/>
      <c r="BU315" s="35" t="s">
        <v>733</v>
      </c>
    </row>
    <row r="316" s="1" customFormat="1" customHeight="1" spans="1:73">
      <c r="A316" s="39" t="s">
        <v>700</v>
      </c>
      <c r="B316" s="15">
        <v>120</v>
      </c>
      <c r="C316" s="16">
        <v>344</v>
      </c>
      <c r="D316" s="29"/>
      <c r="E316" s="30"/>
      <c r="F316" s="29"/>
      <c r="G316" s="30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30"/>
      <c r="X316" s="29"/>
      <c r="Y316" s="29"/>
      <c r="Z316" s="29"/>
      <c r="AA316" s="29"/>
      <c r="AB316" s="29"/>
      <c r="AC316" s="29"/>
      <c r="AD316" s="29"/>
      <c r="AE316" s="29"/>
      <c r="AF316" s="29"/>
      <c r="AG316" s="30"/>
      <c r="AH316" s="29"/>
      <c r="AI316" s="29"/>
      <c r="AJ316" s="29"/>
      <c r="AK316" s="30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0">
        <f t="shared" si="36"/>
        <v>0</v>
      </c>
      <c r="BO316" s="20">
        <f t="shared" si="37"/>
        <v>0</v>
      </c>
      <c r="BP316" s="20">
        <f t="shared" si="38"/>
        <v>344</v>
      </c>
      <c r="BQ316" s="51">
        <f t="shared" si="39"/>
        <v>41.28</v>
      </c>
      <c r="BR316" s="56" t="s">
        <v>102</v>
      </c>
      <c r="BS316" s="120" t="s">
        <v>734</v>
      </c>
      <c r="BT316" s="36" t="s">
        <v>735</v>
      </c>
      <c r="BU316" s="35" t="s">
        <v>733</v>
      </c>
    </row>
    <row r="317" s="1" customFormat="1" customHeight="1" spans="1:73">
      <c r="A317" s="39" t="s">
        <v>700</v>
      </c>
      <c r="B317" s="15">
        <v>125</v>
      </c>
      <c r="C317" s="16">
        <v>225</v>
      </c>
      <c r="D317" s="29"/>
      <c r="E317" s="30"/>
      <c r="F317" s="29"/>
      <c r="G317" s="30"/>
      <c r="H317" s="29"/>
      <c r="I317" s="29"/>
      <c r="J317" s="29">
        <v>83</v>
      </c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30"/>
      <c r="X317" s="29"/>
      <c r="Y317" s="29"/>
      <c r="Z317" s="29"/>
      <c r="AA317" s="29"/>
      <c r="AB317" s="29"/>
      <c r="AC317" s="29"/>
      <c r="AD317" s="29"/>
      <c r="AE317" s="29"/>
      <c r="AF317" s="29"/>
      <c r="AG317" s="30"/>
      <c r="AH317" s="29"/>
      <c r="AI317" s="29"/>
      <c r="AJ317" s="29"/>
      <c r="AK317" s="30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0">
        <f t="shared" si="36"/>
        <v>83</v>
      </c>
      <c r="BO317" s="20">
        <f t="shared" si="37"/>
        <v>0</v>
      </c>
      <c r="BP317" s="20">
        <f t="shared" si="38"/>
        <v>308</v>
      </c>
      <c r="BQ317" s="51">
        <f t="shared" si="39"/>
        <v>38.5</v>
      </c>
      <c r="BR317" s="56" t="s">
        <v>683</v>
      </c>
      <c r="BS317" s="120" t="s">
        <v>736</v>
      </c>
      <c r="BT317" s="36"/>
      <c r="BU317" s="35" t="s">
        <v>733</v>
      </c>
    </row>
    <row r="318" s="1" customFormat="1" customHeight="1" spans="1:73">
      <c r="A318" s="39" t="s">
        <v>700</v>
      </c>
      <c r="B318" s="15">
        <v>144</v>
      </c>
      <c r="C318" s="16">
        <v>406</v>
      </c>
      <c r="D318" s="29"/>
      <c r="E318" s="30"/>
      <c r="F318" s="29"/>
      <c r="G318" s="30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30"/>
      <c r="X318" s="29"/>
      <c r="Y318" s="29"/>
      <c r="Z318" s="29"/>
      <c r="AA318" s="29"/>
      <c r="AB318" s="29"/>
      <c r="AC318" s="29"/>
      <c r="AD318" s="29"/>
      <c r="AE318" s="29"/>
      <c r="AF318" s="29"/>
      <c r="AG318" s="30"/>
      <c r="AH318" s="29"/>
      <c r="AI318" s="29"/>
      <c r="AJ318" s="29"/>
      <c r="AK318" s="30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0">
        <f t="shared" si="36"/>
        <v>0</v>
      </c>
      <c r="BO318" s="20">
        <f t="shared" si="37"/>
        <v>0</v>
      </c>
      <c r="BP318" s="20">
        <f t="shared" si="38"/>
        <v>406</v>
      </c>
      <c r="BQ318" s="51">
        <f t="shared" si="39"/>
        <v>58.464</v>
      </c>
      <c r="BR318" s="56" t="s">
        <v>170</v>
      </c>
      <c r="BS318" s="91" t="s">
        <v>570</v>
      </c>
      <c r="BT318" s="36"/>
      <c r="BU318" s="35" t="s">
        <v>733</v>
      </c>
    </row>
    <row r="319" s="1" customFormat="1" customHeight="1" spans="1:73">
      <c r="A319" s="39" t="s">
        <v>700</v>
      </c>
      <c r="B319" s="15">
        <v>155</v>
      </c>
      <c r="C319" s="16">
        <v>281</v>
      </c>
      <c r="D319" s="29"/>
      <c r="E319" s="30"/>
      <c r="F319" s="29"/>
      <c r="G319" s="30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30"/>
      <c r="X319" s="29"/>
      <c r="Y319" s="29"/>
      <c r="Z319" s="29"/>
      <c r="AA319" s="29"/>
      <c r="AB319" s="29"/>
      <c r="AC319" s="29"/>
      <c r="AD319" s="29"/>
      <c r="AE319" s="29"/>
      <c r="AF319" s="29"/>
      <c r="AG319" s="30"/>
      <c r="AH319" s="29"/>
      <c r="AI319" s="29"/>
      <c r="AJ319" s="29"/>
      <c r="AK319" s="30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0">
        <f t="shared" si="36"/>
        <v>0</v>
      </c>
      <c r="BO319" s="20">
        <f t="shared" si="37"/>
        <v>0</v>
      </c>
      <c r="BP319" s="20">
        <f t="shared" si="38"/>
        <v>281</v>
      </c>
      <c r="BQ319" s="51">
        <f t="shared" si="39"/>
        <v>43.555</v>
      </c>
      <c r="BR319" s="56" t="s">
        <v>170</v>
      </c>
      <c r="BS319" s="91" t="s">
        <v>570</v>
      </c>
      <c r="BT319" s="36"/>
      <c r="BU319" s="35" t="s">
        <v>733</v>
      </c>
    </row>
    <row r="320" s="1" customFormat="1" customHeight="1" spans="1:73">
      <c r="A320" s="15" t="s">
        <v>700</v>
      </c>
      <c r="B320" s="15">
        <v>165</v>
      </c>
      <c r="C320" s="16">
        <v>351</v>
      </c>
      <c r="D320" s="29"/>
      <c r="E320" s="30"/>
      <c r="F320" s="29"/>
      <c r="G320" s="29"/>
      <c r="H320" s="29"/>
      <c r="I320" s="30"/>
      <c r="J320" s="29"/>
      <c r="K320" s="29"/>
      <c r="L320" s="29"/>
      <c r="M320" s="29"/>
      <c r="N320" s="29"/>
      <c r="O320" s="29"/>
      <c r="P320" s="29"/>
      <c r="Q320" s="29"/>
      <c r="R320" s="29"/>
      <c r="S320" s="30"/>
      <c r="T320" s="29"/>
      <c r="U320" s="29"/>
      <c r="V320" s="29"/>
      <c r="W320" s="29"/>
      <c r="X320" s="29"/>
      <c r="Y320" s="30"/>
      <c r="Z320" s="29"/>
      <c r="AA320" s="29"/>
      <c r="AB320" s="29"/>
      <c r="AC320" s="30"/>
      <c r="AD320" s="29"/>
      <c r="AE320" s="29"/>
      <c r="AF320" s="29"/>
      <c r="AG320" s="30"/>
      <c r="AH320" s="29"/>
      <c r="AI320" s="29"/>
      <c r="AJ320" s="29"/>
      <c r="AK320" s="30"/>
      <c r="AL320" s="29"/>
      <c r="AM320" s="29"/>
      <c r="AN320" s="29"/>
      <c r="AO320" s="30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0">
        <f t="shared" si="36"/>
        <v>0</v>
      </c>
      <c r="BO320" s="20">
        <f t="shared" si="37"/>
        <v>0</v>
      </c>
      <c r="BP320" s="20">
        <f t="shared" si="38"/>
        <v>351</v>
      </c>
      <c r="BQ320" s="51">
        <f t="shared" si="39"/>
        <v>57.915</v>
      </c>
      <c r="BR320" s="56" t="s">
        <v>737</v>
      </c>
      <c r="BS320" s="91" t="s">
        <v>570</v>
      </c>
      <c r="BT320" s="36"/>
      <c r="BU320" s="35" t="s">
        <v>733</v>
      </c>
    </row>
    <row r="321" s="1" customFormat="1" customHeight="1" spans="1:73">
      <c r="A321" s="15" t="s">
        <v>700</v>
      </c>
      <c r="B321" s="15">
        <v>175</v>
      </c>
      <c r="C321" s="16">
        <v>143</v>
      </c>
      <c r="D321" s="29"/>
      <c r="E321" s="30"/>
      <c r="F321" s="29"/>
      <c r="G321" s="29"/>
      <c r="H321" s="29"/>
      <c r="I321" s="30"/>
      <c r="J321" s="29"/>
      <c r="K321" s="29"/>
      <c r="L321" s="29"/>
      <c r="M321" s="29"/>
      <c r="N321" s="29"/>
      <c r="O321" s="29"/>
      <c r="P321" s="29"/>
      <c r="Q321" s="29"/>
      <c r="R321" s="29"/>
      <c r="S321" s="30"/>
      <c r="T321" s="29"/>
      <c r="U321" s="29"/>
      <c r="V321" s="29"/>
      <c r="W321" s="29"/>
      <c r="X321" s="29"/>
      <c r="Y321" s="30"/>
      <c r="Z321" s="29"/>
      <c r="AA321" s="29"/>
      <c r="AB321" s="29"/>
      <c r="AC321" s="30"/>
      <c r="AD321" s="29"/>
      <c r="AE321" s="29"/>
      <c r="AF321" s="29"/>
      <c r="AG321" s="30"/>
      <c r="AH321" s="29"/>
      <c r="AI321" s="29"/>
      <c r="AJ321" s="29"/>
      <c r="AK321" s="30"/>
      <c r="AL321" s="29"/>
      <c r="AM321" s="29"/>
      <c r="AN321" s="29"/>
      <c r="AO321" s="30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0">
        <f t="shared" si="36"/>
        <v>0</v>
      </c>
      <c r="BO321" s="20">
        <f t="shared" si="37"/>
        <v>0</v>
      </c>
      <c r="BP321" s="20">
        <f t="shared" si="38"/>
        <v>143</v>
      </c>
      <c r="BQ321" s="51">
        <f t="shared" si="39"/>
        <v>25.025</v>
      </c>
      <c r="BR321" s="56" t="s">
        <v>683</v>
      </c>
      <c r="BS321" s="91" t="s">
        <v>570</v>
      </c>
      <c r="BT321" s="36"/>
      <c r="BU321" s="35" t="s">
        <v>733</v>
      </c>
    </row>
    <row r="322" s="1" customFormat="1" customHeight="1" spans="1:73">
      <c r="A322" s="15" t="s">
        <v>700</v>
      </c>
      <c r="B322" s="15">
        <v>185</v>
      </c>
      <c r="C322" s="16">
        <v>256</v>
      </c>
      <c r="D322" s="29"/>
      <c r="E322" s="30"/>
      <c r="F322" s="29"/>
      <c r="G322" s="29"/>
      <c r="H322" s="29"/>
      <c r="I322" s="30"/>
      <c r="J322" s="29"/>
      <c r="K322" s="29"/>
      <c r="L322" s="29"/>
      <c r="M322" s="29"/>
      <c r="N322" s="29"/>
      <c r="O322" s="29"/>
      <c r="P322" s="29"/>
      <c r="Q322" s="29"/>
      <c r="R322" s="29"/>
      <c r="S322" s="30"/>
      <c r="T322" s="29"/>
      <c r="U322" s="29"/>
      <c r="V322" s="29"/>
      <c r="W322" s="29"/>
      <c r="X322" s="29"/>
      <c r="Y322" s="30"/>
      <c r="Z322" s="29"/>
      <c r="AA322" s="29"/>
      <c r="AB322" s="29"/>
      <c r="AC322" s="30"/>
      <c r="AD322" s="29"/>
      <c r="AE322" s="29"/>
      <c r="AF322" s="29"/>
      <c r="AG322" s="30"/>
      <c r="AH322" s="29"/>
      <c r="AI322" s="29"/>
      <c r="AJ322" s="29"/>
      <c r="AK322" s="30"/>
      <c r="AL322" s="29"/>
      <c r="AM322" s="29"/>
      <c r="AN322" s="29"/>
      <c r="AO322" s="30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0">
        <f t="shared" si="36"/>
        <v>0</v>
      </c>
      <c r="BO322" s="20">
        <f t="shared" si="37"/>
        <v>0</v>
      </c>
      <c r="BP322" s="20">
        <f t="shared" si="38"/>
        <v>256</v>
      </c>
      <c r="BQ322" s="51">
        <f t="shared" si="39"/>
        <v>47.36</v>
      </c>
      <c r="BR322" s="56" t="s">
        <v>685</v>
      </c>
      <c r="BS322" s="91" t="s">
        <v>720</v>
      </c>
      <c r="BT322" s="57"/>
      <c r="BU322" s="35" t="s">
        <v>733</v>
      </c>
    </row>
    <row r="323" s="1" customFormat="1" customHeight="1" spans="1:73">
      <c r="A323" s="15" t="s">
        <v>700</v>
      </c>
      <c r="B323" s="15">
        <v>190</v>
      </c>
      <c r="C323" s="16">
        <v>75</v>
      </c>
      <c r="D323" s="29"/>
      <c r="E323" s="30"/>
      <c r="F323" s="29"/>
      <c r="G323" s="29"/>
      <c r="H323" s="29"/>
      <c r="I323" s="30"/>
      <c r="J323" s="29"/>
      <c r="K323" s="29"/>
      <c r="L323" s="29"/>
      <c r="M323" s="29"/>
      <c r="N323" s="29"/>
      <c r="O323" s="29"/>
      <c r="P323" s="29"/>
      <c r="Q323" s="29"/>
      <c r="R323" s="29"/>
      <c r="S323" s="30"/>
      <c r="T323" s="29"/>
      <c r="U323" s="29"/>
      <c r="V323" s="29"/>
      <c r="W323" s="29"/>
      <c r="X323" s="29"/>
      <c r="Y323" s="30"/>
      <c r="Z323" s="29"/>
      <c r="AA323" s="29"/>
      <c r="AB323" s="29"/>
      <c r="AC323" s="30"/>
      <c r="AD323" s="29"/>
      <c r="AE323" s="29"/>
      <c r="AF323" s="29"/>
      <c r="AG323" s="30"/>
      <c r="AH323" s="29"/>
      <c r="AI323" s="29"/>
      <c r="AJ323" s="29"/>
      <c r="AK323" s="30"/>
      <c r="AL323" s="29"/>
      <c r="AM323" s="29"/>
      <c r="AN323" s="29"/>
      <c r="AO323" s="30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0">
        <f t="shared" si="36"/>
        <v>0</v>
      </c>
      <c r="BO323" s="20">
        <f t="shared" si="37"/>
        <v>0</v>
      </c>
      <c r="BP323" s="20">
        <f t="shared" si="38"/>
        <v>75</v>
      </c>
      <c r="BQ323" s="51">
        <f t="shared" si="39"/>
        <v>14.25</v>
      </c>
      <c r="BR323" s="56" t="s">
        <v>170</v>
      </c>
      <c r="BS323" s="91" t="s">
        <v>570</v>
      </c>
      <c r="BT323" s="57"/>
      <c r="BU323" s="35" t="s">
        <v>733</v>
      </c>
    </row>
    <row r="324" s="1" customFormat="1" customHeight="1" spans="1:73">
      <c r="A324" s="15" t="s">
        <v>700</v>
      </c>
      <c r="B324" s="15">
        <v>195</v>
      </c>
      <c r="C324" s="16">
        <v>273</v>
      </c>
      <c r="D324" s="29"/>
      <c r="E324" s="30"/>
      <c r="F324" s="29"/>
      <c r="G324" s="29"/>
      <c r="H324" s="29"/>
      <c r="I324" s="30"/>
      <c r="J324" s="29"/>
      <c r="K324" s="29"/>
      <c r="L324" s="29"/>
      <c r="M324" s="29"/>
      <c r="N324" s="29"/>
      <c r="O324" s="29"/>
      <c r="P324" s="29"/>
      <c r="Q324" s="29"/>
      <c r="R324" s="29"/>
      <c r="S324" s="30"/>
      <c r="T324" s="29"/>
      <c r="U324" s="29"/>
      <c r="V324" s="29"/>
      <c r="W324" s="29"/>
      <c r="X324" s="29"/>
      <c r="Y324" s="30"/>
      <c r="Z324" s="29"/>
      <c r="AA324" s="29"/>
      <c r="AB324" s="29"/>
      <c r="AC324" s="30"/>
      <c r="AD324" s="29"/>
      <c r="AE324" s="29"/>
      <c r="AF324" s="29"/>
      <c r="AG324" s="30"/>
      <c r="AH324" s="29"/>
      <c r="AI324" s="29"/>
      <c r="AJ324" s="29"/>
      <c r="AK324" s="30"/>
      <c r="AL324" s="29"/>
      <c r="AM324" s="29"/>
      <c r="AN324" s="29"/>
      <c r="AO324" s="30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0">
        <f t="shared" si="36"/>
        <v>0</v>
      </c>
      <c r="BO324" s="20">
        <f t="shared" si="37"/>
        <v>0</v>
      </c>
      <c r="BP324" s="20">
        <f t="shared" si="38"/>
        <v>273</v>
      </c>
      <c r="BQ324" s="51">
        <f t="shared" si="39"/>
        <v>53.235</v>
      </c>
      <c r="BR324" s="56" t="s">
        <v>692</v>
      </c>
      <c r="BS324" s="91" t="s">
        <v>704</v>
      </c>
      <c r="BT324" s="36"/>
      <c r="BU324" s="35" t="s">
        <v>733</v>
      </c>
    </row>
    <row r="325" s="1" customFormat="1" customHeight="1" spans="1:73">
      <c r="A325" s="15" t="s">
        <v>700</v>
      </c>
      <c r="B325" s="15">
        <v>200</v>
      </c>
      <c r="C325" s="16">
        <v>165</v>
      </c>
      <c r="D325" s="29"/>
      <c r="E325" s="30"/>
      <c r="F325" s="29"/>
      <c r="G325" s="29"/>
      <c r="H325" s="29"/>
      <c r="I325" s="30"/>
      <c r="J325" s="29"/>
      <c r="K325" s="29"/>
      <c r="L325" s="29"/>
      <c r="M325" s="29"/>
      <c r="N325" s="29"/>
      <c r="O325" s="29"/>
      <c r="P325" s="29"/>
      <c r="Q325" s="29"/>
      <c r="R325" s="29"/>
      <c r="S325" s="30"/>
      <c r="T325" s="29"/>
      <c r="U325" s="29"/>
      <c r="V325" s="29"/>
      <c r="W325" s="29"/>
      <c r="X325" s="29"/>
      <c r="Y325" s="30"/>
      <c r="Z325" s="29"/>
      <c r="AA325" s="29"/>
      <c r="AB325" s="29"/>
      <c r="AC325" s="30"/>
      <c r="AD325" s="29"/>
      <c r="AE325" s="29"/>
      <c r="AF325" s="29"/>
      <c r="AG325" s="30"/>
      <c r="AH325" s="29"/>
      <c r="AI325" s="29"/>
      <c r="AJ325" s="29"/>
      <c r="AK325" s="30"/>
      <c r="AL325" s="29"/>
      <c r="AM325" s="29"/>
      <c r="AN325" s="29"/>
      <c r="AO325" s="30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0">
        <f t="shared" si="36"/>
        <v>0</v>
      </c>
      <c r="BO325" s="20">
        <f t="shared" si="37"/>
        <v>0</v>
      </c>
      <c r="BP325" s="20">
        <f t="shared" si="38"/>
        <v>165</v>
      </c>
      <c r="BQ325" s="51">
        <f t="shared" si="39"/>
        <v>33</v>
      </c>
      <c r="BR325" s="56" t="s">
        <v>170</v>
      </c>
      <c r="BS325" s="91" t="s">
        <v>570</v>
      </c>
      <c r="BT325" s="36"/>
      <c r="BU325" s="35" t="s">
        <v>733</v>
      </c>
    </row>
    <row r="326" s="1" customFormat="1" customHeight="1" spans="1:73">
      <c r="A326" s="39" t="s">
        <v>700</v>
      </c>
      <c r="B326" s="15">
        <v>210</v>
      </c>
      <c r="C326" s="16">
        <v>34</v>
      </c>
      <c r="D326" s="29"/>
      <c r="E326" s="30"/>
      <c r="F326" s="29"/>
      <c r="G326" s="29"/>
      <c r="H326" s="29"/>
      <c r="I326" s="29">
        <v>1.5</v>
      </c>
      <c r="J326" s="29"/>
      <c r="K326" s="29"/>
      <c r="L326" s="29"/>
      <c r="M326" s="29"/>
      <c r="N326" s="29"/>
      <c r="O326" s="29"/>
      <c r="P326" s="29"/>
      <c r="Q326" s="29"/>
      <c r="R326" s="29"/>
      <c r="S326" s="30"/>
      <c r="T326" s="29"/>
      <c r="U326" s="29"/>
      <c r="V326" s="29"/>
      <c r="W326" s="29"/>
      <c r="X326" s="29"/>
      <c r="Y326" s="30"/>
      <c r="Z326" s="29"/>
      <c r="AA326" s="29"/>
      <c r="AB326" s="29"/>
      <c r="AC326" s="30"/>
      <c r="AD326" s="29"/>
      <c r="AE326" s="29"/>
      <c r="AF326" s="29"/>
      <c r="AG326" s="30"/>
      <c r="AH326" s="29"/>
      <c r="AI326" s="29"/>
      <c r="AJ326" s="29"/>
      <c r="AK326" s="30"/>
      <c r="AL326" s="29"/>
      <c r="AM326" s="29"/>
      <c r="AN326" s="29"/>
      <c r="AO326" s="30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0">
        <f t="shared" si="36"/>
        <v>0</v>
      </c>
      <c r="BO326" s="20">
        <f t="shared" si="37"/>
        <v>1.5</v>
      </c>
      <c r="BP326" s="20">
        <f t="shared" si="38"/>
        <v>32.5</v>
      </c>
      <c r="BQ326" s="51">
        <f t="shared" si="39"/>
        <v>6.825</v>
      </c>
      <c r="BR326" s="56" t="s">
        <v>719</v>
      </c>
      <c r="BS326" s="91" t="s">
        <v>570</v>
      </c>
      <c r="BT326" s="36"/>
      <c r="BU326" s="35" t="s">
        <v>733</v>
      </c>
    </row>
    <row r="327" s="1" customFormat="1" customHeight="1" spans="1:73">
      <c r="A327" s="15" t="s">
        <v>700</v>
      </c>
      <c r="B327" s="15">
        <v>235</v>
      </c>
      <c r="C327" s="16">
        <v>198</v>
      </c>
      <c r="D327" s="29"/>
      <c r="E327" s="30"/>
      <c r="F327" s="29"/>
      <c r="G327" s="29"/>
      <c r="H327" s="29"/>
      <c r="I327" s="30"/>
      <c r="J327" s="29"/>
      <c r="K327" s="29"/>
      <c r="L327" s="29"/>
      <c r="M327" s="29">
        <v>4</v>
      </c>
      <c r="N327" s="29"/>
      <c r="O327" s="29"/>
      <c r="P327" s="29"/>
      <c r="Q327" s="29"/>
      <c r="R327" s="29"/>
      <c r="S327" s="30"/>
      <c r="T327" s="29"/>
      <c r="U327" s="29"/>
      <c r="V327" s="29"/>
      <c r="W327" s="29"/>
      <c r="X327" s="29"/>
      <c r="Y327" s="30"/>
      <c r="Z327" s="29"/>
      <c r="AA327" s="29"/>
      <c r="AB327" s="29"/>
      <c r="AC327" s="30"/>
      <c r="AD327" s="29"/>
      <c r="AE327" s="29"/>
      <c r="AF327" s="29"/>
      <c r="AG327" s="30"/>
      <c r="AH327" s="29"/>
      <c r="AI327" s="29"/>
      <c r="AJ327" s="29"/>
      <c r="AK327" s="30"/>
      <c r="AL327" s="29"/>
      <c r="AM327" s="29"/>
      <c r="AN327" s="29"/>
      <c r="AO327" s="30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0">
        <f t="shared" si="36"/>
        <v>0</v>
      </c>
      <c r="BO327" s="20">
        <f t="shared" si="37"/>
        <v>4</v>
      </c>
      <c r="BP327" s="20">
        <f t="shared" si="38"/>
        <v>194</v>
      </c>
      <c r="BQ327" s="51">
        <f t="shared" si="39"/>
        <v>45.59</v>
      </c>
      <c r="BR327" s="56" t="s">
        <v>685</v>
      </c>
      <c r="BS327" s="91" t="s">
        <v>720</v>
      </c>
      <c r="BT327" s="78" t="s">
        <v>738</v>
      </c>
      <c r="BU327" s="35" t="s">
        <v>733</v>
      </c>
    </row>
    <row r="328" s="1" customFormat="1" customHeight="1" spans="1:73">
      <c r="A328" s="15" t="s">
        <v>700</v>
      </c>
      <c r="B328" s="15">
        <v>245</v>
      </c>
      <c r="C328" s="16">
        <v>460</v>
      </c>
      <c r="D328" s="29"/>
      <c r="E328" s="30"/>
      <c r="F328" s="29"/>
      <c r="G328" s="29"/>
      <c r="H328" s="29"/>
      <c r="I328" s="30"/>
      <c r="J328" s="29"/>
      <c r="K328" s="29"/>
      <c r="L328" s="29"/>
      <c r="M328" s="29"/>
      <c r="N328" s="29"/>
      <c r="O328" s="29"/>
      <c r="P328" s="29"/>
      <c r="Q328" s="29"/>
      <c r="R328" s="29"/>
      <c r="S328" s="30"/>
      <c r="T328" s="29"/>
      <c r="U328" s="29"/>
      <c r="V328" s="29"/>
      <c r="W328" s="29"/>
      <c r="X328" s="29"/>
      <c r="Y328" s="30"/>
      <c r="Z328" s="29"/>
      <c r="AA328" s="29"/>
      <c r="AB328" s="29"/>
      <c r="AC328" s="30"/>
      <c r="AD328" s="29"/>
      <c r="AE328" s="29"/>
      <c r="AF328" s="29"/>
      <c r="AG328" s="30"/>
      <c r="AH328" s="29"/>
      <c r="AI328" s="29"/>
      <c r="AJ328" s="29"/>
      <c r="AK328" s="30"/>
      <c r="AL328" s="29"/>
      <c r="AM328" s="29"/>
      <c r="AN328" s="29"/>
      <c r="AO328" s="30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0">
        <f t="shared" si="36"/>
        <v>0</v>
      </c>
      <c r="BO328" s="20">
        <f t="shared" si="37"/>
        <v>0</v>
      </c>
      <c r="BP328" s="20">
        <f t="shared" si="38"/>
        <v>460</v>
      </c>
      <c r="BQ328" s="51">
        <f t="shared" si="39"/>
        <v>112.7</v>
      </c>
      <c r="BR328" s="56" t="s">
        <v>739</v>
      </c>
      <c r="BS328" s="91" t="s">
        <v>740</v>
      </c>
      <c r="BT328" s="57"/>
      <c r="BU328" s="35" t="s">
        <v>733</v>
      </c>
    </row>
    <row r="329" s="1" customFormat="1" customHeight="1" spans="1:73">
      <c r="A329" s="15" t="s">
        <v>700</v>
      </c>
      <c r="B329" s="15">
        <v>250</v>
      </c>
      <c r="C329" s="16">
        <v>100</v>
      </c>
      <c r="D329" s="29"/>
      <c r="E329" s="30"/>
      <c r="F329" s="29"/>
      <c r="G329" s="29"/>
      <c r="H329" s="29"/>
      <c r="I329" s="30">
        <v>22</v>
      </c>
      <c r="J329" s="29"/>
      <c r="K329" s="29"/>
      <c r="L329" s="29"/>
      <c r="M329" s="29"/>
      <c r="N329" s="29"/>
      <c r="O329" s="29"/>
      <c r="P329" s="29"/>
      <c r="Q329" s="29"/>
      <c r="R329" s="29"/>
      <c r="S329" s="30"/>
      <c r="T329" s="29"/>
      <c r="U329" s="29"/>
      <c r="V329" s="29"/>
      <c r="W329" s="29"/>
      <c r="X329" s="29"/>
      <c r="Y329" s="30"/>
      <c r="Z329" s="29"/>
      <c r="AA329" s="29"/>
      <c r="AB329" s="29"/>
      <c r="AC329" s="30"/>
      <c r="AD329" s="29"/>
      <c r="AE329" s="29"/>
      <c r="AF329" s="29"/>
      <c r="AG329" s="30"/>
      <c r="AH329" s="29"/>
      <c r="AI329" s="29"/>
      <c r="AJ329" s="29"/>
      <c r="AK329" s="30"/>
      <c r="AL329" s="29"/>
      <c r="AM329" s="29"/>
      <c r="AN329" s="29"/>
      <c r="AO329" s="30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0">
        <f t="shared" si="36"/>
        <v>0</v>
      </c>
      <c r="BO329" s="20">
        <f t="shared" si="37"/>
        <v>22</v>
      </c>
      <c r="BP329" s="20">
        <f t="shared" si="38"/>
        <v>78</v>
      </c>
      <c r="BQ329" s="51">
        <f t="shared" si="39"/>
        <v>19.5</v>
      </c>
      <c r="BR329" s="56" t="s">
        <v>685</v>
      </c>
      <c r="BS329" s="121" t="s">
        <v>704</v>
      </c>
      <c r="BT329" s="57"/>
      <c r="BU329" s="35" t="s">
        <v>733</v>
      </c>
    </row>
    <row r="330" s="1" customFormat="1" customHeight="1" spans="1:73">
      <c r="A330" s="15" t="s">
        <v>700</v>
      </c>
      <c r="B330" s="15">
        <v>260</v>
      </c>
      <c r="C330" s="16">
        <v>251</v>
      </c>
      <c r="D330" s="29"/>
      <c r="E330" s="30"/>
      <c r="F330" s="29"/>
      <c r="G330" s="29"/>
      <c r="H330" s="29"/>
      <c r="I330" s="30"/>
      <c r="J330" s="29"/>
      <c r="K330" s="29"/>
      <c r="L330" s="29"/>
      <c r="M330" s="29"/>
      <c r="N330" s="29"/>
      <c r="O330" s="29"/>
      <c r="P330" s="29"/>
      <c r="Q330" s="29"/>
      <c r="R330" s="29"/>
      <c r="S330" s="30"/>
      <c r="T330" s="29"/>
      <c r="U330" s="29"/>
      <c r="V330" s="29"/>
      <c r="W330" s="29"/>
      <c r="X330" s="29"/>
      <c r="Y330" s="30"/>
      <c r="Z330" s="29"/>
      <c r="AA330" s="29"/>
      <c r="AB330" s="29"/>
      <c r="AC330" s="30"/>
      <c r="AD330" s="29"/>
      <c r="AE330" s="29"/>
      <c r="AF330" s="29"/>
      <c r="AG330" s="30"/>
      <c r="AH330" s="29"/>
      <c r="AI330" s="29"/>
      <c r="AJ330" s="29"/>
      <c r="AK330" s="30"/>
      <c r="AL330" s="29"/>
      <c r="AM330" s="29"/>
      <c r="AN330" s="29"/>
      <c r="AO330" s="30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0">
        <f t="shared" si="36"/>
        <v>0</v>
      </c>
      <c r="BO330" s="20">
        <f t="shared" si="37"/>
        <v>0</v>
      </c>
      <c r="BP330" s="20">
        <f t="shared" si="38"/>
        <v>251</v>
      </c>
      <c r="BQ330" s="51">
        <f t="shared" si="39"/>
        <v>65.26</v>
      </c>
      <c r="BR330" s="56" t="s">
        <v>688</v>
      </c>
      <c r="BS330" s="121" t="s">
        <v>704</v>
      </c>
      <c r="BT330" s="78"/>
      <c r="BU330" s="35" t="s">
        <v>733</v>
      </c>
    </row>
    <row r="331" s="2" customFormat="1" customHeight="1" spans="1:73">
      <c r="A331" s="15" t="s">
        <v>700</v>
      </c>
      <c r="B331" s="15">
        <v>270</v>
      </c>
      <c r="C331" s="16">
        <v>174</v>
      </c>
      <c r="D331" s="29"/>
      <c r="E331" s="30"/>
      <c r="F331" s="29"/>
      <c r="G331" s="29"/>
      <c r="H331" s="29"/>
      <c r="I331" s="29">
        <v>47</v>
      </c>
      <c r="J331" s="29"/>
      <c r="K331" s="29"/>
      <c r="L331" s="29"/>
      <c r="M331" s="29"/>
      <c r="N331" s="29"/>
      <c r="O331" s="30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30"/>
      <c r="AH331" s="29"/>
      <c r="AI331" s="29"/>
      <c r="AJ331" s="29"/>
      <c r="AK331" s="30"/>
      <c r="AL331" s="29"/>
      <c r="AM331" s="29"/>
      <c r="AN331" s="29"/>
      <c r="AO331" s="29"/>
      <c r="AP331" s="29"/>
      <c r="AQ331" s="29"/>
      <c r="AR331" s="29"/>
      <c r="AS331" s="30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0">
        <f t="shared" si="36"/>
        <v>0</v>
      </c>
      <c r="BO331" s="20">
        <f t="shared" si="37"/>
        <v>47</v>
      </c>
      <c r="BP331" s="20">
        <f t="shared" si="38"/>
        <v>127</v>
      </c>
      <c r="BQ331" s="51">
        <f t="shared" si="39"/>
        <v>34.29</v>
      </c>
      <c r="BR331" s="56" t="s">
        <v>688</v>
      </c>
      <c r="BS331" s="91" t="s">
        <v>704</v>
      </c>
      <c r="BT331" s="57"/>
      <c r="BU331" s="35" t="s">
        <v>733</v>
      </c>
    </row>
    <row r="332" s="1" customFormat="1" customHeight="1" spans="1:73">
      <c r="A332" s="15" t="s">
        <v>700</v>
      </c>
      <c r="B332" s="15">
        <v>280</v>
      </c>
      <c r="C332" s="16">
        <v>300</v>
      </c>
      <c r="D332" s="29"/>
      <c r="E332" s="30"/>
      <c r="F332" s="29"/>
      <c r="G332" s="29"/>
      <c r="H332" s="29"/>
      <c r="I332" s="29">
        <v>80</v>
      </c>
      <c r="J332" s="29"/>
      <c r="K332" s="29"/>
      <c r="L332" s="29"/>
      <c r="M332" s="29"/>
      <c r="N332" s="29"/>
      <c r="O332" s="30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30"/>
      <c r="AH332" s="29"/>
      <c r="AI332" s="29"/>
      <c r="AJ332" s="29"/>
      <c r="AK332" s="30"/>
      <c r="AL332" s="29"/>
      <c r="AM332" s="29"/>
      <c r="AN332" s="29"/>
      <c r="AO332" s="29"/>
      <c r="AP332" s="29"/>
      <c r="AQ332" s="29"/>
      <c r="AR332" s="29"/>
      <c r="AS332" s="30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0">
        <f t="shared" si="36"/>
        <v>0</v>
      </c>
      <c r="BO332" s="20">
        <f t="shared" si="37"/>
        <v>80</v>
      </c>
      <c r="BP332" s="20">
        <f t="shared" si="38"/>
        <v>220</v>
      </c>
      <c r="BQ332" s="51">
        <f t="shared" si="39"/>
        <v>61.6</v>
      </c>
      <c r="BR332" s="56" t="s">
        <v>741</v>
      </c>
      <c r="BS332" s="91" t="s">
        <v>720</v>
      </c>
      <c r="BT332" s="36" t="s">
        <v>742</v>
      </c>
      <c r="BU332" s="35" t="s">
        <v>733</v>
      </c>
    </row>
    <row r="333" s="1" customFormat="1" customHeight="1" spans="1:73">
      <c r="A333" s="15" t="s">
        <v>700</v>
      </c>
      <c r="B333" s="15">
        <v>290</v>
      </c>
      <c r="C333" s="16">
        <v>112</v>
      </c>
      <c r="D333" s="29"/>
      <c r="E333" s="30"/>
      <c r="F333" s="29"/>
      <c r="G333" s="29"/>
      <c r="H333" s="29"/>
      <c r="I333" s="29"/>
      <c r="J333" s="29"/>
      <c r="K333" s="29"/>
      <c r="L333" s="29"/>
      <c r="M333" s="29"/>
      <c r="N333" s="29"/>
      <c r="O333" s="30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30"/>
      <c r="AH333" s="29"/>
      <c r="AI333" s="29"/>
      <c r="AJ333" s="29"/>
      <c r="AK333" s="30"/>
      <c r="AL333" s="29"/>
      <c r="AM333" s="29"/>
      <c r="AN333" s="29"/>
      <c r="AO333" s="29"/>
      <c r="AP333" s="29"/>
      <c r="AQ333" s="29"/>
      <c r="AR333" s="29"/>
      <c r="AS333" s="30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0">
        <f t="shared" si="36"/>
        <v>0</v>
      </c>
      <c r="BO333" s="20">
        <f t="shared" si="37"/>
        <v>0</v>
      </c>
      <c r="BP333" s="20">
        <f t="shared" si="38"/>
        <v>112</v>
      </c>
      <c r="BQ333" s="51">
        <f t="shared" si="39"/>
        <v>32.48</v>
      </c>
      <c r="BR333" s="56" t="s">
        <v>170</v>
      </c>
      <c r="BS333" s="91" t="s">
        <v>570</v>
      </c>
      <c r="BT333" s="36"/>
      <c r="BU333" s="35" t="s">
        <v>733</v>
      </c>
    </row>
    <row r="334" s="1" customFormat="1" customHeight="1" spans="1:73">
      <c r="A334" s="15" t="s">
        <v>700</v>
      </c>
      <c r="B334" s="15">
        <v>305</v>
      </c>
      <c r="C334" s="16">
        <v>20</v>
      </c>
      <c r="D334" s="29"/>
      <c r="E334" s="30"/>
      <c r="F334" s="29"/>
      <c r="G334" s="29"/>
      <c r="H334" s="29"/>
      <c r="I334" s="29"/>
      <c r="J334" s="29"/>
      <c r="K334" s="29"/>
      <c r="L334" s="29"/>
      <c r="M334" s="29"/>
      <c r="N334" s="29"/>
      <c r="O334" s="30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30"/>
      <c r="AH334" s="29"/>
      <c r="AI334" s="29"/>
      <c r="AJ334" s="29"/>
      <c r="AK334" s="30"/>
      <c r="AL334" s="29"/>
      <c r="AM334" s="29"/>
      <c r="AN334" s="29"/>
      <c r="AO334" s="29"/>
      <c r="AP334" s="29"/>
      <c r="AQ334" s="29"/>
      <c r="AR334" s="29"/>
      <c r="AS334" s="30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0">
        <f t="shared" si="36"/>
        <v>0</v>
      </c>
      <c r="BO334" s="20">
        <f t="shared" si="37"/>
        <v>0</v>
      </c>
      <c r="BP334" s="20">
        <f t="shared" si="38"/>
        <v>20</v>
      </c>
      <c r="BQ334" s="51">
        <f t="shared" si="39"/>
        <v>6.1</v>
      </c>
      <c r="BR334" s="56" t="s">
        <v>679</v>
      </c>
      <c r="BS334" s="91" t="s">
        <v>680</v>
      </c>
      <c r="BT334" s="36"/>
      <c r="BU334" s="35" t="s">
        <v>733</v>
      </c>
    </row>
    <row r="335" s="1" customFormat="1" customHeight="1" spans="1:73">
      <c r="A335" s="15" t="s">
        <v>700</v>
      </c>
      <c r="B335" s="15">
        <v>310</v>
      </c>
      <c r="C335" s="16">
        <v>123</v>
      </c>
      <c r="D335" s="29"/>
      <c r="E335" s="30"/>
      <c r="F335" s="29"/>
      <c r="G335" s="29"/>
      <c r="H335" s="29"/>
      <c r="I335" s="29"/>
      <c r="J335" s="29"/>
      <c r="K335" s="29"/>
      <c r="L335" s="29"/>
      <c r="M335" s="29"/>
      <c r="N335" s="29"/>
      <c r="O335" s="30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30"/>
      <c r="AH335" s="29"/>
      <c r="AI335" s="29"/>
      <c r="AJ335" s="29"/>
      <c r="AK335" s="30"/>
      <c r="AL335" s="29"/>
      <c r="AM335" s="29"/>
      <c r="AN335" s="29"/>
      <c r="AO335" s="29"/>
      <c r="AP335" s="29"/>
      <c r="AQ335" s="29"/>
      <c r="AR335" s="29"/>
      <c r="AS335" s="30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0">
        <f t="shared" si="36"/>
        <v>0</v>
      </c>
      <c r="BO335" s="20">
        <f t="shared" si="37"/>
        <v>0</v>
      </c>
      <c r="BP335" s="20">
        <f t="shared" si="38"/>
        <v>123</v>
      </c>
      <c r="BQ335" s="51">
        <f t="shared" si="39"/>
        <v>38.13</v>
      </c>
      <c r="BR335" s="56" t="s">
        <v>170</v>
      </c>
      <c r="BS335" s="91" t="s">
        <v>570</v>
      </c>
      <c r="BT335" s="36"/>
      <c r="BU335" s="35" t="s">
        <v>733</v>
      </c>
    </row>
    <row r="336" s="1" customFormat="1" customHeight="1" spans="1:73">
      <c r="A336" s="15" t="s">
        <v>700</v>
      </c>
      <c r="B336" s="15">
        <v>320</v>
      </c>
      <c r="C336" s="16">
        <v>527</v>
      </c>
      <c r="D336" s="29"/>
      <c r="E336" s="30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30"/>
      <c r="AD336" s="29"/>
      <c r="AE336" s="29"/>
      <c r="AF336" s="29"/>
      <c r="AG336" s="30"/>
      <c r="AH336" s="29"/>
      <c r="AI336" s="29"/>
      <c r="AJ336" s="29"/>
      <c r="AK336" s="30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82"/>
      <c r="BN336" s="20">
        <f t="shared" si="36"/>
        <v>0</v>
      </c>
      <c r="BO336" s="20">
        <f t="shared" si="37"/>
        <v>0</v>
      </c>
      <c r="BP336" s="20">
        <f t="shared" si="38"/>
        <v>527</v>
      </c>
      <c r="BQ336" s="51">
        <f t="shared" si="39"/>
        <v>168.64</v>
      </c>
      <c r="BR336" s="56" t="s">
        <v>690</v>
      </c>
      <c r="BS336" s="91" t="s">
        <v>696</v>
      </c>
      <c r="BT336" s="36" t="s">
        <v>743</v>
      </c>
      <c r="BU336" s="35" t="s">
        <v>733</v>
      </c>
    </row>
    <row r="337" s="1" customFormat="1" customHeight="1" spans="1:73">
      <c r="A337" s="15" t="s">
        <v>700</v>
      </c>
      <c r="B337" s="15">
        <v>330</v>
      </c>
      <c r="C337" s="16">
        <v>320</v>
      </c>
      <c r="D337" s="29"/>
      <c r="E337" s="30"/>
      <c r="F337" s="29"/>
      <c r="G337" s="29"/>
      <c r="H337" s="29"/>
      <c r="I337" s="29">
        <v>237</v>
      </c>
      <c r="J337" s="29"/>
      <c r="K337" s="29">
        <v>83</v>
      </c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30"/>
      <c r="AH337" s="29"/>
      <c r="AI337" s="29"/>
      <c r="AJ337" s="29"/>
      <c r="AK337" s="30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0">
        <f t="shared" si="36"/>
        <v>0</v>
      </c>
      <c r="BO337" s="20">
        <f t="shared" si="37"/>
        <v>320</v>
      </c>
      <c r="BP337" s="20">
        <f t="shared" si="38"/>
        <v>0</v>
      </c>
      <c r="BQ337" s="51">
        <f t="shared" si="39"/>
        <v>0</v>
      </c>
      <c r="BR337" s="56" t="s">
        <v>732</v>
      </c>
      <c r="BS337" s="91" t="s">
        <v>720</v>
      </c>
      <c r="BT337" s="57"/>
      <c r="BU337" s="35" t="s">
        <v>733</v>
      </c>
    </row>
    <row r="338" s="1" customFormat="1" customHeight="1" spans="1:73">
      <c r="A338" s="39" t="s">
        <v>700</v>
      </c>
      <c r="B338" s="15">
        <v>335</v>
      </c>
      <c r="C338" s="16">
        <v>310</v>
      </c>
      <c r="D338" s="29"/>
      <c r="E338" s="30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30"/>
      <c r="AH338" s="29"/>
      <c r="AI338" s="29"/>
      <c r="AJ338" s="29"/>
      <c r="AK338" s="30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0">
        <f t="shared" si="36"/>
        <v>0</v>
      </c>
      <c r="BO338" s="20">
        <f t="shared" si="37"/>
        <v>0</v>
      </c>
      <c r="BP338" s="20">
        <f t="shared" si="38"/>
        <v>310</v>
      </c>
      <c r="BQ338" s="51">
        <f t="shared" si="39"/>
        <v>103.85</v>
      </c>
      <c r="BR338" s="56" t="s">
        <v>265</v>
      </c>
      <c r="BS338" s="91" t="s">
        <v>704</v>
      </c>
      <c r="BT338" s="36" t="s">
        <v>742</v>
      </c>
      <c r="BU338" s="35" t="s">
        <v>733</v>
      </c>
    </row>
    <row r="339" s="1" customFormat="1" customHeight="1" spans="1:73">
      <c r="A339" s="15" t="s">
        <v>700</v>
      </c>
      <c r="B339" s="15">
        <v>350</v>
      </c>
      <c r="C339" s="16">
        <v>83</v>
      </c>
      <c r="D339" s="29"/>
      <c r="E339" s="30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30"/>
      <c r="AD339" s="29"/>
      <c r="AE339" s="30"/>
      <c r="AF339" s="29"/>
      <c r="AG339" s="30"/>
      <c r="AH339" s="29"/>
      <c r="AI339" s="29"/>
      <c r="AJ339" s="29"/>
      <c r="AK339" s="30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0">
        <f t="shared" si="36"/>
        <v>0</v>
      </c>
      <c r="BO339" s="20">
        <f t="shared" si="37"/>
        <v>0</v>
      </c>
      <c r="BP339" s="20">
        <f t="shared" si="38"/>
        <v>83</v>
      </c>
      <c r="BQ339" s="51">
        <f t="shared" si="39"/>
        <v>29.05</v>
      </c>
      <c r="BR339" s="56" t="s">
        <v>170</v>
      </c>
      <c r="BS339" s="91" t="s">
        <v>570</v>
      </c>
      <c r="BT339" s="57"/>
      <c r="BU339" s="35" t="s">
        <v>733</v>
      </c>
    </row>
    <row r="340" s="1" customFormat="1" customHeight="1" spans="1:73">
      <c r="A340" s="15" t="s">
        <v>700</v>
      </c>
      <c r="B340" s="15">
        <v>360</v>
      </c>
      <c r="C340" s="16">
        <v>229</v>
      </c>
      <c r="D340" s="29"/>
      <c r="E340" s="30"/>
      <c r="F340" s="29"/>
      <c r="G340" s="29"/>
      <c r="H340" s="29"/>
      <c r="I340" s="29">
        <v>70</v>
      </c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30"/>
      <c r="AD340" s="29"/>
      <c r="AE340" s="29"/>
      <c r="AF340" s="29"/>
      <c r="AG340" s="30"/>
      <c r="AH340" s="29"/>
      <c r="AI340" s="29"/>
      <c r="AJ340" s="29"/>
      <c r="AK340" s="30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0">
        <f t="shared" si="36"/>
        <v>0</v>
      </c>
      <c r="BO340" s="20">
        <f t="shared" si="37"/>
        <v>70</v>
      </c>
      <c r="BP340" s="20">
        <f t="shared" si="38"/>
        <v>159</v>
      </c>
      <c r="BQ340" s="51">
        <f t="shared" si="39"/>
        <v>57.24</v>
      </c>
      <c r="BR340" s="56" t="s">
        <v>610</v>
      </c>
      <c r="BS340" s="91" t="s">
        <v>744</v>
      </c>
      <c r="BT340" s="57"/>
      <c r="BU340" s="35" t="s">
        <v>733</v>
      </c>
    </row>
    <row r="341" s="1" customFormat="1" customHeight="1" spans="1:73">
      <c r="A341" s="15" t="s">
        <v>700</v>
      </c>
      <c r="B341" s="15">
        <v>370</v>
      </c>
      <c r="C341" s="16">
        <v>3</v>
      </c>
      <c r="D341" s="29"/>
      <c r="E341" s="30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30"/>
      <c r="AD341" s="29"/>
      <c r="AE341" s="29"/>
      <c r="AF341" s="29"/>
      <c r="AG341" s="30"/>
      <c r="AH341" s="29"/>
      <c r="AI341" s="29"/>
      <c r="AJ341" s="29"/>
      <c r="AK341" s="30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0">
        <f t="shared" si="36"/>
        <v>0</v>
      </c>
      <c r="BO341" s="20">
        <f t="shared" si="37"/>
        <v>0</v>
      </c>
      <c r="BP341" s="20">
        <f t="shared" si="38"/>
        <v>3</v>
      </c>
      <c r="BQ341" s="51">
        <f t="shared" si="39"/>
        <v>1.11</v>
      </c>
      <c r="BR341" s="56" t="s">
        <v>665</v>
      </c>
      <c r="BS341" s="91" t="s">
        <v>698</v>
      </c>
      <c r="BT341" s="57"/>
      <c r="BU341" s="35" t="s">
        <v>733</v>
      </c>
    </row>
    <row r="342" s="1" customFormat="1" customHeight="1" spans="1:73">
      <c r="A342" s="15" t="s">
        <v>700</v>
      </c>
      <c r="B342" s="15">
        <v>405</v>
      </c>
      <c r="C342" s="16">
        <v>9</v>
      </c>
      <c r="D342" s="29"/>
      <c r="E342" s="30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30"/>
      <c r="AD342" s="29"/>
      <c r="AE342" s="29"/>
      <c r="AF342" s="29"/>
      <c r="AG342" s="30"/>
      <c r="AH342" s="29"/>
      <c r="AI342" s="29"/>
      <c r="AJ342" s="29"/>
      <c r="AK342" s="30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0">
        <f t="shared" si="36"/>
        <v>0</v>
      </c>
      <c r="BO342" s="20">
        <f t="shared" si="37"/>
        <v>0</v>
      </c>
      <c r="BP342" s="20">
        <f t="shared" si="38"/>
        <v>9</v>
      </c>
      <c r="BQ342" s="51">
        <f t="shared" si="39"/>
        <v>3.645</v>
      </c>
      <c r="BR342" s="56" t="s">
        <v>247</v>
      </c>
      <c r="BS342" s="91" t="s">
        <v>745</v>
      </c>
      <c r="BT342" s="57"/>
      <c r="BU342" s="35" t="s">
        <v>733</v>
      </c>
    </row>
    <row r="343" s="1" customFormat="1" customHeight="1" spans="1:73">
      <c r="A343" s="15" t="s">
        <v>700</v>
      </c>
      <c r="B343" s="15">
        <v>480</v>
      </c>
      <c r="C343" s="16">
        <v>174</v>
      </c>
      <c r="D343" s="29"/>
      <c r="E343" s="30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30"/>
      <c r="AD343" s="29"/>
      <c r="AE343" s="29"/>
      <c r="AF343" s="29"/>
      <c r="AG343" s="30"/>
      <c r="AH343" s="29"/>
      <c r="AI343" s="29"/>
      <c r="AJ343" s="29"/>
      <c r="AK343" s="30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0">
        <f t="shared" si="36"/>
        <v>0</v>
      </c>
      <c r="BO343" s="20">
        <f t="shared" si="37"/>
        <v>0</v>
      </c>
      <c r="BP343" s="20">
        <f t="shared" si="38"/>
        <v>174</v>
      </c>
      <c r="BQ343" s="51">
        <f t="shared" si="39"/>
        <v>83.52</v>
      </c>
      <c r="BR343" s="56" t="s">
        <v>719</v>
      </c>
      <c r="BS343" s="91" t="s">
        <v>720</v>
      </c>
      <c r="BT343" s="36"/>
      <c r="BU343" s="35" t="s">
        <v>733</v>
      </c>
    </row>
    <row r="344" s="1" customFormat="1" customHeight="1" spans="1:73">
      <c r="A344" s="15" t="s">
        <v>700</v>
      </c>
      <c r="B344" s="15">
        <v>505</v>
      </c>
      <c r="C344" s="16">
        <v>1</v>
      </c>
      <c r="D344" s="29"/>
      <c r="E344" s="30"/>
      <c r="F344" s="29"/>
      <c r="G344" s="29"/>
      <c r="H344" s="29">
        <v>109</v>
      </c>
      <c r="I344" s="29">
        <v>110</v>
      </c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30"/>
      <c r="AD344" s="29"/>
      <c r="AE344" s="29"/>
      <c r="AF344" s="29"/>
      <c r="AG344" s="30"/>
      <c r="AH344" s="29"/>
      <c r="AI344" s="29"/>
      <c r="AJ344" s="29"/>
      <c r="AK344" s="30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0">
        <f t="shared" si="36"/>
        <v>109</v>
      </c>
      <c r="BO344" s="20">
        <f t="shared" si="37"/>
        <v>110</v>
      </c>
      <c r="BP344" s="20">
        <f t="shared" si="38"/>
        <v>0</v>
      </c>
      <c r="BQ344" s="51">
        <f t="shared" si="39"/>
        <v>0</v>
      </c>
      <c r="BR344" s="56" t="s">
        <v>719</v>
      </c>
      <c r="BS344" s="91" t="s">
        <v>720</v>
      </c>
      <c r="BT344" s="57" t="s">
        <v>746</v>
      </c>
      <c r="BU344" s="35" t="s">
        <v>733</v>
      </c>
    </row>
    <row r="345" s="1" customFormat="1" customHeight="1" spans="1:73">
      <c r="A345" s="15" t="s">
        <v>700</v>
      </c>
      <c r="B345" s="15">
        <v>510</v>
      </c>
      <c r="C345" s="16">
        <v>82</v>
      </c>
      <c r="D345" s="29"/>
      <c r="E345" s="30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30"/>
      <c r="AD345" s="29"/>
      <c r="AE345" s="29"/>
      <c r="AF345" s="29"/>
      <c r="AG345" s="30"/>
      <c r="AH345" s="29"/>
      <c r="AI345" s="29"/>
      <c r="AJ345" s="29"/>
      <c r="AK345" s="30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0">
        <f t="shared" si="36"/>
        <v>0</v>
      </c>
      <c r="BO345" s="20">
        <f t="shared" si="37"/>
        <v>0</v>
      </c>
      <c r="BP345" s="20">
        <f t="shared" si="38"/>
        <v>82</v>
      </c>
      <c r="BQ345" s="51">
        <f t="shared" si="39"/>
        <v>41.82</v>
      </c>
      <c r="BR345" s="56" t="s">
        <v>170</v>
      </c>
      <c r="BS345" s="91" t="s">
        <v>570</v>
      </c>
      <c r="BT345" s="57"/>
      <c r="BU345" s="35" t="s">
        <v>733</v>
      </c>
    </row>
    <row r="346" s="1" customFormat="1" customHeight="1" spans="1:73">
      <c r="A346" s="15" t="s">
        <v>700</v>
      </c>
      <c r="B346" s="15">
        <v>570</v>
      </c>
      <c r="C346" s="16">
        <v>25</v>
      </c>
      <c r="D346" s="29"/>
      <c r="E346" s="30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30"/>
      <c r="AD346" s="29"/>
      <c r="AE346" s="29"/>
      <c r="AF346" s="29"/>
      <c r="AG346" s="30"/>
      <c r="AH346" s="29"/>
      <c r="AI346" s="29"/>
      <c r="AJ346" s="29"/>
      <c r="AK346" s="30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0">
        <f t="shared" si="36"/>
        <v>0</v>
      </c>
      <c r="BO346" s="20">
        <f t="shared" si="37"/>
        <v>0</v>
      </c>
      <c r="BP346" s="20">
        <f t="shared" si="38"/>
        <v>25</v>
      </c>
      <c r="BQ346" s="51">
        <f t="shared" si="39"/>
        <v>14.25</v>
      </c>
      <c r="BR346" s="56" t="s">
        <v>747</v>
      </c>
      <c r="BS346" s="91" t="s">
        <v>748</v>
      </c>
      <c r="BT346" s="36" t="s">
        <v>749</v>
      </c>
      <c r="BU346" s="24" t="s">
        <v>118</v>
      </c>
    </row>
    <row r="347" s="1" customFormat="1" customHeight="1" spans="1:73">
      <c r="A347" s="15" t="s">
        <v>750</v>
      </c>
      <c r="B347" s="15">
        <v>500</v>
      </c>
      <c r="C347" s="16">
        <v>60</v>
      </c>
      <c r="D347" s="29"/>
      <c r="E347" s="30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30"/>
      <c r="AD347" s="29"/>
      <c r="AE347" s="29"/>
      <c r="AF347" s="29"/>
      <c r="AG347" s="30"/>
      <c r="AH347" s="29"/>
      <c r="AI347" s="29"/>
      <c r="AJ347" s="29"/>
      <c r="AK347" s="30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0">
        <f t="shared" si="36"/>
        <v>0</v>
      </c>
      <c r="BO347" s="20">
        <f t="shared" si="37"/>
        <v>0</v>
      </c>
      <c r="BP347" s="20">
        <f t="shared" si="38"/>
        <v>60</v>
      </c>
      <c r="BQ347" s="51">
        <f t="shared" si="39"/>
        <v>30</v>
      </c>
      <c r="BR347" s="56" t="s">
        <v>280</v>
      </c>
      <c r="BS347" s="91" t="s">
        <v>578</v>
      </c>
      <c r="BT347" s="36"/>
      <c r="BU347" s="35" t="s">
        <v>733</v>
      </c>
    </row>
    <row r="348" s="1" customFormat="1" customHeight="1" spans="1:73">
      <c r="A348" s="53" t="s">
        <v>751</v>
      </c>
      <c r="B348" s="15"/>
      <c r="C348" s="16"/>
      <c r="D348" s="29"/>
      <c r="E348" s="30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30"/>
      <c r="AD348" s="29"/>
      <c r="AE348" s="29"/>
      <c r="AF348" s="29"/>
      <c r="AG348" s="30"/>
      <c r="AH348" s="29"/>
      <c r="AI348" s="29"/>
      <c r="AJ348" s="29"/>
      <c r="AK348" s="30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82"/>
      <c r="BN348" s="20">
        <f t="shared" si="36"/>
        <v>0</v>
      </c>
      <c r="BO348" s="20">
        <f t="shared" si="37"/>
        <v>0</v>
      </c>
      <c r="BP348" s="20">
        <f t="shared" si="38"/>
        <v>0</v>
      </c>
      <c r="BQ348" s="51"/>
      <c r="BR348" s="56"/>
      <c r="BS348" s="91"/>
      <c r="BT348" s="36"/>
      <c r="BU348" s="112"/>
    </row>
    <row r="349" s="1" customFormat="1" customHeight="1" spans="1:73">
      <c r="A349" s="15" t="s">
        <v>752</v>
      </c>
      <c r="B349" s="15">
        <v>130</v>
      </c>
      <c r="C349" s="16">
        <v>45</v>
      </c>
      <c r="D349" s="29"/>
      <c r="E349" s="30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30"/>
      <c r="AD349" s="29"/>
      <c r="AE349" s="29"/>
      <c r="AF349" s="29"/>
      <c r="AG349" s="30"/>
      <c r="AH349" s="29"/>
      <c r="AI349" s="29"/>
      <c r="AJ349" s="29"/>
      <c r="AK349" s="30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82"/>
      <c r="BN349" s="20">
        <f t="shared" si="36"/>
        <v>0</v>
      </c>
      <c r="BO349" s="20">
        <f t="shared" si="37"/>
        <v>0</v>
      </c>
      <c r="BP349" s="20">
        <f t="shared" si="38"/>
        <v>45</v>
      </c>
      <c r="BQ349" s="51">
        <f t="shared" ref="BQ349:BQ351" si="40">B349/1000*BP349</f>
        <v>5.85</v>
      </c>
      <c r="BR349" s="56" t="s">
        <v>332</v>
      </c>
      <c r="BS349" s="91" t="s">
        <v>753</v>
      </c>
      <c r="BT349" s="36"/>
      <c r="BU349" s="35" t="s">
        <v>754</v>
      </c>
    </row>
    <row r="350" s="1" customFormat="1" customHeight="1" spans="1:73">
      <c r="A350" s="15" t="s">
        <v>752</v>
      </c>
      <c r="B350" s="15">
        <v>240</v>
      </c>
      <c r="C350" s="16">
        <v>18</v>
      </c>
      <c r="D350" s="29"/>
      <c r="E350" s="30"/>
      <c r="F350" s="29"/>
      <c r="G350" s="29"/>
      <c r="H350" s="29"/>
      <c r="I350" s="30"/>
      <c r="J350" s="29"/>
      <c r="K350" s="30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30"/>
      <c r="AH350" s="29"/>
      <c r="AI350" s="29"/>
      <c r="AJ350" s="29"/>
      <c r="AK350" s="30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30"/>
      <c r="BL350" s="29"/>
      <c r="BM350" s="29"/>
      <c r="BN350" s="20">
        <f t="shared" si="36"/>
        <v>0</v>
      </c>
      <c r="BO350" s="20">
        <f t="shared" si="37"/>
        <v>0</v>
      </c>
      <c r="BP350" s="20">
        <f t="shared" si="38"/>
        <v>18</v>
      </c>
      <c r="BQ350" s="51">
        <f t="shared" si="40"/>
        <v>4.32</v>
      </c>
      <c r="BR350" s="56" t="s">
        <v>659</v>
      </c>
      <c r="BS350" s="91" t="s">
        <v>755</v>
      </c>
      <c r="BT350" s="36" t="s">
        <v>756</v>
      </c>
      <c r="BU350" s="35"/>
    </row>
    <row r="351" s="1" customFormat="1" customHeight="1" spans="1:73">
      <c r="A351" s="15" t="s">
        <v>752</v>
      </c>
      <c r="B351" s="15">
        <v>400</v>
      </c>
      <c r="C351" s="16">
        <v>67</v>
      </c>
      <c r="D351" s="29"/>
      <c r="E351" s="30"/>
      <c r="F351" s="29"/>
      <c r="G351" s="29"/>
      <c r="H351" s="29"/>
      <c r="I351" s="29"/>
      <c r="J351" s="29"/>
      <c r="K351" s="29"/>
      <c r="L351" s="29"/>
      <c r="M351" s="30"/>
      <c r="N351" s="29"/>
      <c r="O351" s="29"/>
      <c r="P351" s="29"/>
      <c r="Q351" s="29"/>
      <c r="R351" s="29"/>
      <c r="S351" s="29"/>
      <c r="T351" s="29"/>
      <c r="U351" s="29"/>
      <c r="V351" s="29"/>
      <c r="W351" s="30"/>
      <c r="X351" s="29"/>
      <c r="Y351" s="29"/>
      <c r="Z351" s="29"/>
      <c r="AA351" s="29"/>
      <c r="AB351" s="29"/>
      <c r="AC351" s="29"/>
      <c r="AD351" s="29"/>
      <c r="AE351" s="29"/>
      <c r="AF351" s="29"/>
      <c r="AG351" s="30"/>
      <c r="AH351" s="29"/>
      <c r="AI351" s="30"/>
      <c r="AJ351" s="29"/>
      <c r="AK351" s="30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0">
        <f t="shared" si="36"/>
        <v>0</v>
      </c>
      <c r="BO351" s="20">
        <f t="shared" si="37"/>
        <v>0</v>
      </c>
      <c r="BP351" s="20">
        <f t="shared" si="38"/>
        <v>67</v>
      </c>
      <c r="BQ351" s="51">
        <f t="shared" si="40"/>
        <v>26.8</v>
      </c>
      <c r="BR351" s="56" t="s">
        <v>737</v>
      </c>
      <c r="BS351" s="91" t="s">
        <v>693</v>
      </c>
      <c r="BT351" s="36" t="s">
        <v>757</v>
      </c>
      <c r="BU351" s="35" t="s">
        <v>754</v>
      </c>
    </row>
    <row r="352" s="1" customFormat="1" customHeight="1" spans="1:73">
      <c r="A352" s="15" t="s">
        <v>752</v>
      </c>
      <c r="B352" s="15" t="s">
        <v>758</v>
      </c>
      <c r="C352" s="16">
        <v>24</v>
      </c>
      <c r="D352" s="29"/>
      <c r="E352" s="30"/>
      <c r="F352" s="29"/>
      <c r="G352" s="29"/>
      <c r="H352" s="29"/>
      <c r="I352" s="29"/>
      <c r="J352" s="29"/>
      <c r="K352" s="29"/>
      <c r="L352" s="29"/>
      <c r="M352" s="30"/>
      <c r="N352" s="29"/>
      <c r="O352" s="29"/>
      <c r="P352" s="29"/>
      <c r="Q352" s="29"/>
      <c r="R352" s="29"/>
      <c r="S352" s="29"/>
      <c r="T352" s="29"/>
      <c r="U352" s="29"/>
      <c r="V352" s="29"/>
      <c r="W352" s="30"/>
      <c r="X352" s="29"/>
      <c r="Y352" s="29"/>
      <c r="Z352" s="29"/>
      <c r="AA352" s="29"/>
      <c r="AB352" s="29"/>
      <c r="AC352" s="29"/>
      <c r="AD352" s="29"/>
      <c r="AE352" s="29"/>
      <c r="AF352" s="29"/>
      <c r="AG352" s="30"/>
      <c r="AH352" s="29"/>
      <c r="AI352" s="30"/>
      <c r="AJ352" s="29"/>
      <c r="AK352" s="30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0">
        <f t="shared" si="36"/>
        <v>0</v>
      </c>
      <c r="BO352" s="20">
        <f t="shared" si="37"/>
        <v>0</v>
      </c>
      <c r="BP352" s="20">
        <f t="shared" si="38"/>
        <v>24</v>
      </c>
      <c r="BQ352" s="51">
        <f>0.5*0.53*BP352</f>
        <v>6.36</v>
      </c>
      <c r="BR352" s="56" t="s">
        <v>759</v>
      </c>
      <c r="BS352" s="91" t="s">
        <v>760</v>
      </c>
      <c r="BT352" s="36"/>
      <c r="BU352" s="35" t="s">
        <v>761</v>
      </c>
    </row>
    <row r="353" s="1" customFormat="1" customHeight="1" spans="1:73">
      <c r="A353" s="53" t="s">
        <v>762</v>
      </c>
      <c r="B353" s="15"/>
      <c r="C353" s="16"/>
      <c r="D353" s="29"/>
      <c r="E353" s="30"/>
      <c r="F353" s="29"/>
      <c r="G353" s="29"/>
      <c r="H353" s="29"/>
      <c r="I353" s="29"/>
      <c r="J353" s="29"/>
      <c r="K353" s="29"/>
      <c r="L353" s="29"/>
      <c r="M353" s="30"/>
      <c r="N353" s="29"/>
      <c r="O353" s="29"/>
      <c r="P353" s="29"/>
      <c r="Q353" s="29"/>
      <c r="R353" s="29"/>
      <c r="S353" s="29"/>
      <c r="T353" s="29"/>
      <c r="U353" s="29"/>
      <c r="V353" s="29"/>
      <c r="W353" s="30"/>
      <c r="X353" s="29"/>
      <c r="Y353" s="29"/>
      <c r="Z353" s="29"/>
      <c r="AA353" s="29"/>
      <c r="AB353" s="29"/>
      <c r="AC353" s="29"/>
      <c r="AD353" s="29"/>
      <c r="AE353" s="29"/>
      <c r="AF353" s="29"/>
      <c r="AG353" s="30"/>
      <c r="AH353" s="29"/>
      <c r="AI353" s="30"/>
      <c r="AJ353" s="29"/>
      <c r="AK353" s="30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0">
        <f t="shared" si="36"/>
        <v>0</v>
      </c>
      <c r="BO353" s="20">
        <f t="shared" si="37"/>
        <v>0</v>
      </c>
      <c r="BP353" s="20">
        <f t="shared" si="38"/>
        <v>0</v>
      </c>
      <c r="BQ353" s="51"/>
      <c r="BR353" s="56"/>
      <c r="BS353" s="91"/>
      <c r="BT353" s="36"/>
      <c r="BU353" s="112"/>
    </row>
    <row r="354" s="1" customFormat="1" customHeight="1" spans="1:73">
      <c r="A354" s="15" t="s">
        <v>763</v>
      </c>
      <c r="B354" s="15">
        <v>145</v>
      </c>
      <c r="C354" s="16">
        <v>23.5</v>
      </c>
      <c r="D354" s="29"/>
      <c r="E354" s="30"/>
      <c r="F354" s="29"/>
      <c r="G354" s="29"/>
      <c r="H354" s="29"/>
      <c r="I354" s="29"/>
      <c r="J354" s="29"/>
      <c r="K354" s="29"/>
      <c r="L354" s="29"/>
      <c r="M354" s="30"/>
      <c r="N354" s="29"/>
      <c r="O354" s="29"/>
      <c r="P354" s="29"/>
      <c r="Q354" s="29"/>
      <c r="R354" s="29"/>
      <c r="S354" s="29"/>
      <c r="T354" s="29"/>
      <c r="U354" s="29"/>
      <c r="V354" s="29"/>
      <c r="W354" s="30"/>
      <c r="X354" s="29"/>
      <c r="Y354" s="29"/>
      <c r="Z354" s="29"/>
      <c r="AA354" s="29"/>
      <c r="AB354" s="29"/>
      <c r="AC354" s="29"/>
      <c r="AD354" s="29"/>
      <c r="AE354" s="29"/>
      <c r="AF354" s="29"/>
      <c r="AG354" s="30"/>
      <c r="AH354" s="29"/>
      <c r="AI354" s="30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0">
        <f t="shared" si="36"/>
        <v>0</v>
      </c>
      <c r="BO354" s="20">
        <f t="shared" si="37"/>
        <v>0</v>
      </c>
      <c r="BP354" s="20">
        <f t="shared" si="38"/>
        <v>23.5</v>
      </c>
      <c r="BQ354" s="51">
        <f t="shared" ref="BQ354:BQ356" si="41">B354*BP354/1000</f>
        <v>3.4075</v>
      </c>
      <c r="BR354" s="56" t="s">
        <v>764</v>
      </c>
      <c r="BS354" s="91" t="s">
        <v>760</v>
      </c>
      <c r="BT354" s="36"/>
      <c r="BU354" s="35" t="s">
        <v>765</v>
      </c>
    </row>
    <row r="355" s="1" customFormat="1" customHeight="1" spans="1:73">
      <c r="A355" s="15" t="s">
        <v>763</v>
      </c>
      <c r="B355" s="15">
        <v>250</v>
      </c>
      <c r="C355" s="16">
        <v>147</v>
      </c>
      <c r="D355" s="29"/>
      <c r="E355" s="30"/>
      <c r="F355" s="29"/>
      <c r="G355" s="29"/>
      <c r="H355" s="29"/>
      <c r="I355" s="29"/>
      <c r="J355" s="29"/>
      <c r="K355" s="29"/>
      <c r="L355" s="29"/>
      <c r="M355" s="30"/>
      <c r="N355" s="29"/>
      <c r="O355" s="29"/>
      <c r="P355" s="29"/>
      <c r="Q355" s="29"/>
      <c r="R355" s="29"/>
      <c r="S355" s="29"/>
      <c r="T355" s="29"/>
      <c r="U355" s="29"/>
      <c r="V355" s="29"/>
      <c r="W355" s="30"/>
      <c r="X355" s="29"/>
      <c r="Y355" s="29"/>
      <c r="Z355" s="29"/>
      <c r="AA355" s="29"/>
      <c r="AB355" s="29"/>
      <c r="AC355" s="29"/>
      <c r="AD355" s="29"/>
      <c r="AE355" s="29"/>
      <c r="AF355" s="29"/>
      <c r="AG355" s="30"/>
      <c r="AH355" s="29"/>
      <c r="AI355" s="30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0">
        <f t="shared" si="36"/>
        <v>0</v>
      </c>
      <c r="BO355" s="20">
        <f t="shared" si="37"/>
        <v>0</v>
      </c>
      <c r="BP355" s="20">
        <f t="shared" si="38"/>
        <v>147</v>
      </c>
      <c r="BQ355" s="51">
        <f t="shared" si="41"/>
        <v>36.75</v>
      </c>
      <c r="BR355" s="56" t="s">
        <v>683</v>
      </c>
      <c r="BS355" s="91" t="s">
        <v>684</v>
      </c>
      <c r="BT355" s="36"/>
      <c r="BU355" s="35" t="s">
        <v>765</v>
      </c>
    </row>
    <row r="356" s="1" customFormat="1" customHeight="1" spans="1:73">
      <c r="A356" s="15" t="s">
        <v>763</v>
      </c>
      <c r="B356" s="15">
        <v>285</v>
      </c>
      <c r="C356" s="16">
        <v>65.5</v>
      </c>
      <c r="D356" s="29"/>
      <c r="E356" s="30"/>
      <c r="F356" s="29"/>
      <c r="G356" s="29"/>
      <c r="H356" s="29"/>
      <c r="I356" s="29"/>
      <c r="J356" s="29"/>
      <c r="K356" s="29"/>
      <c r="L356" s="29"/>
      <c r="M356" s="30"/>
      <c r="N356" s="29"/>
      <c r="O356" s="29"/>
      <c r="P356" s="29"/>
      <c r="Q356" s="29"/>
      <c r="R356" s="29"/>
      <c r="S356" s="29"/>
      <c r="T356" s="29"/>
      <c r="U356" s="29"/>
      <c r="V356" s="29"/>
      <c r="W356" s="30"/>
      <c r="X356" s="29"/>
      <c r="Y356" s="29"/>
      <c r="Z356" s="29"/>
      <c r="AA356" s="29"/>
      <c r="AB356" s="29"/>
      <c r="AC356" s="29"/>
      <c r="AD356" s="29"/>
      <c r="AE356" s="29"/>
      <c r="AF356" s="29"/>
      <c r="AG356" s="30"/>
      <c r="AH356" s="29"/>
      <c r="AI356" s="30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0">
        <f t="shared" si="36"/>
        <v>0</v>
      </c>
      <c r="BO356" s="20">
        <f t="shared" si="37"/>
        <v>0</v>
      </c>
      <c r="BP356" s="20">
        <f t="shared" si="38"/>
        <v>65.5</v>
      </c>
      <c r="BQ356" s="51">
        <f t="shared" si="41"/>
        <v>18.6675</v>
      </c>
      <c r="BR356" s="56" t="s">
        <v>764</v>
      </c>
      <c r="BS356" s="91" t="s">
        <v>760</v>
      </c>
      <c r="BT356" s="34" t="s">
        <v>766</v>
      </c>
      <c r="BU356" s="83" t="s">
        <v>767</v>
      </c>
    </row>
    <row r="357" s="1" customFormat="1" customHeight="1" spans="1:73">
      <c r="A357" s="53" t="s">
        <v>768</v>
      </c>
      <c r="B357" s="15"/>
      <c r="C357" s="16"/>
      <c r="D357" s="29"/>
      <c r="E357" s="30"/>
      <c r="F357" s="29"/>
      <c r="G357" s="29"/>
      <c r="H357" s="29"/>
      <c r="I357" s="29"/>
      <c r="J357" s="29"/>
      <c r="K357" s="29"/>
      <c r="L357" s="29"/>
      <c r="M357" s="30"/>
      <c r="N357" s="29"/>
      <c r="O357" s="29"/>
      <c r="P357" s="29"/>
      <c r="Q357" s="29"/>
      <c r="R357" s="29"/>
      <c r="S357" s="29"/>
      <c r="T357" s="29"/>
      <c r="U357" s="29"/>
      <c r="V357" s="29"/>
      <c r="W357" s="30"/>
      <c r="X357" s="29"/>
      <c r="Y357" s="29"/>
      <c r="Z357" s="29"/>
      <c r="AA357" s="29"/>
      <c r="AB357" s="29"/>
      <c r="AC357" s="29"/>
      <c r="AD357" s="29"/>
      <c r="AE357" s="29"/>
      <c r="AF357" s="29"/>
      <c r="AG357" s="30"/>
      <c r="AH357" s="29"/>
      <c r="AI357" s="30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0">
        <f t="shared" si="36"/>
        <v>0</v>
      </c>
      <c r="BO357" s="20">
        <f t="shared" si="37"/>
        <v>0</v>
      </c>
      <c r="BP357" s="20">
        <f t="shared" si="38"/>
        <v>0</v>
      </c>
      <c r="BQ357" s="51"/>
      <c r="BR357" s="56"/>
      <c r="BS357" s="91"/>
      <c r="BT357" s="36"/>
      <c r="BU357" s="112"/>
    </row>
    <row r="358" s="1" customFormat="1" customHeight="1" spans="1:73">
      <c r="A358" s="15" t="s">
        <v>769</v>
      </c>
      <c r="B358" s="15">
        <v>140</v>
      </c>
      <c r="C358" s="16">
        <v>248</v>
      </c>
      <c r="D358" s="29"/>
      <c r="E358" s="30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82"/>
      <c r="V358" s="29"/>
      <c r="W358" s="30"/>
      <c r="X358" s="29"/>
      <c r="Y358" s="29"/>
      <c r="Z358" s="29"/>
      <c r="AA358" s="29"/>
      <c r="AB358" s="29"/>
      <c r="AC358" s="29"/>
      <c r="AD358" s="29"/>
      <c r="AE358" s="82"/>
      <c r="AF358" s="29"/>
      <c r="AG358" s="30"/>
      <c r="AH358" s="29"/>
      <c r="AI358" s="29"/>
      <c r="AJ358" s="29"/>
      <c r="AK358" s="30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82"/>
      <c r="BF358" s="29"/>
      <c r="BG358" s="29"/>
      <c r="BH358" s="29"/>
      <c r="BI358" s="29"/>
      <c r="BJ358" s="29"/>
      <c r="BK358" s="29"/>
      <c r="BL358" s="29"/>
      <c r="BM358" s="29"/>
      <c r="BN358" s="20">
        <f t="shared" si="36"/>
        <v>0</v>
      </c>
      <c r="BO358" s="20">
        <f t="shared" si="37"/>
        <v>0</v>
      </c>
      <c r="BP358" s="20">
        <f t="shared" si="38"/>
        <v>248</v>
      </c>
      <c r="BQ358" s="51">
        <f t="shared" ref="BQ358:BQ364" si="42">B358*BP358/1000</f>
        <v>34.72</v>
      </c>
      <c r="BR358" s="56" t="s">
        <v>764</v>
      </c>
      <c r="BS358" s="91" t="s">
        <v>760</v>
      </c>
      <c r="BT358" s="36"/>
      <c r="BU358" s="35" t="s">
        <v>765</v>
      </c>
    </row>
    <row r="359" s="1" customFormat="1" customHeight="1" spans="1:73">
      <c r="A359" s="15" t="s">
        <v>770</v>
      </c>
      <c r="B359" s="15">
        <v>199</v>
      </c>
      <c r="C359" s="16">
        <v>52</v>
      </c>
      <c r="D359" s="29"/>
      <c r="E359" s="30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82"/>
      <c r="V359" s="29"/>
      <c r="W359" s="30"/>
      <c r="X359" s="29"/>
      <c r="Y359" s="29"/>
      <c r="Z359" s="29"/>
      <c r="AA359" s="29"/>
      <c r="AB359" s="29"/>
      <c r="AC359" s="29"/>
      <c r="AD359" s="29"/>
      <c r="AE359" s="82"/>
      <c r="AF359" s="29"/>
      <c r="AG359" s="30"/>
      <c r="AH359" s="29"/>
      <c r="AI359" s="29"/>
      <c r="AJ359" s="29"/>
      <c r="AK359" s="30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0">
        <f t="shared" si="36"/>
        <v>0</v>
      </c>
      <c r="BO359" s="20">
        <f t="shared" si="37"/>
        <v>0</v>
      </c>
      <c r="BP359" s="20">
        <f t="shared" si="38"/>
        <v>52</v>
      </c>
      <c r="BQ359" s="51">
        <f t="shared" si="42"/>
        <v>10.348</v>
      </c>
      <c r="BR359" s="56" t="s">
        <v>764</v>
      </c>
      <c r="BS359" s="91" t="s">
        <v>760</v>
      </c>
      <c r="BT359" s="36"/>
      <c r="BU359" s="35" t="s">
        <v>765</v>
      </c>
    </row>
    <row r="360" s="1" customFormat="1" customHeight="1" spans="1:73">
      <c r="A360" s="53" t="s">
        <v>771</v>
      </c>
      <c r="B360" s="15"/>
      <c r="C360" s="16"/>
      <c r="D360" s="29"/>
      <c r="E360" s="30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82"/>
      <c r="V360" s="29"/>
      <c r="W360" s="30"/>
      <c r="X360" s="29"/>
      <c r="Y360" s="29"/>
      <c r="Z360" s="29"/>
      <c r="AA360" s="30"/>
      <c r="AB360" s="29"/>
      <c r="AC360" s="29"/>
      <c r="AD360" s="29"/>
      <c r="AE360" s="82"/>
      <c r="AF360" s="29"/>
      <c r="AG360" s="30"/>
      <c r="AH360" s="29"/>
      <c r="AI360" s="29"/>
      <c r="AJ360" s="29"/>
      <c r="AK360" s="30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82"/>
      <c r="BF360" s="29"/>
      <c r="BG360" s="29"/>
      <c r="BH360" s="29"/>
      <c r="BI360" s="29"/>
      <c r="BJ360" s="29"/>
      <c r="BK360" s="29"/>
      <c r="BL360" s="29"/>
      <c r="BM360" s="29"/>
      <c r="BN360" s="20">
        <f t="shared" si="36"/>
        <v>0</v>
      </c>
      <c r="BO360" s="20">
        <f t="shared" si="37"/>
        <v>0</v>
      </c>
      <c r="BP360" s="20">
        <f t="shared" si="38"/>
        <v>0</v>
      </c>
      <c r="BQ360" s="51"/>
      <c r="BR360" s="56"/>
      <c r="BS360" s="91"/>
      <c r="BT360" s="36"/>
      <c r="BU360" s="35"/>
    </row>
    <row r="361" s="1" customFormat="1" customHeight="1" spans="1:73">
      <c r="A361" s="39" t="s">
        <v>772</v>
      </c>
      <c r="B361" s="15">
        <v>335</v>
      </c>
      <c r="C361" s="16">
        <v>65</v>
      </c>
      <c r="D361" s="29"/>
      <c r="E361" s="30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30"/>
      <c r="AB361" s="29"/>
      <c r="AC361" s="29"/>
      <c r="AD361" s="29"/>
      <c r="AE361" s="30"/>
      <c r="AF361" s="29"/>
      <c r="AG361" s="30"/>
      <c r="AH361" s="29"/>
      <c r="AI361" s="29"/>
      <c r="AJ361" s="29"/>
      <c r="AK361" s="30"/>
      <c r="AL361" s="29"/>
      <c r="AM361" s="29"/>
      <c r="AN361" s="29"/>
      <c r="AO361" s="29"/>
      <c r="AP361" s="29"/>
      <c r="AQ361" s="82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0">
        <f t="shared" si="36"/>
        <v>0</v>
      </c>
      <c r="BO361" s="20">
        <f t="shared" si="37"/>
        <v>0</v>
      </c>
      <c r="BP361" s="20">
        <f t="shared" si="38"/>
        <v>65</v>
      </c>
      <c r="BQ361" s="51">
        <f t="shared" si="42"/>
        <v>21.775</v>
      </c>
      <c r="BR361" s="56" t="s">
        <v>773</v>
      </c>
      <c r="BS361" s="45" t="s">
        <v>774</v>
      </c>
      <c r="BT361" s="57" t="s">
        <v>626</v>
      </c>
      <c r="BU361" s="112" t="s">
        <v>775</v>
      </c>
    </row>
    <row r="362" s="1" customFormat="1" customHeight="1" spans="1:73">
      <c r="A362" s="15" t="s">
        <v>772</v>
      </c>
      <c r="B362" s="15">
        <v>338</v>
      </c>
      <c r="C362" s="16">
        <v>371</v>
      </c>
      <c r="D362" s="29"/>
      <c r="E362" s="30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30"/>
      <c r="X362" s="29"/>
      <c r="Y362" s="29"/>
      <c r="Z362" s="29"/>
      <c r="AA362" s="30"/>
      <c r="AB362" s="29"/>
      <c r="AC362" s="29"/>
      <c r="AD362" s="29"/>
      <c r="AE362" s="82"/>
      <c r="AF362" s="29"/>
      <c r="AG362" s="30"/>
      <c r="AH362" s="29"/>
      <c r="AI362" s="29"/>
      <c r="AJ362" s="29"/>
      <c r="AK362" s="30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82"/>
      <c r="BF362" s="29"/>
      <c r="BG362" s="29"/>
      <c r="BH362" s="29"/>
      <c r="BI362" s="29"/>
      <c r="BJ362" s="29"/>
      <c r="BK362" s="29"/>
      <c r="BL362" s="29"/>
      <c r="BM362" s="29"/>
      <c r="BN362" s="20">
        <f t="shared" si="36"/>
        <v>0</v>
      </c>
      <c r="BO362" s="20">
        <f t="shared" si="37"/>
        <v>0</v>
      </c>
      <c r="BP362" s="20">
        <f t="shared" si="38"/>
        <v>371</v>
      </c>
      <c r="BQ362" s="51">
        <f t="shared" si="42"/>
        <v>125.398</v>
      </c>
      <c r="BR362" s="56"/>
      <c r="BS362" s="91" t="s">
        <v>776</v>
      </c>
      <c r="BT362" s="36"/>
      <c r="BU362" s="112" t="s">
        <v>775</v>
      </c>
    </row>
    <row r="363" s="1" customFormat="1" customHeight="1" spans="1:73">
      <c r="A363" s="15" t="s">
        <v>772</v>
      </c>
      <c r="B363" s="15">
        <v>378</v>
      </c>
      <c r="C363" s="16">
        <v>560</v>
      </c>
      <c r="D363" s="29"/>
      <c r="E363" s="30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30"/>
      <c r="X363" s="29"/>
      <c r="Y363" s="29"/>
      <c r="Z363" s="29"/>
      <c r="AA363" s="30"/>
      <c r="AB363" s="29"/>
      <c r="AC363" s="29"/>
      <c r="AD363" s="29"/>
      <c r="AE363" s="82"/>
      <c r="AF363" s="29"/>
      <c r="AG363" s="30"/>
      <c r="AH363" s="29"/>
      <c r="AI363" s="29"/>
      <c r="AJ363" s="29"/>
      <c r="AK363" s="30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82"/>
      <c r="BF363" s="29"/>
      <c r="BG363" s="29"/>
      <c r="BH363" s="29"/>
      <c r="BI363" s="29"/>
      <c r="BJ363" s="29"/>
      <c r="BK363" s="29"/>
      <c r="BL363" s="29"/>
      <c r="BM363" s="29"/>
      <c r="BN363" s="20">
        <f t="shared" ref="BN363:BN426" si="43">D363+F363+H363+J363+L363+N363+P363+R363+T363+V363+X363+Z363+AB363+AD363+AF363+AH363+AJ363+AL363+AN363+AP363+AR363+AT363+AV363+AX363+AZ363+BB363+BD363+BF363+BH363+BJ363+BL363</f>
        <v>0</v>
      </c>
      <c r="BO363" s="20">
        <f t="shared" ref="BO363:BO426" si="44">E363+G363+I363+K363+M363+O363+Q363+S363+U363+W363+Y363+AA363+AC363+AE363+AG363+AI363+AK363+AM363+AO363+AQ363+AS363+AU363+AW363+AY363+BA363+BC363+BE363+BG363+BI363+BK363+BM363</f>
        <v>0</v>
      </c>
      <c r="BP363" s="20">
        <f t="shared" ref="BP363:BP426" si="45">C363+BN363-BO363</f>
        <v>560</v>
      </c>
      <c r="BQ363" s="51">
        <f t="shared" si="42"/>
        <v>211.68</v>
      </c>
      <c r="BR363" s="56" t="s">
        <v>591</v>
      </c>
      <c r="BS363" s="91" t="s">
        <v>777</v>
      </c>
      <c r="BT363" s="36"/>
      <c r="BU363" s="112" t="s">
        <v>775</v>
      </c>
    </row>
    <row r="364" s="1" customFormat="1" customHeight="1" spans="1:73">
      <c r="A364" s="15" t="s">
        <v>772</v>
      </c>
      <c r="B364" s="15">
        <v>415</v>
      </c>
      <c r="C364" s="16">
        <v>620</v>
      </c>
      <c r="D364" s="29"/>
      <c r="E364" s="30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30"/>
      <c r="X364" s="29"/>
      <c r="Y364" s="29"/>
      <c r="Z364" s="29"/>
      <c r="AA364" s="30"/>
      <c r="AB364" s="29"/>
      <c r="AC364" s="29"/>
      <c r="AD364" s="29"/>
      <c r="AE364" s="82"/>
      <c r="AF364" s="29"/>
      <c r="AG364" s="30"/>
      <c r="AH364" s="29"/>
      <c r="AI364" s="29"/>
      <c r="AJ364" s="29"/>
      <c r="AK364" s="30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82"/>
      <c r="BF364" s="29"/>
      <c r="BG364" s="29"/>
      <c r="BH364" s="29"/>
      <c r="BI364" s="29"/>
      <c r="BJ364" s="29"/>
      <c r="BK364" s="29"/>
      <c r="BL364" s="29"/>
      <c r="BM364" s="29"/>
      <c r="BN364" s="20">
        <f t="shared" si="43"/>
        <v>0</v>
      </c>
      <c r="BO364" s="20">
        <f t="shared" si="44"/>
        <v>0</v>
      </c>
      <c r="BP364" s="20">
        <f t="shared" si="45"/>
        <v>620</v>
      </c>
      <c r="BQ364" s="51">
        <f t="shared" si="42"/>
        <v>257.3</v>
      </c>
      <c r="BR364" s="56" t="s">
        <v>697</v>
      </c>
      <c r="BS364" s="91" t="s">
        <v>778</v>
      </c>
      <c r="BT364" s="36"/>
      <c r="BU364" s="112" t="s">
        <v>775</v>
      </c>
    </row>
    <row r="365" s="1" customFormat="1" customHeight="1" spans="1:73">
      <c r="A365" s="15" t="s">
        <v>772</v>
      </c>
      <c r="B365" s="15" t="s">
        <v>779</v>
      </c>
      <c r="C365" s="16">
        <v>680</v>
      </c>
      <c r="D365" s="29"/>
      <c r="E365" s="30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30"/>
      <c r="AH365" s="29"/>
      <c r="AI365" s="30"/>
      <c r="AJ365" s="29"/>
      <c r="AK365" s="30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0">
        <f t="shared" si="43"/>
        <v>0</v>
      </c>
      <c r="BO365" s="20">
        <f t="shared" si="44"/>
        <v>0</v>
      </c>
      <c r="BP365" s="20">
        <f t="shared" si="45"/>
        <v>680</v>
      </c>
      <c r="BQ365" s="51">
        <f>0.21*0.16*BP365</f>
        <v>22.848</v>
      </c>
      <c r="BR365" s="56" t="s">
        <v>148</v>
      </c>
      <c r="BS365" s="91" t="s">
        <v>780</v>
      </c>
      <c r="BT365" s="36" t="s">
        <v>781</v>
      </c>
      <c r="BU365" s="44" t="s">
        <v>782</v>
      </c>
    </row>
    <row r="366" s="1" customFormat="1" customHeight="1" spans="1:73">
      <c r="A366" s="15" t="s">
        <v>772</v>
      </c>
      <c r="B366" s="15" t="s">
        <v>783</v>
      </c>
      <c r="C366" s="16">
        <v>2050</v>
      </c>
      <c r="D366" s="29"/>
      <c r="E366" s="30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30"/>
      <c r="AH366" s="29"/>
      <c r="AI366" s="30"/>
      <c r="AJ366" s="29"/>
      <c r="AK366" s="30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0">
        <f t="shared" si="43"/>
        <v>0</v>
      </c>
      <c r="BO366" s="20">
        <f t="shared" si="44"/>
        <v>0</v>
      </c>
      <c r="BP366" s="20">
        <f t="shared" si="45"/>
        <v>2050</v>
      </c>
      <c r="BQ366" s="51">
        <f>0.27*0.258*BP366</f>
        <v>142.803</v>
      </c>
      <c r="BR366" s="56" t="s">
        <v>591</v>
      </c>
      <c r="BS366" s="91" t="s">
        <v>592</v>
      </c>
      <c r="BT366" s="36"/>
      <c r="BU366" s="44" t="s">
        <v>782</v>
      </c>
    </row>
    <row r="367" s="1" customFormat="1" customHeight="1" spans="1:73">
      <c r="A367" s="15" t="s">
        <v>772</v>
      </c>
      <c r="B367" s="15" t="s">
        <v>784</v>
      </c>
      <c r="C367" s="16">
        <v>2452</v>
      </c>
      <c r="D367" s="29"/>
      <c r="E367" s="30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30"/>
      <c r="AH367" s="29"/>
      <c r="AI367" s="29"/>
      <c r="AJ367" s="29"/>
      <c r="AK367" s="30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0">
        <f t="shared" si="43"/>
        <v>0</v>
      </c>
      <c r="BO367" s="20">
        <f t="shared" si="44"/>
        <v>0</v>
      </c>
      <c r="BP367" s="20">
        <f t="shared" si="45"/>
        <v>2452</v>
      </c>
      <c r="BQ367" s="51">
        <f>0.41*0.305*BP367</f>
        <v>306.6226</v>
      </c>
      <c r="BR367" s="56"/>
      <c r="BS367" s="91" t="s">
        <v>776</v>
      </c>
      <c r="BT367" s="36"/>
      <c r="BU367" s="44" t="s">
        <v>782</v>
      </c>
    </row>
    <row r="368" s="1" customFormat="1" customHeight="1" spans="1:73">
      <c r="A368" s="39" t="s">
        <v>772</v>
      </c>
      <c r="B368" s="15" t="s">
        <v>785</v>
      </c>
      <c r="C368" s="29">
        <v>186</v>
      </c>
      <c r="D368" s="29"/>
      <c r="E368" s="30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30"/>
      <c r="AH368" s="29"/>
      <c r="AI368" s="29"/>
      <c r="AJ368" s="29"/>
      <c r="AK368" s="30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0">
        <f t="shared" si="43"/>
        <v>0</v>
      </c>
      <c r="BO368" s="20">
        <f t="shared" si="44"/>
        <v>0</v>
      </c>
      <c r="BP368" s="20">
        <f t="shared" si="45"/>
        <v>186</v>
      </c>
      <c r="BQ368" s="55">
        <f>0.425*0.425*BP368</f>
        <v>33.59625</v>
      </c>
      <c r="BR368" s="68" t="s">
        <v>574</v>
      </c>
      <c r="BS368" s="91" t="s">
        <v>592</v>
      </c>
      <c r="BT368" s="75" t="s">
        <v>786</v>
      </c>
      <c r="BU368" s="44" t="s">
        <v>782</v>
      </c>
    </row>
    <row r="369" s="1" customFormat="1" customHeight="1" spans="1:73">
      <c r="A369" s="39" t="s">
        <v>772</v>
      </c>
      <c r="B369" s="15">
        <v>550</v>
      </c>
      <c r="C369" s="29">
        <v>25</v>
      </c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0">
        <f t="shared" si="43"/>
        <v>0</v>
      </c>
      <c r="BO369" s="20">
        <f t="shared" si="44"/>
        <v>0</v>
      </c>
      <c r="BP369" s="20">
        <f t="shared" si="45"/>
        <v>25</v>
      </c>
      <c r="BQ369" s="51">
        <f t="shared" ref="BQ369:BQ377" si="46">B369*BP369/1000</f>
        <v>13.75</v>
      </c>
      <c r="BR369" s="122" t="s">
        <v>747</v>
      </c>
      <c r="BS369" s="91" t="s">
        <v>787</v>
      </c>
      <c r="BT369" s="36" t="s">
        <v>788</v>
      </c>
      <c r="BU369" s="24" t="s">
        <v>118</v>
      </c>
    </row>
    <row r="370" s="1" customFormat="1" customHeight="1" spans="1:73">
      <c r="A370" s="39" t="s">
        <v>772</v>
      </c>
      <c r="B370" s="15">
        <v>76</v>
      </c>
      <c r="C370" s="29">
        <v>200</v>
      </c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0">
        <f t="shared" si="43"/>
        <v>0</v>
      </c>
      <c r="BO370" s="20">
        <f t="shared" si="44"/>
        <v>0</v>
      </c>
      <c r="BP370" s="20">
        <f t="shared" si="45"/>
        <v>200</v>
      </c>
      <c r="BQ370" s="51">
        <f t="shared" si="46"/>
        <v>15.2</v>
      </c>
      <c r="BR370" s="122" t="s">
        <v>158</v>
      </c>
      <c r="BS370" s="91" t="s">
        <v>789</v>
      </c>
      <c r="BT370" s="36"/>
      <c r="BU370" s="112" t="s">
        <v>790</v>
      </c>
    </row>
    <row r="371" s="1" customFormat="1" customHeight="1" spans="1:73">
      <c r="A371" s="48" t="s">
        <v>791</v>
      </c>
      <c r="B371" s="15">
        <v>121</v>
      </c>
      <c r="C371" s="29">
        <v>300</v>
      </c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0">
        <f t="shared" si="43"/>
        <v>0</v>
      </c>
      <c r="BO371" s="20">
        <f t="shared" si="44"/>
        <v>0</v>
      </c>
      <c r="BP371" s="20">
        <f t="shared" si="45"/>
        <v>300</v>
      </c>
      <c r="BQ371" s="51">
        <f t="shared" si="46"/>
        <v>36.3</v>
      </c>
      <c r="BR371" s="68" t="s">
        <v>78</v>
      </c>
      <c r="BS371" s="91" t="s">
        <v>789</v>
      </c>
      <c r="BT371" s="36" t="s">
        <v>792</v>
      </c>
      <c r="BU371" s="112" t="s">
        <v>790</v>
      </c>
    </row>
    <row r="372" s="1" customFormat="1" customHeight="1" spans="1:73">
      <c r="A372" s="48" t="s">
        <v>791</v>
      </c>
      <c r="B372" s="15">
        <v>147</v>
      </c>
      <c r="C372" s="29">
        <v>32</v>
      </c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0">
        <f t="shared" si="43"/>
        <v>0</v>
      </c>
      <c r="BO372" s="20">
        <f t="shared" si="44"/>
        <v>0</v>
      </c>
      <c r="BP372" s="20">
        <f t="shared" si="45"/>
        <v>32</v>
      </c>
      <c r="BQ372" s="51">
        <f t="shared" si="46"/>
        <v>4.704</v>
      </c>
      <c r="BR372" s="68" t="s">
        <v>793</v>
      </c>
      <c r="BS372" s="91" t="s">
        <v>794</v>
      </c>
      <c r="BT372" s="36"/>
      <c r="BU372" s="112" t="s">
        <v>790</v>
      </c>
    </row>
    <row r="373" s="1" customFormat="1" customHeight="1" spans="1:73">
      <c r="A373" s="48" t="s">
        <v>791</v>
      </c>
      <c r="B373" s="15">
        <v>160</v>
      </c>
      <c r="C373" s="29">
        <v>875</v>
      </c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0">
        <f t="shared" si="43"/>
        <v>0</v>
      </c>
      <c r="BO373" s="20">
        <f t="shared" si="44"/>
        <v>0</v>
      </c>
      <c r="BP373" s="20">
        <f t="shared" si="45"/>
        <v>875</v>
      </c>
      <c r="BQ373" s="51">
        <f t="shared" si="46"/>
        <v>140</v>
      </c>
      <c r="BR373" s="68" t="s">
        <v>352</v>
      </c>
      <c r="BS373" s="91" t="s">
        <v>795</v>
      </c>
      <c r="BT373" s="36"/>
      <c r="BU373" s="112" t="s">
        <v>790</v>
      </c>
    </row>
    <row r="374" s="1" customFormat="1" customHeight="1" spans="1:73">
      <c r="A374" s="48" t="s">
        <v>791</v>
      </c>
      <c r="B374" s="15">
        <v>245</v>
      </c>
      <c r="C374" s="29">
        <v>200</v>
      </c>
      <c r="D374" s="29"/>
      <c r="E374" s="30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30"/>
      <c r="AH374" s="29"/>
      <c r="AI374" s="29"/>
      <c r="AJ374" s="29"/>
      <c r="AK374" s="30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0">
        <f t="shared" si="43"/>
        <v>0</v>
      </c>
      <c r="BO374" s="20">
        <f t="shared" si="44"/>
        <v>0</v>
      </c>
      <c r="BP374" s="20">
        <f t="shared" si="45"/>
        <v>200</v>
      </c>
      <c r="BQ374" s="51">
        <f t="shared" si="46"/>
        <v>49</v>
      </c>
      <c r="BR374" s="68" t="s">
        <v>796</v>
      </c>
      <c r="BS374" s="91" t="s">
        <v>797</v>
      </c>
      <c r="BT374" s="36" t="s">
        <v>798</v>
      </c>
      <c r="BU374" s="112" t="s">
        <v>790</v>
      </c>
    </row>
    <row r="375" s="1" customFormat="1" customHeight="1" spans="1:73">
      <c r="A375" s="48" t="s">
        <v>791</v>
      </c>
      <c r="B375" s="15">
        <v>295</v>
      </c>
      <c r="C375" s="29">
        <v>690</v>
      </c>
      <c r="D375" s="29"/>
      <c r="E375" s="30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30"/>
      <c r="AH375" s="29"/>
      <c r="AI375" s="29"/>
      <c r="AJ375" s="29"/>
      <c r="AK375" s="30"/>
      <c r="AL375" s="29"/>
      <c r="AM375" s="29"/>
      <c r="AN375" s="29"/>
      <c r="AO375" s="29"/>
      <c r="AP375" s="29"/>
      <c r="AQ375" s="29"/>
      <c r="AR375" s="29"/>
      <c r="AS375" s="30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0">
        <f t="shared" si="43"/>
        <v>0</v>
      </c>
      <c r="BO375" s="20">
        <f t="shared" si="44"/>
        <v>0</v>
      </c>
      <c r="BP375" s="20">
        <f t="shared" si="45"/>
        <v>690</v>
      </c>
      <c r="BQ375" s="51">
        <f t="shared" si="46"/>
        <v>203.55</v>
      </c>
      <c r="BR375" s="68" t="s">
        <v>352</v>
      </c>
      <c r="BS375" s="91" t="s">
        <v>795</v>
      </c>
      <c r="BT375" s="36" t="s">
        <v>799</v>
      </c>
      <c r="BU375" s="112" t="s">
        <v>790</v>
      </c>
    </row>
    <row r="376" s="1" customFormat="1" customHeight="1" spans="1:73">
      <c r="A376" s="48" t="s">
        <v>791</v>
      </c>
      <c r="B376" s="15">
        <v>338</v>
      </c>
      <c r="C376" s="29">
        <v>1000</v>
      </c>
      <c r="D376" s="29"/>
      <c r="E376" s="30"/>
      <c r="F376" s="29"/>
      <c r="G376" s="29"/>
      <c r="H376" s="29"/>
      <c r="I376" s="29"/>
      <c r="J376" s="29"/>
      <c r="K376" s="29"/>
      <c r="L376" s="29"/>
      <c r="M376" s="101">
        <v>600</v>
      </c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30"/>
      <c r="AH376" s="29"/>
      <c r="AI376" s="29"/>
      <c r="AJ376" s="29"/>
      <c r="AK376" s="30"/>
      <c r="AL376" s="29"/>
      <c r="AM376" s="29"/>
      <c r="AN376" s="29"/>
      <c r="AO376" s="29"/>
      <c r="AP376" s="29"/>
      <c r="AQ376" s="29"/>
      <c r="AR376" s="29"/>
      <c r="AS376" s="30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0">
        <f t="shared" si="43"/>
        <v>0</v>
      </c>
      <c r="BO376" s="20">
        <f t="shared" si="44"/>
        <v>600</v>
      </c>
      <c r="BP376" s="20">
        <f t="shared" si="45"/>
        <v>400</v>
      </c>
      <c r="BQ376" s="51">
        <f t="shared" si="46"/>
        <v>135.2</v>
      </c>
      <c r="BR376" s="68" t="s">
        <v>158</v>
      </c>
      <c r="BS376" s="91" t="s">
        <v>789</v>
      </c>
      <c r="BT376" s="36"/>
      <c r="BU376" s="112" t="s">
        <v>790</v>
      </c>
    </row>
    <row r="377" s="1" customFormat="1" customHeight="1" spans="1:73">
      <c r="A377" s="48" t="s">
        <v>791</v>
      </c>
      <c r="B377" s="15">
        <v>355</v>
      </c>
      <c r="C377" s="29">
        <v>94</v>
      </c>
      <c r="D377" s="29"/>
      <c r="E377" s="30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30"/>
      <c r="AH377" s="29"/>
      <c r="AI377" s="29"/>
      <c r="AJ377" s="29"/>
      <c r="AK377" s="30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0">
        <f t="shared" si="43"/>
        <v>0</v>
      </c>
      <c r="BO377" s="20">
        <f t="shared" si="44"/>
        <v>0</v>
      </c>
      <c r="BP377" s="20">
        <f t="shared" si="45"/>
        <v>94</v>
      </c>
      <c r="BQ377" s="51">
        <f t="shared" si="46"/>
        <v>33.37</v>
      </c>
      <c r="BR377" s="68" t="s">
        <v>796</v>
      </c>
      <c r="BS377" s="91" t="s">
        <v>797</v>
      </c>
      <c r="BT377" s="50" t="s">
        <v>800</v>
      </c>
      <c r="BU377" s="112" t="s">
        <v>790</v>
      </c>
    </row>
    <row r="378" s="1" customFormat="1" customHeight="1" spans="1:73">
      <c r="A378" s="53" t="s">
        <v>801</v>
      </c>
      <c r="B378" s="15"/>
      <c r="C378" s="16"/>
      <c r="D378" s="29"/>
      <c r="E378" s="30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30"/>
      <c r="AH378" s="29"/>
      <c r="AI378" s="29"/>
      <c r="AJ378" s="29"/>
      <c r="AK378" s="30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0">
        <f t="shared" si="43"/>
        <v>0</v>
      </c>
      <c r="BO378" s="20">
        <f t="shared" si="44"/>
        <v>0</v>
      </c>
      <c r="BP378" s="20">
        <f t="shared" si="45"/>
        <v>0</v>
      </c>
      <c r="BQ378" s="51"/>
      <c r="BR378" s="56"/>
      <c r="BS378" s="111"/>
      <c r="BT378" s="36"/>
      <c r="BU378" s="112"/>
    </row>
    <row r="379" s="1" customFormat="1" customHeight="1" spans="1:73">
      <c r="A379" s="66" t="s">
        <v>802</v>
      </c>
      <c r="B379" s="15">
        <v>211</v>
      </c>
      <c r="C379" s="16">
        <v>100</v>
      </c>
      <c r="D379" s="29"/>
      <c r="E379" s="30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30"/>
      <c r="AH379" s="29"/>
      <c r="AI379" s="29"/>
      <c r="AJ379" s="29"/>
      <c r="AK379" s="30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0">
        <f t="shared" si="43"/>
        <v>0</v>
      </c>
      <c r="BO379" s="20">
        <f t="shared" si="44"/>
        <v>0</v>
      </c>
      <c r="BP379" s="20">
        <f t="shared" si="45"/>
        <v>100</v>
      </c>
      <c r="BQ379" s="55">
        <f t="shared" ref="BQ379:BQ383" si="47">B379/1000*BP379</f>
        <v>21.1</v>
      </c>
      <c r="BR379" s="56" t="s">
        <v>803</v>
      </c>
      <c r="BS379" s="91" t="s">
        <v>804</v>
      </c>
      <c r="BT379" s="36"/>
      <c r="BU379" s="44" t="s">
        <v>805</v>
      </c>
    </row>
    <row r="380" s="1" customFormat="1" customHeight="1" spans="1:73">
      <c r="A380" s="66" t="s">
        <v>802</v>
      </c>
      <c r="B380" s="15">
        <v>303</v>
      </c>
      <c r="C380" s="16">
        <v>19</v>
      </c>
      <c r="D380" s="29"/>
      <c r="E380" s="30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30"/>
      <c r="AH380" s="29"/>
      <c r="AI380" s="29"/>
      <c r="AJ380" s="29"/>
      <c r="AK380" s="30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0">
        <f t="shared" si="43"/>
        <v>0</v>
      </c>
      <c r="BO380" s="20">
        <f t="shared" si="44"/>
        <v>0</v>
      </c>
      <c r="BP380" s="20">
        <f t="shared" si="45"/>
        <v>19</v>
      </c>
      <c r="BQ380" s="55">
        <f t="shared" si="47"/>
        <v>5.757</v>
      </c>
      <c r="BR380" s="56" t="s">
        <v>803</v>
      </c>
      <c r="BS380" s="91" t="s">
        <v>804</v>
      </c>
      <c r="BT380" s="36" t="s">
        <v>806</v>
      </c>
      <c r="BU380" s="44" t="s">
        <v>805</v>
      </c>
    </row>
    <row r="381" s="1" customFormat="1" customHeight="1" spans="1:73">
      <c r="A381" s="66" t="s">
        <v>802</v>
      </c>
      <c r="B381" s="15">
        <v>207</v>
      </c>
      <c r="C381" s="29">
        <v>50</v>
      </c>
      <c r="D381" s="29"/>
      <c r="E381" s="30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30"/>
      <c r="AH381" s="29"/>
      <c r="AI381" s="29"/>
      <c r="AJ381" s="29"/>
      <c r="AK381" s="30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0">
        <f t="shared" si="43"/>
        <v>0</v>
      </c>
      <c r="BO381" s="20">
        <f t="shared" si="44"/>
        <v>0</v>
      </c>
      <c r="BP381" s="20">
        <f t="shared" si="45"/>
        <v>50</v>
      </c>
      <c r="BQ381" s="55">
        <f t="shared" si="47"/>
        <v>10.35</v>
      </c>
      <c r="BR381" s="68" t="s">
        <v>807</v>
      </c>
      <c r="BS381" s="91" t="s">
        <v>808</v>
      </c>
      <c r="BT381" s="34" t="s">
        <v>809</v>
      </c>
      <c r="BU381" s="44" t="s">
        <v>805</v>
      </c>
    </row>
    <row r="382" s="1" customFormat="1" customHeight="1" spans="1:73">
      <c r="A382" s="66" t="s">
        <v>802</v>
      </c>
      <c r="B382" s="15">
        <v>303</v>
      </c>
      <c r="C382" s="29">
        <v>50</v>
      </c>
      <c r="D382" s="29"/>
      <c r="E382" s="30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30"/>
      <c r="AH382" s="29"/>
      <c r="AI382" s="29"/>
      <c r="AJ382" s="29"/>
      <c r="AK382" s="30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0">
        <f t="shared" si="43"/>
        <v>0</v>
      </c>
      <c r="BO382" s="20">
        <f t="shared" si="44"/>
        <v>0</v>
      </c>
      <c r="BP382" s="20">
        <f t="shared" si="45"/>
        <v>50</v>
      </c>
      <c r="BQ382" s="55">
        <f t="shared" si="47"/>
        <v>15.15</v>
      </c>
      <c r="BR382" s="68" t="s">
        <v>807</v>
      </c>
      <c r="BS382" s="91" t="s">
        <v>808</v>
      </c>
      <c r="BT382" s="34" t="s">
        <v>810</v>
      </c>
      <c r="BU382" s="44" t="s">
        <v>805</v>
      </c>
    </row>
    <row r="383" s="1" customFormat="1" customHeight="1" spans="1:73">
      <c r="A383" s="66" t="s">
        <v>802</v>
      </c>
      <c r="B383" s="15">
        <v>309</v>
      </c>
      <c r="C383" s="16">
        <v>164</v>
      </c>
      <c r="D383" s="29"/>
      <c r="E383" s="30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30"/>
      <c r="AH383" s="29"/>
      <c r="AI383" s="29"/>
      <c r="AJ383" s="29"/>
      <c r="AK383" s="30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0">
        <f t="shared" si="43"/>
        <v>0</v>
      </c>
      <c r="BO383" s="20">
        <f t="shared" si="44"/>
        <v>0</v>
      </c>
      <c r="BP383" s="20">
        <f t="shared" si="45"/>
        <v>164</v>
      </c>
      <c r="BQ383" s="55">
        <f t="shared" si="47"/>
        <v>50.676</v>
      </c>
      <c r="BR383" s="56" t="s">
        <v>811</v>
      </c>
      <c r="BS383" s="91" t="s">
        <v>812</v>
      </c>
      <c r="BT383" s="34" t="s">
        <v>810</v>
      </c>
      <c r="BU383" s="44" t="s">
        <v>805</v>
      </c>
    </row>
    <row r="384" s="1" customFormat="1" customHeight="1" spans="1:73">
      <c r="A384" s="123" t="s">
        <v>813</v>
      </c>
      <c r="B384" s="15" t="s">
        <v>814</v>
      </c>
      <c r="C384" s="16">
        <v>232</v>
      </c>
      <c r="D384" s="29"/>
      <c r="E384" s="30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30"/>
      <c r="AH384" s="29"/>
      <c r="AI384" s="29"/>
      <c r="AJ384" s="29"/>
      <c r="AK384" s="30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0">
        <f t="shared" si="43"/>
        <v>0</v>
      </c>
      <c r="BO384" s="20">
        <f t="shared" si="44"/>
        <v>0</v>
      </c>
      <c r="BP384" s="20">
        <f t="shared" si="45"/>
        <v>232</v>
      </c>
      <c r="BQ384" s="55">
        <f>0.375*0.26*BP384</f>
        <v>22.62</v>
      </c>
      <c r="BR384" s="68" t="s">
        <v>815</v>
      </c>
      <c r="BS384" s="91" t="s">
        <v>816</v>
      </c>
      <c r="BT384" s="36" t="s">
        <v>817</v>
      </c>
      <c r="BU384" s="35" t="s">
        <v>818</v>
      </c>
    </row>
    <row r="385" s="1" customFormat="1" customHeight="1" spans="1:73">
      <c r="A385" s="124" t="s">
        <v>819</v>
      </c>
      <c r="B385" s="15">
        <v>300</v>
      </c>
      <c r="C385" s="29">
        <v>163</v>
      </c>
      <c r="D385" s="29"/>
      <c r="E385" s="30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30"/>
      <c r="AH385" s="29"/>
      <c r="AI385" s="29"/>
      <c r="AJ385" s="29"/>
      <c r="AK385" s="30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0">
        <f t="shared" si="43"/>
        <v>0</v>
      </c>
      <c r="BO385" s="20">
        <f t="shared" si="44"/>
        <v>0</v>
      </c>
      <c r="BP385" s="20">
        <f t="shared" si="45"/>
        <v>163</v>
      </c>
      <c r="BQ385" s="55">
        <f t="shared" ref="BQ385:BQ388" si="48">B385/1000*BP385</f>
        <v>48.9</v>
      </c>
      <c r="BR385" s="68" t="s">
        <v>820</v>
      </c>
      <c r="BS385" s="91" t="s">
        <v>821</v>
      </c>
      <c r="BT385" s="34"/>
      <c r="BU385" s="44" t="s">
        <v>805</v>
      </c>
    </row>
    <row r="386" s="1" customFormat="1" customHeight="1" spans="1:73">
      <c r="A386" s="125" t="s">
        <v>822</v>
      </c>
      <c r="B386" s="15" t="s">
        <v>823</v>
      </c>
      <c r="C386" s="29">
        <v>87</v>
      </c>
      <c r="D386" s="29"/>
      <c r="E386" s="30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30"/>
      <c r="AH386" s="29"/>
      <c r="AI386" s="29"/>
      <c r="AJ386" s="29"/>
      <c r="AK386" s="30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0">
        <f t="shared" si="43"/>
        <v>0</v>
      </c>
      <c r="BO386" s="20">
        <f t="shared" si="44"/>
        <v>0</v>
      </c>
      <c r="BP386" s="20">
        <f t="shared" si="45"/>
        <v>87</v>
      </c>
      <c r="BQ386" s="51">
        <f>0.445*0.305*BP386</f>
        <v>11.808075</v>
      </c>
      <c r="BR386" s="68" t="s">
        <v>105</v>
      </c>
      <c r="BS386" s="91" t="s">
        <v>824</v>
      </c>
      <c r="BT386" s="34" t="s">
        <v>810</v>
      </c>
      <c r="BU386" s="35" t="s">
        <v>818</v>
      </c>
    </row>
    <row r="387" s="1" customFormat="1" customHeight="1" spans="1:73">
      <c r="A387" s="125" t="s">
        <v>822</v>
      </c>
      <c r="B387" s="15">
        <v>460</v>
      </c>
      <c r="C387" s="29">
        <v>178.5</v>
      </c>
      <c r="D387" s="29"/>
      <c r="E387" s="30"/>
      <c r="F387" s="29"/>
      <c r="G387" s="29"/>
      <c r="H387" s="29"/>
      <c r="I387" s="29"/>
      <c r="J387" s="126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30"/>
      <c r="AH387" s="29"/>
      <c r="AI387" s="29"/>
      <c r="AJ387" s="29"/>
      <c r="AK387" s="30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0">
        <f t="shared" si="43"/>
        <v>0</v>
      </c>
      <c r="BO387" s="20">
        <f t="shared" si="44"/>
        <v>0</v>
      </c>
      <c r="BP387" s="20">
        <f t="shared" si="45"/>
        <v>178.5</v>
      </c>
      <c r="BQ387" s="55">
        <f t="shared" si="48"/>
        <v>82.11</v>
      </c>
      <c r="BR387" s="68" t="s">
        <v>105</v>
      </c>
      <c r="BS387" s="91" t="s">
        <v>824</v>
      </c>
      <c r="BT387" s="34"/>
      <c r="BU387" s="35" t="s">
        <v>805</v>
      </c>
    </row>
    <row r="388" s="1" customFormat="1" customHeight="1" spans="1:73">
      <c r="A388" s="66" t="s">
        <v>825</v>
      </c>
      <c r="B388" s="15">
        <v>622</v>
      </c>
      <c r="C388" s="16">
        <v>164</v>
      </c>
      <c r="D388" s="29"/>
      <c r="E388" s="30"/>
      <c r="F388" s="29"/>
      <c r="G388" s="29"/>
      <c r="H388" s="29"/>
      <c r="I388" s="29"/>
      <c r="J388" s="29">
        <f>13*2000</f>
        <v>26000</v>
      </c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30"/>
      <c r="AH388" s="29"/>
      <c r="AI388" s="29"/>
      <c r="AJ388" s="29"/>
      <c r="AK388" s="30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0">
        <f t="shared" si="43"/>
        <v>26000</v>
      </c>
      <c r="BO388" s="20">
        <f t="shared" si="44"/>
        <v>0</v>
      </c>
      <c r="BP388" s="20">
        <f t="shared" si="45"/>
        <v>26164</v>
      </c>
      <c r="BQ388" s="55">
        <f t="shared" si="48"/>
        <v>16274.008</v>
      </c>
      <c r="BR388" s="56" t="s">
        <v>384</v>
      </c>
      <c r="BS388" s="91"/>
      <c r="BT388" s="93" t="s">
        <v>826</v>
      </c>
      <c r="BU388" s="44" t="s">
        <v>805</v>
      </c>
    </row>
    <row r="389" s="1" customFormat="1" customHeight="1" spans="1:73">
      <c r="A389" s="53" t="s">
        <v>827</v>
      </c>
      <c r="B389" s="127"/>
      <c r="C389" s="20"/>
      <c r="D389" s="126"/>
      <c r="E389" s="128"/>
      <c r="F389" s="126"/>
      <c r="G389" s="126"/>
      <c r="H389" s="126"/>
      <c r="I389" s="126"/>
      <c r="J389" s="126"/>
      <c r="K389" s="126"/>
      <c r="L389" s="126"/>
      <c r="M389" s="29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8"/>
      <c r="AH389" s="126"/>
      <c r="AI389" s="126"/>
      <c r="AJ389" s="126"/>
      <c r="AK389" s="128"/>
      <c r="AL389" s="126"/>
      <c r="AM389" s="126"/>
      <c r="AN389" s="126"/>
      <c r="AO389" s="126"/>
      <c r="AP389" s="126"/>
      <c r="AQ389" s="126"/>
      <c r="AR389" s="29"/>
      <c r="AS389" s="126"/>
      <c r="AT389" s="126"/>
      <c r="AU389" s="126"/>
      <c r="AV389" s="126"/>
      <c r="AW389" s="126"/>
      <c r="AX389" s="126"/>
      <c r="AY389" s="126"/>
      <c r="AZ389" s="126"/>
      <c r="BA389" s="126"/>
      <c r="BB389" s="126"/>
      <c r="BC389" s="126"/>
      <c r="BD389" s="126"/>
      <c r="BE389" s="126"/>
      <c r="BF389" s="126"/>
      <c r="BG389" s="126"/>
      <c r="BH389" s="126"/>
      <c r="BI389" s="126"/>
      <c r="BJ389" s="126"/>
      <c r="BK389" s="126"/>
      <c r="BL389" s="126"/>
      <c r="BM389" s="126"/>
      <c r="BN389" s="20">
        <f t="shared" si="43"/>
        <v>0</v>
      </c>
      <c r="BO389" s="20">
        <f t="shared" si="44"/>
        <v>0</v>
      </c>
      <c r="BP389" s="20">
        <f t="shared" si="45"/>
        <v>0</v>
      </c>
      <c r="BQ389" s="51"/>
      <c r="BR389" s="56"/>
      <c r="BS389" s="91"/>
      <c r="BT389" s="57"/>
      <c r="BU389" s="129"/>
    </row>
    <row r="390" s="1" customFormat="1" customHeight="1" spans="1:73">
      <c r="A390" s="37" t="s">
        <v>828</v>
      </c>
      <c r="B390" s="130" t="s">
        <v>829</v>
      </c>
      <c r="C390" s="20">
        <v>270</v>
      </c>
      <c r="D390" s="126"/>
      <c r="E390" s="128"/>
      <c r="F390" s="126"/>
      <c r="G390" s="126"/>
      <c r="H390" s="126"/>
      <c r="I390" s="126"/>
      <c r="J390" s="126"/>
      <c r="K390" s="126"/>
      <c r="L390" s="126"/>
      <c r="M390" s="29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8"/>
      <c r="AH390" s="126"/>
      <c r="AI390" s="126"/>
      <c r="AJ390" s="126"/>
      <c r="AK390" s="128"/>
      <c r="AL390" s="126"/>
      <c r="AM390" s="126"/>
      <c r="AN390" s="126"/>
      <c r="AO390" s="126"/>
      <c r="AP390" s="126"/>
      <c r="AQ390" s="126"/>
      <c r="AR390" s="29"/>
      <c r="AS390" s="126"/>
      <c r="AT390" s="126"/>
      <c r="AU390" s="126"/>
      <c r="AV390" s="126"/>
      <c r="AW390" s="126"/>
      <c r="AX390" s="126"/>
      <c r="AY390" s="126"/>
      <c r="AZ390" s="126"/>
      <c r="BA390" s="126"/>
      <c r="BB390" s="126"/>
      <c r="BC390" s="126"/>
      <c r="BD390" s="126"/>
      <c r="BE390" s="126"/>
      <c r="BF390" s="126"/>
      <c r="BG390" s="126"/>
      <c r="BH390" s="126"/>
      <c r="BI390" s="126"/>
      <c r="BJ390" s="126"/>
      <c r="BK390" s="126"/>
      <c r="BL390" s="126"/>
      <c r="BM390" s="126"/>
      <c r="BN390" s="20">
        <f t="shared" si="43"/>
        <v>0</v>
      </c>
      <c r="BO390" s="20">
        <f t="shared" si="44"/>
        <v>0</v>
      </c>
      <c r="BP390" s="20">
        <f t="shared" si="45"/>
        <v>270</v>
      </c>
      <c r="BQ390" s="51">
        <f>0.465*0.34*BP390</f>
        <v>42.687</v>
      </c>
      <c r="BR390" s="56" t="s">
        <v>508</v>
      </c>
      <c r="BS390" s="91" t="s">
        <v>830</v>
      </c>
      <c r="BT390" s="57"/>
      <c r="BU390" s="35" t="s">
        <v>831</v>
      </c>
    </row>
    <row r="391" s="1" customFormat="1" customHeight="1" spans="1:73">
      <c r="A391" s="37" t="s">
        <v>828</v>
      </c>
      <c r="B391" s="130" t="s">
        <v>832</v>
      </c>
      <c r="C391" s="20">
        <v>725</v>
      </c>
      <c r="D391" s="126"/>
      <c r="E391" s="128"/>
      <c r="F391" s="126"/>
      <c r="G391" s="126"/>
      <c r="H391" s="126"/>
      <c r="I391" s="126"/>
      <c r="J391" s="126"/>
      <c r="K391" s="126"/>
      <c r="L391" s="126"/>
      <c r="M391" s="29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8"/>
      <c r="AH391" s="126"/>
      <c r="AI391" s="126"/>
      <c r="AJ391" s="126"/>
      <c r="AK391" s="128"/>
      <c r="AL391" s="126"/>
      <c r="AM391" s="126"/>
      <c r="AN391" s="126"/>
      <c r="AO391" s="126"/>
      <c r="AP391" s="126"/>
      <c r="AQ391" s="126"/>
      <c r="AR391" s="29"/>
      <c r="AS391" s="126"/>
      <c r="AT391" s="126"/>
      <c r="AU391" s="126"/>
      <c r="AV391" s="126"/>
      <c r="AW391" s="126"/>
      <c r="AX391" s="126"/>
      <c r="AY391" s="126"/>
      <c r="AZ391" s="126"/>
      <c r="BA391" s="126"/>
      <c r="BB391" s="126"/>
      <c r="BC391" s="126"/>
      <c r="BD391" s="126"/>
      <c r="BE391" s="126"/>
      <c r="BF391" s="126"/>
      <c r="BG391" s="126"/>
      <c r="BH391" s="126"/>
      <c r="BI391" s="126"/>
      <c r="BJ391" s="126"/>
      <c r="BK391" s="126"/>
      <c r="BL391" s="126"/>
      <c r="BM391" s="126"/>
      <c r="BN391" s="20">
        <f t="shared" si="43"/>
        <v>0</v>
      </c>
      <c r="BO391" s="20">
        <f t="shared" si="44"/>
        <v>0</v>
      </c>
      <c r="BP391" s="20">
        <f t="shared" si="45"/>
        <v>725</v>
      </c>
      <c r="BQ391" s="51">
        <f>0.465*0.335*BP391</f>
        <v>112.936875</v>
      </c>
      <c r="BR391" s="56" t="s">
        <v>833</v>
      </c>
      <c r="BS391" s="91" t="s">
        <v>834</v>
      </c>
      <c r="BT391" s="57"/>
      <c r="BU391" s="35" t="s">
        <v>831</v>
      </c>
    </row>
    <row r="392" s="1" customFormat="1" customHeight="1" spans="1:73">
      <c r="A392" s="37" t="s">
        <v>828</v>
      </c>
      <c r="B392" s="130" t="s">
        <v>835</v>
      </c>
      <c r="C392" s="20">
        <v>345</v>
      </c>
      <c r="D392" s="126"/>
      <c r="E392" s="128"/>
      <c r="F392" s="126"/>
      <c r="G392" s="126"/>
      <c r="H392" s="126"/>
      <c r="I392" s="126"/>
      <c r="J392" s="126"/>
      <c r="K392" s="126"/>
      <c r="L392" s="126"/>
      <c r="M392" s="29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8"/>
      <c r="AH392" s="126"/>
      <c r="AI392" s="126"/>
      <c r="AJ392" s="126"/>
      <c r="AK392" s="128"/>
      <c r="AL392" s="126"/>
      <c r="AM392" s="126"/>
      <c r="AN392" s="126"/>
      <c r="AO392" s="126"/>
      <c r="AP392" s="126"/>
      <c r="AQ392" s="126"/>
      <c r="AR392" s="29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  <c r="BD392" s="126"/>
      <c r="BE392" s="126"/>
      <c r="BF392" s="126"/>
      <c r="BG392" s="126"/>
      <c r="BH392" s="126"/>
      <c r="BI392" s="126"/>
      <c r="BJ392" s="126"/>
      <c r="BK392" s="126"/>
      <c r="BL392" s="126"/>
      <c r="BM392" s="126"/>
      <c r="BN392" s="20">
        <f t="shared" si="43"/>
        <v>0</v>
      </c>
      <c r="BO392" s="20">
        <f t="shared" si="44"/>
        <v>0</v>
      </c>
      <c r="BP392" s="20">
        <f t="shared" si="45"/>
        <v>345</v>
      </c>
      <c r="BQ392" s="51">
        <f>0.465*0.338*BP392</f>
        <v>54.22365</v>
      </c>
      <c r="BR392" s="56" t="s">
        <v>836</v>
      </c>
      <c r="BS392" s="91" t="s">
        <v>837</v>
      </c>
      <c r="BT392" s="57"/>
      <c r="BU392" s="35" t="s">
        <v>831</v>
      </c>
    </row>
    <row r="393" s="1" customFormat="1" customHeight="1" spans="1:73">
      <c r="A393" s="37" t="s">
        <v>828</v>
      </c>
      <c r="B393" s="130" t="s">
        <v>838</v>
      </c>
      <c r="C393" s="20">
        <v>37</v>
      </c>
      <c r="D393" s="126"/>
      <c r="E393" s="128"/>
      <c r="F393" s="126"/>
      <c r="G393" s="126"/>
      <c r="H393" s="126"/>
      <c r="I393" s="126"/>
      <c r="J393" s="126"/>
      <c r="K393" s="126"/>
      <c r="L393" s="126"/>
      <c r="M393" s="29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8"/>
      <c r="AH393" s="126"/>
      <c r="AI393" s="126"/>
      <c r="AJ393" s="126"/>
      <c r="AK393" s="128"/>
      <c r="AL393" s="126"/>
      <c r="AM393" s="126"/>
      <c r="AN393" s="126"/>
      <c r="AO393" s="126"/>
      <c r="AP393" s="126"/>
      <c r="AQ393" s="126"/>
      <c r="AR393" s="29"/>
      <c r="AS393" s="126"/>
      <c r="AT393" s="126"/>
      <c r="AU393" s="126"/>
      <c r="AV393" s="126"/>
      <c r="AW393" s="126"/>
      <c r="AX393" s="126"/>
      <c r="AY393" s="126"/>
      <c r="AZ393" s="126"/>
      <c r="BA393" s="126"/>
      <c r="BB393" s="126"/>
      <c r="BC393" s="126"/>
      <c r="BD393" s="126"/>
      <c r="BE393" s="126"/>
      <c r="BF393" s="126"/>
      <c r="BG393" s="126"/>
      <c r="BH393" s="126"/>
      <c r="BI393" s="126"/>
      <c r="BJ393" s="126"/>
      <c r="BK393" s="126"/>
      <c r="BL393" s="126"/>
      <c r="BM393" s="126"/>
      <c r="BN393" s="20">
        <f t="shared" si="43"/>
        <v>0</v>
      </c>
      <c r="BO393" s="20">
        <f t="shared" si="44"/>
        <v>0</v>
      </c>
      <c r="BP393" s="20">
        <f t="shared" si="45"/>
        <v>37</v>
      </c>
      <c r="BQ393" s="51">
        <f>0.265*0.37*BP393</f>
        <v>3.62785</v>
      </c>
      <c r="BR393" s="56" t="s">
        <v>192</v>
      </c>
      <c r="BS393" s="91" t="s">
        <v>839</v>
      </c>
      <c r="BT393" s="57"/>
      <c r="BU393" s="35" t="s">
        <v>831</v>
      </c>
    </row>
    <row r="394" s="1" customFormat="1" customHeight="1" spans="1:73">
      <c r="A394" s="37" t="s">
        <v>828</v>
      </c>
      <c r="B394" s="130" t="s">
        <v>840</v>
      </c>
      <c r="C394" s="20">
        <v>562</v>
      </c>
      <c r="D394" s="126"/>
      <c r="E394" s="128"/>
      <c r="F394" s="126"/>
      <c r="G394" s="126"/>
      <c r="H394" s="126"/>
      <c r="I394" s="126"/>
      <c r="J394" s="126"/>
      <c r="K394" s="126"/>
      <c r="L394" s="126"/>
      <c r="M394" s="29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8"/>
      <c r="AH394" s="126"/>
      <c r="AI394" s="126"/>
      <c r="AJ394" s="126"/>
      <c r="AK394" s="128"/>
      <c r="AL394" s="126"/>
      <c r="AM394" s="126"/>
      <c r="AN394" s="126"/>
      <c r="AO394" s="126"/>
      <c r="AP394" s="126"/>
      <c r="AQ394" s="126"/>
      <c r="AR394" s="29"/>
      <c r="AS394" s="126"/>
      <c r="AT394" s="126"/>
      <c r="AU394" s="126"/>
      <c r="AV394" s="126"/>
      <c r="AW394" s="126"/>
      <c r="AX394" s="126"/>
      <c r="AY394" s="126"/>
      <c r="AZ394" s="126"/>
      <c r="BA394" s="126"/>
      <c r="BB394" s="126"/>
      <c r="BC394" s="126"/>
      <c r="BD394" s="126"/>
      <c r="BE394" s="126"/>
      <c r="BF394" s="126"/>
      <c r="BG394" s="126"/>
      <c r="BH394" s="126"/>
      <c r="BI394" s="126"/>
      <c r="BJ394" s="126"/>
      <c r="BK394" s="126"/>
      <c r="BL394" s="126"/>
      <c r="BM394" s="126"/>
      <c r="BN394" s="20">
        <f t="shared" si="43"/>
        <v>0</v>
      </c>
      <c r="BO394" s="20">
        <f t="shared" si="44"/>
        <v>0</v>
      </c>
      <c r="BP394" s="20">
        <f t="shared" si="45"/>
        <v>562</v>
      </c>
      <c r="BQ394" s="51">
        <f>0.38*0.348*BP394</f>
        <v>74.31888</v>
      </c>
      <c r="BR394" s="56" t="s">
        <v>836</v>
      </c>
      <c r="BS394" s="91" t="s">
        <v>837</v>
      </c>
      <c r="BT394" s="57"/>
      <c r="BU394" s="35" t="s">
        <v>831</v>
      </c>
    </row>
    <row r="395" s="1" customFormat="1" customHeight="1" spans="1:73">
      <c r="A395" s="37" t="s">
        <v>828</v>
      </c>
      <c r="B395" s="130" t="s">
        <v>841</v>
      </c>
      <c r="C395" s="20">
        <v>990</v>
      </c>
      <c r="D395" s="126"/>
      <c r="E395" s="128"/>
      <c r="F395" s="126"/>
      <c r="G395" s="126"/>
      <c r="H395" s="126"/>
      <c r="I395" s="126"/>
      <c r="J395" s="126"/>
      <c r="K395" s="126"/>
      <c r="L395" s="126"/>
      <c r="M395" s="29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8"/>
      <c r="AH395" s="126"/>
      <c r="AI395" s="126"/>
      <c r="AJ395" s="126"/>
      <c r="AK395" s="128"/>
      <c r="AL395" s="126"/>
      <c r="AM395" s="126"/>
      <c r="AN395" s="126"/>
      <c r="AO395" s="126"/>
      <c r="AP395" s="126"/>
      <c r="AQ395" s="126"/>
      <c r="AR395" s="29"/>
      <c r="AS395" s="126"/>
      <c r="AT395" s="126"/>
      <c r="AU395" s="126"/>
      <c r="AV395" s="126"/>
      <c r="AW395" s="126"/>
      <c r="AX395" s="126"/>
      <c r="AY395" s="126"/>
      <c r="AZ395" s="126"/>
      <c r="BA395" s="126"/>
      <c r="BB395" s="126"/>
      <c r="BC395" s="126"/>
      <c r="BD395" s="126"/>
      <c r="BE395" s="126"/>
      <c r="BF395" s="126"/>
      <c r="BG395" s="126"/>
      <c r="BH395" s="126"/>
      <c r="BI395" s="126"/>
      <c r="BJ395" s="126"/>
      <c r="BK395" s="126"/>
      <c r="BL395" s="126"/>
      <c r="BM395" s="126"/>
      <c r="BN395" s="20">
        <f t="shared" si="43"/>
        <v>0</v>
      </c>
      <c r="BO395" s="20">
        <f t="shared" si="44"/>
        <v>0</v>
      </c>
      <c r="BP395" s="20">
        <f t="shared" si="45"/>
        <v>990</v>
      </c>
      <c r="BQ395" s="51">
        <f>0.35*0.38*BP395</f>
        <v>131.67</v>
      </c>
      <c r="BR395" s="56" t="s">
        <v>192</v>
      </c>
      <c r="BS395" s="91" t="s">
        <v>839</v>
      </c>
      <c r="BT395" s="57"/>
      <c r="BU395" s="35"/>
    </row>
    <row r="396" s="1" customFormat="1" customHeight="1" spans="1:73">
      <c r="A396" s="37" t="s">
        <v>828</v>
      </c>
      <c r="B396" s="127" t="s">
        <v>842</v>
      </c>
      <c r="C396" s="20">
        <v>10</v>
      </c>
      <c r="D396" s="126"/>
      <c r="E396" s="128"/>
      <c r="F396" s="126"/>
      <c r="G396" s="126"/>
      <c r="H396" s="126"/>
      <c r="I396" s="126"/>
      <c r="J396" s="126"/>
      <c r="K396" s="126"/>
      <c r="L396" s="126"/>
      <c r="M396" s="29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8"/>
      <c r="AH396" s="126"/>
      <c r="AI396" s="126"/>
      <c r="AJ396" s="126"/>
      <c r="AK396" s="128"/>
      <c r="AL396" s="126"/>
      <c r="AM396" s="126"/>
      <c r="AN396" s="126"/>
      <c r="AO396" s="126"/>
      <c r="AP396" s="126"/>
      <c r="AQ396" s="126"/>
      <c r="AR396" s="29"/>
      <c r="AS396" s="126"/>
      <c r="AT396" s="126"/>
      <c r="AU396" s="126"/>
      <c r="AV396" s="126"/>
      <c r="AW396" s="126"/>
      <c r="AX396" s="126"/>
      <c r="AY396" s="126"/>
      <c r="AZ396" s="126"/>
      <c r="BA396" s="126"/>
      <c r="BB396" s="126"/>
      <c r="BC396" s="126"/>
      <c r="BD396" s="126"/>
      <c r="BE396" s="126"/>
      <c r="BF396" s="126"/>
      <c r="BG396" s="126"/>
      <c r="BH396" s="126"/>
      <c r="BI396" s="126"/>
      <c r="BJ396" s="126"/>
      <c r="BK396" s="126"/>
      <c r="BL396" s="126"/>
      <c r="BM396" s="126"/>
      <c r="BN396" s="20">
        <f t="shared" si="43"/>
        <v>0</v>
      </c>
      <c r="BO396" s="20">
        <f t="shared" si="44"/>
        <v>0</v>
      </c>
      <c r="BP396" s="20">
        <f t="shared" si="45"/>
        <v>10</v>
      </c>
      <c r="BQ396" s="51">
        <f>0.435*0.354*BP396</f>
        <v>1.5399</v>
      </c>
      <c r="BR396" s="56" t="s">
        <v>836</v>
      </c>
      <c r="BS396" s="91" t="s">
        <v>837</v>
      </c>
      <c r="BT396" s="57"/>
      <c r="BU396" s="35" t="s">
        <v>831</v>
      </c>
    </row>
    <row r="397" s="1" customFormat="1" customHeight="1" spans="1:73">
      <c r="A397" s="37" t="s">
        <v>828</v>
      </c>
      <c r="B397" s="127" t="s">
        <v>843</v>
      </c>
      <c r="C397" s="20">
        <v>125</v>
      </c>
      <c r="D397" s="126"/>
      <c r="E397" s="128"/>
      <c r="F397" s="126"/>
      <c r="G397" s="126"/>
      <c r="H397" s="126"/>
      <c r="I397" s="126">
        <v>125</v>
      </c>
      <c r="J397" s="126"/>
      <c r="K397" s="126"/>
      <c r="L397" s="126"/>
      <c r="M397" s="29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8"/>
      <c r="AH397" s="126"/>
      <c r="AI397" s="126"/>
      <c r="AJ397" s="126"/>
      <c r="AK397" s="128"/>
      <c r="AL397" s="126"/>
      <c r="AM397" s="126"/>
      <c r="AN397" s="126"/>
      <c r="AO397" s="126"/>
      <c r="AP397" s="126"/>
      <c r="AQ397" s="126"/>
      <c r="AR397" s="29"/>
      <c r="AS397" s="126"/>
      <c r="AT397" s="126"/>
      <c r="AU397" s="126"/>
      <c r="AV397" s="126"/>
      <c r="AW397" s="126"/>
      <c r="AX397" s="126"/>
      <c r="AY397" s="126"/>
      <c r="AZ397" s="126"/>
      <c r="BA397" s="126"/>
      <c r="BB397" s="126"/>
      <c r="BC397" s="126"/>
      <c r="BD397" s="126"/>
      <c r="BE397" s="126"/>
      <c r="BF397" s="126"/>
      <c r="BG397" s="126"/>
      <c r="BH397" s="126"/>
      <c r="BI397" s="126"/>
      <c r="BJ397" s="126"/>
      <c r="BK397" s="126"/>
      <c r="BL397" s="126"/>
      <c r="BM397" s="126"/>
      <c r="BN397" s="20">
        <f t="shared" si="43"/>
        <v>0</v>
      </c>
      <c r="BO397" s="20">
        <f t="shared" si="44"/>
        <v>125</v>
      </c>
      <c r="BP397" s="20">
        <f t="shared" si="45"/>
        <v>0</v>
      </c>
      <c r="BQ397" s="51">
        <f>0.258*0.445*BP397</f>
        <v>0</v>
      </c>
      <c r="BR397" s="56" t="s">
        <v>192</v>
      </c>
      <c r="BS397" s="91"/>
      <c r="BT397" s="57"/>
      <c r="BU397" s="35"/>
    </row>
    <row r="398" s="1" customFormat="1" customHeight="1" spans="1:73">
      <c r="A398" s="37" t="s">
        <v>828</v>
      </c>
      <c r="B398" s="130" t="s">
        <v>844</v>
      </c>
      <c r="C398" s="20">
        <v>1263</v>
      </c>
      <c r="D398" s="126"/>
      <c r="E398" s="128"/>
      <c r="F398" s="126"/>
      <c r="G398" s="126"/>
      <c r="H398" s="126"/>
      <c r="I398" s="126">
        <v>30</v>
      </c>
      <c r="J398" s="126"/>
      <c r="K398" s="126"/>
      <c r="L398" s="126"/>
      <c r="M398" s="29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8"/>
      <c r="AH398" s="126"/>
      <c r="AI398" s="126"/>
      <c r="AJ398" s="126"/>
      <c r="AK398" s="128"/>
      <c r="AL398" s="126"/>
      <c r="AM398" s="126"/>
      <c r="AN398" s="126"/>
      <c r="AO398" s="126"/>
      <c r="AP398" s="126"/>
      <c r="AQ398" s="126"/>
      <c r="AR398" s="29"/>
      <c r="AS398" s="126"/>
      <c r="AT398" s="126"/>
      <c r="AU398" s="126"/>
      <c r="AV398" s="126"/>
      <c r="AW398" s="126"/>
      <c r="AX398" s="126"/>
      <c r="AY398" s="126"/>
      <c r="AZ398" s="126"/>
      <c r="BA398" s="126"/>
      <c r="BB398" s="126"/>
      <c r="BC398" s="126"/>
      <c r="BD398" s="126"/>
      <c r="BE398" s="126"/>
      <c r="BF398" s="126"/>
      <c r="BG398" s="126"/>
      <c r="BH398" s="126"/>
      <c r="BI398" s="126"/>
      <c r="BJ398" s="126"/>
      <c r="BK398" s="126"/>
      <c r="BL398" s="126"/>
      <c r="BM398" s="126"/>
      <c r="BN398" s="20">
        <f t="shared" si="43"/>
        <v>0</v>
      </c>
      <c r="BO398" s="20">
        <f t="shared" si="44"/>
        <v>30</v>
      </c>
      <c r="BP398" s="20">
        <f t="shared" si="45"/>
        <v>1233</v>
      </c>
      <c r="BQ398" s="51">
        <f>0.455*0.26*BP398</f>
        <v>145.8639</v>
      </c>
      <c r="BR398" s="56" t="s">
        <v>836</v>
      </c>
      <c r="BS398" s="91" t="s">
        <v>837</v>
      </c>
      <c r="BT398" s="57"/>
      <c r="BU398" s="35" t="s">
        <v>831</v>
      </c>
    </row>
    <row r="399" s="1" customFormat="1" customHeight="1" spans="1:73">
      <c r="A399" s="41" t="s">
        <v>845</v>
      </c>
      <c r="B399" s="127">
        <v>260</v>
      </c>
      <c r="C399" s="20">
        <v>265</v>
      </c>
      <c r="D399" s="126"/>
      <c r="E399" s="128"/>
      <c r="F399" s="126"/>
      <c r="G399" s="126"/>
      <c r="H399" s="126"/>
      <c r="I399" s="126"/>
      <c r="J399" s="126"/>
      <c r="K399" s="126"/>
      <c r="L399" s="126"/>
      <c r="M399" s="29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8"/>
      <c r="AH399" s="126"/>
      <c r="AI399" s="126"/>
      <c r="AJ399" s="126"/>
      <c r="AK399" s="128"/>
      <c r="AL399" s="126"/>
      <c r="AM399" s="126"/>
      <c r="AN399" s="126"/>
      <c r="AO399" s="126"/>
      <c r="AP399" s="126"/>
      <c r="AQ399" s="126"/>
      <c r="AR399" s="29"/>
      <c r="AS399" s="126"/>
      <c r="AT399" s="126"/>
      <c r="AU399" s="126"/>
      <c r="AV399" s="126"/>
      <c r="AW399" s="126"/>
      <c r="AX399" s="126"/>
      <c r="AY399" s="126"/>
      <c r="AZ399" s="126"/>
      <c r="BA399" s="126"/>
      <c r="BB399" s="126"/>
      <c r="BC399" s="126"/>
      <c r="BD399" s="126"/>
      <c r="BE399" s="126"/>
      <c r="BF399" s="126"/>
      <c r="BG399" s="126"/>
      <c r="BH399" s="126"/>
      <c r="BI399" s="126"/>
      <c r="BJ399" s="126"/>
      <c r="BK399" s="126"/>
      <c r="BL399" s="126"/>
      <c r="BM399" s="126"/>
      <c r="BN399" s="20">
        <f t="shared" si="43"/>
        <v>0</v>
      </c>
      <c r="BO399" s="20">
        <f t="shared" si="44"/>
        <v>0</v>
      </c>
      <c r="BP399" s="20">
        <f t="shared" si="45"/>
        <v>265</v>
      </c>
      <c r="BQ399" s="51">
        <f t="shared" ref="BQ399:BQ408" si="49">B399*BP399/1000</f>
        <v>68.9</v>
      </c>
      <c r="BR399" s="56" t="s">
        <v>251</v>
      </c>
      <c r="BS399" s="91" t="s">
        <v>846</v>
      </c>
      <c r="BT399" s="57"/>
      <c r="BU399" s="44" t="s">
        <v>805</v>
      </c>
    </row>
    <row r="400" s="1" customFormat="1" customHeight="1" spans="1:73">
      <c r="A400" s="37" t="s">
        <v>828</v>
      </c>
      <c r="B400" s="127">
        <v>287</v>
      </c>
      <c r="C400" s="20">
        <v>255</v>
      </c>
      <c r="D400" s="126"/>
      <c r="E400" s="128"/>
      <c r="F400" s="126"/>
      <c r="G400" s="126"/>
      <c r="H400" s="126"/>
      <c r="I400" s="126"/>
      <c r="J400" s="126"/>
      <c r="K400" s="126"/>
      <c r="L400" s="126"/>
      <c r="M400" s="29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8"/>
      <c r="AH400" s="126"/>
      <c r="AI400" s="126"/>
      <c r="AJ400" s="126"/>
      <c r="AK400" s="128"/>
      <c r="AL400" s="126"/>
      <c r="AM400" s="126"/>
      <c r="AN400" s="126"/>
      <c r="AO400" s="126"/>
      <c r="AP400" s="126"/>
      <c r="AQ400" s="126"/>
      <c r="AR400" s="29"/>
      <c r="AS400" s="126"/>
      <c r="AT400" s="126"/>
      <c r="AU400" s="126"/>
      <c r="AV400" s="126"/>
      <c r="AW400" s="126"/>
      <c r="AX400" s="126"/>
      <c r="AY400" s="126"/>
      <c r="AZ400" s="126"/>
      <c r="BA400" s="126"/>
      <c r="BB400" s="126"/>
      <c r="BC400" s="126"/>
      <c r="BD400" s="126"/>
      <c r="BE400" s="126"/>
      <c r="BF400" s="126"/>
      <c r="BG400" s="126"/>
      <c r="BH400" s="126"/>
      <c r="BI400" s="126"/>
      <c r="BJ400" s="126"/>
      <c r="BK400" s="126"/>
      <c r="BL400" s="126"/>
      <c r="BM400" s="126"/>
      <c r="BN400" s="20">
        <f t="shared" si="43"/>
        <v>0</v>
      </c>
      <c r="BO400" s="20">
        <f t="shared" si="44"/>
        <v>0</v>
      </c>
      <c r="BP400" s="20">
        <f t="shared" si="45"/>
        <v>255</v>
      </c>
      <c r="BQ400" s="51">
        <f t="shared" si="49"/>
        <v>73.185</v>
      </c>
      <c r="BR400" s="56" t="s">
        <v>847</v>
      </c>
      <c r="BS400" s="91" t="s">
        <v>848</v>
      </c>
      <c r="BT400" s="57"/>
      <c r="BU400" s="44" t="s">
        <v>805</v>
      </c>
    </row>
    <row r="401" s="1" customFormat="1" customHeight="1" spans="1:73">
      <c r="A401" s="37" t="s">
        <v>828</v>
      </c>
      <c r="B401" s="127">
        <v>295</v>
      </c>
      <c r="C401" s="20">
        <v>16</v>
      </c>
      <c r="D401" s="126"/>
      <c r="E401" s="128"/>
      <c r="F401" s="126"/>
      <c r="G401" s="126"/>
      <c r="H401" s="126"/>
      <c r="I401" s="126"/>
      <c r="J401" s="126"/>
      <c r="K401" s="126"/>
      <c r="L401" s="126"/>
      <c r="M401" s="29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8"/>
      <c r="AH401" s="126"/>
      <c r="AI401" s="126"/>
      <c r="AJ401" s="126"/>
      <c r="AK401" s="126"/>
      <c r="AL401" s="126"/>
      <c r="AM401" s="126"/>
      <c r="AN401" s="126"/>
      <c r="AO401" s="126"/>
      <c r="AP401" s="126"/>
      <c r="AQ401" s="126"/>
      <c r="AR401" s="29"/>
      <c r="AS401" s="126"/>
      <c r="AT401" s="126"/>
      <c r="AU401" s="126"/>
      <c r="AV401" s="126"/>
      <c r="AW401" s="126"/>
      <c r="AX401" s="126"/>
      <c r="AY401" s="126"/>
      <c r="AZ401" s="126"/>
      <c r="BA401" s="126"/>
      <c r="BB401" s="126"/>
      <c r="BC401" s="126"/>
      <c r="BD401" s="126"/>
      <c r="BE401" s="126"/>
      <c r="BF401" s="126"/>
      <c r="BG401" s="126"/>
      <c r="BH401" s="126"/>
      <c r="BI401" s="126"/>
      <c r="BJ401" s="126"/>
      <c r="BK401" s="126"/>
      <c r="BL401" s="126"/>
      <c r="BM401" s="126"/>
      <c r="BN401" s="20">
        <f t="shared" si="43"/>
        <v>0</v>
      </c>
      <c r="BO401" s="20">
        <f t="shared" si="44"/>
        <v>0</v>
      </c>
      <c r="BP401" s="20">
        <f t="shared" si="45"/>
        <v>16</v>
      </c>
      <c r="BQ401" s="51">
        <f t="shared" si="49"/>
        <v>4.72</v>
      </c>
      <c r="BR401" s="56" t="s">
        <v>849</v>
      </c>
      <c r="BS401" s="91" t="s">
        <v>850</v>
      </c>
      <c r="BT401" s="57"/>
      <c r="BU401" s="44" t="s">
        <v>805</v>
      </c>
    </row>
    <row r="402" s="1" customFormat="1" customHeight="1" spans="1:73">
      <c r="A402" s="37" t="s">
        <v>828</v>
      </c>
      <c r="B402" s="127">
        <v>305</v>
      </c>
      <c r="C402" s="20">
        <v>197</v>
      </c>
      <c r="D402" s="126"/>
      <c r="E402" s="128"/>
      <c r="F402" s="126"/>
      <c r="G402" s="126"/>
      <c r="H402" s="126"/>
      <c r="I402" s="126"/>
      <c r="J402" s="126"/>
      <c r="K402" s="126"/>
      <c r="L402" s="126"/>
      <c r="M402" s="29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8"/>
      <c r="AH402" s="126"/>
      <c r="AI402" s="126"/>
      <c r="AJ402" s="126"/>
      <c r="AK402" s="128"/>
      <c r="AL402" s="126"/>
      <c r="AM402" s="126"/>
      <c r="AN402" s="126"/>
      <c r="AO402" s="126"/>
      <c r="AP402" s="126"/>
      <c r="AQ402" s="126"/>
      <c r="AR402" s="29"/>
      <c r="AS402" s="126"/>
      <c r="AT402" s="126"/>
      <c r="AU402" s="126"/>
      <c r="AV402" s="126"/>
      <c r="AW402" s="126"/>
      <c r="AX402" s="126"/>
      <c r="AY402" s="126"/>
      <c r="AZ402" s="126"/>
      <c r="BA402" s="126"/>
      <c r="BB402" s="126"/>
      <c r="BC402" s="126"/>
      <c r="BD402" s="126"/>
      <c r="BE402" s="126"/>
      <c r="BF402" s="126"/>
      <c r="BG402" s="126"/>
      <c r="BH402" s="126"/>
      <c r="BI402" s="126"/>
      <c r="BJ402" s="126"/>
      <c r="BK402" s="126"/>
      <c r="BL402" s="126"/>
      <c r="BM402" s="126"/>
      <c r="BN402" s="20">
        <f t="shared" si="43"/>
        <v>0</v>
      </c>
      <c r="BO402" s="20">
        <f t="shared" si="44"/>
        <v>0</v>
      </c>
      <c r="BP402" s="20">
        <f t="shared" si="45"/>
        <v>197</v>
      </c>
      <c r="BQ402" s="51">
        <f t="shared" si="49"/>
        <v>60.085</v>
      </c>
      <c r="BR402" s="56" t="s">
        <v>851</v>
      </c>
      <c r="BS402" s="91" t="s">
        <v>852</v>
      </c>
      <c r="BT402" s="57"/>
      <c r="BU402" s="44" t="s">
        <v>805</v>
      </c>
    </row>
    <row r="403" s="1" customFormat="1" customHeight="1" spans="1:73">
      <c r="A403" s="37" t="s">
        <v>828</v>
      </c>
      <c r="B403" s="127">
        <v>315</v>
      </c>
      <c r="C403" s="20">
        <v>90</v>
      </c>
      <c r="D403" s="126"/>
      <c r="E403" s="128"/>
      <c r="F403" s="126"/>
      <c r="G403" s="126"/>
      <c r="H403" s="126"/>
      <c r="I403" s="126"/>
      <c r="J403" s="126"/>
      <c r="K403" s="126"/>
      <c r="L403" s="126"/>
      <c r="M403" s="29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8"/>
      <c r="AH403" s="126"/>
      <c r="AI403" s="126"/>
      <c r="AJ403" s="126"/>
      <c r="AK403" s="128"/>
      <c r="AL403" s="126"/>
      <c r="AM403" s="126"/>
      <c r="AN403" s="126"/>
      <c r="AO403" s="126"/>
      <c r="AP403" s="126"/>
      <c r="AQ403" s="126"/>
      <c r="AR403" s="29"/>
      <c r="AS403" s="126"/>
      <c r="AT403" s="126"/>
      <c r="AU403" s="126"/>
      <c r="AV403" s="126"/>
      <c r="AW403" s="126"/>
      <c r="AX403" s="126"/>
      <c r="AY403" s="126"/>
      <c r="AZ403" s="126"/>
      <c r="BA403" s="126"/>
      <c r="BB403" s="126"/>
      <c r="BC403" s="126"/>
      <c r="BD403" s="126"/>
      <c r="BE403" s="126"/>
      <c r="BF403" s="126"/>
      <c r="BG403" s="126"/>
      <c r="BH403" s="126"/>
      <c r="BI403" s="126"/>
      <c r="BJ403" s="126"/>
      <c r="BK403" s="126"/>
      <c r="BL403" s="126"/>
      <c r="BM403" s="126"/>
      <c r="BN403" s="20">
        <f t="shared" si="43"/>
        <v>0</v>
      </c>
      <c r="BO403" s="20">
        <f t="shared" si="44"/>
        <v>0</v>
      </c>
      <c r="BP403" s="20">
        <f t="shared" si="45"/>
        <v>90</v>
      </c>
      <c r="BQ403" s="51">
        <f t="shared" si="49"/>
        <v>28.35</v>
      </c>
      <c r="BR403" s="56" t="s">
        <v>467</v>
      </c>
      <c r="BS403" s="91" t="s">
        <v>853</v>
      </c>
      <c r="BT403" s="57"/>
      <c r="BU403" s="44" t="s">
        <v>805</v>
      </c>
    </row>
    <row r="404" s="1" customFormat="1" customHeight="1" spans="1:73">
      <c r="A404" s="37" t="s">
        <v>828</v>
      </c>
      <c r="B404" s="127">
        <v>330</v>
      </c>
      <c r="C404" s="20">
        <v>55</v>
      </c>
      <c r="D404" s="126"/>
      <c r="E404" s="128"/>
      <c r="F404" s="126"/>
      <c r="G404" s="126"/>
      <c r="H404" s="126"/>
      <c r="I404" s="126"/>
      <c r="J404" s="126"/>
      <c r="K404" s="126"/>
      <c r="L404" s="126"/>
      <c r="M404" s="29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8"/>
      <c r="AH404" s="126"/>
      <c r="AI404" s="126"/>
      <c r="AJ404" s="126"/>
      <c r="AK404" s="128"/>
      <c r="AL404" s="126"/>
      <c r="AM404" s="126"/>
      <c r="AN404" s="126"/>
      <c r="AO404" s="126"/>
      <c r="AP404" s="126"/>
      <c r="AQ404" s="126"/>
      <c r="AR404" s="29"/>
      <c r="AS404" s="126"/>
      <c r="AT404" s="126"/>
      <c r="AU404" s="126"/>
      <c r="AV404" s="126"/>
      <c r="AW404" s="126"/>
      <c r="AX404" s="126"/>
      <c r="AY404" s="126"/>
      <c r="AZ404" s="126"/>
      <c r="BA404" s="126"/>
      <c r="BB404" s="126"/>
      <c r="BC404" s="126"/>
      <c r="BD404" s="126"/>
      <c r="BE404" s="126"/>
      <c r="BF404" s="126"/>
      <c r="BG404" s="126"/>
      <c r="BH404" s="126"/>
      <c r="BI404" s="126"/>
      <c r="BJ404" s="126"/>
      <c r="BK404" s="126"/>
      <c r="BL404" s="126"/>
      <c r="BM404" s="126"/>
      <c r="BN404" s="20">
        <f t="shared" si="43"/>
        <v>0</v>
      </c>
      <c r="BO404" s="20">
        <f t="shared" si="44"/>
        <v>0</v>
      </c>
      <c r="BP404" s="20">
        <f t="shared" si="45"/>
        <v>55</v>
      </c>
      <c r="BQ404" s="51">
        <f t="shared" si="49"/>
        <v>18.15</v>
      </c>
      <c r="BR404" s="56" t="s">
        <v>683</v>
      </c>
      <c r="BS404" s="91" t="s">
        <v>684</v>
      </c>
      <c r="BT404" s="57"/>
      <c r="BU404" s="44" t="s">
        <v>805</v>
      </c>
    </row>
    <row r="405" s="1" customFormat="1" customHeight="1" spans="1:73">
      <c r="A405" s="41" t="s">
        <v>845</v>
      </c>
      <c r="B405" s="127">
        <v>350</v>
      </c>
      <c r="C405" s="20">
        <v>33</v>
      </c>
      <c r="D405" s="126"/>
      <c r="E405" s="128"/>
      <c r="F405" s="126"/>
      <c r="G405" s="126"/>
      <c r="H405" s="126"/>
      <c r="I405" s="126"/>
      <c r="J405" s="126"/>
      <c r="K405" s="126"/>
      <c r="L405" s="126"/>
      <c r="M405" s="29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8"/>
      <c r="AH405" s="126"/>
      <c r="AI405" s="126"/>
      <c r="AJ405" s="126"/>
      <c r="AK405" s="128"/>
      <c r="AL405" s="126"/>
      <c r="AM405" s="126"/>
      <c r="AN405" s="126"/>
      <c r="AO405" s="126"/>
      <c r="AP405" s="126"/>
      <c r="AQ405" s="126"/>
      <c r="AR405" s="29"/>
      <c r="AS405" s="126"/>
      <c r="AT405" s="126"/>
      <c r="AU405" s="126"/>
      <c r="AV405" s="126"/>
      <c r="AW405" s="126"/>
      <c r="AX405" s="126"/>
      <c r="AY405" s="126"/>
      <c r="AZ405" s="126"/>
      <c r="BA405" s="126"/>
      <c r="BB405" s="126"/>
      <c r="BC405" s="126"/>
      <c r="BD405" s="126"/>
      <c r="BE405" s="126"/>
      <c r="BF405" s="126"/>
      <c r="BG405" s="126"/>
      <c r="BH405" s="126"/>
      <c r="BI405" s="126"/>
      <c r="BJ405" s="126"/>
      <c r="BK405" s="126"/>
      <c r="BL405" s="126"/>
      <c r="BM405" s="126"/>
      <c r="BN405" s="20">
        <f t="shared" si="43"/>
        <v>0</v>
      </c>
      <c r="BO405" s="20">
        <f t="shared" si="44"/>
        <v>0</v>
      </c>
      <c r="BP405" s="20">
        <f t="shared" si="45"/>
        <v>33</v>
      </c>
      <c r="BQ405" s="51">
        <f t="shared" si="49"/>
        <v>11.55</v>
      </c>
      <c r="BR405" s="56" t="s">
        <v>251</v>
      </c>
      <c r="BS405" s="91" t="s">
        <v>846</v>
      </c>
      <c r="BT405" s="57"/>
      <c r="BU405" s="44" t="s">
        <v>805</v>
      </c>
    </row>
    <row r="406" s="1" customFormat="1" customHeight="1" spans="1:73">
      <c r="A406" s="41" t="s">
        <v>828</v>
      </c>
      <c r="B406" s="83">
        <v>437</v>
      </c>
      <c r="C406" s="126">
        <v>52</v>
      </c>
      <c r="D406" s="126"/>
      <c r="E406" s="128"/>
      <c r="F406" s="126"/>
      <c r="G406" s="126"/>
      <c r="H406" s="126"/>
      <c r="I406" s="126"/>
      <c r="J406" s="126"/>
      <c r="K406" s="126"/>
      <c r="L406" s="126"/>
      <c r="M406" s="29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8"/>
      <c r="AH406" s="126"/>
      <c r="AI406" s="126"/>
      <c r="AJ406" s="126"/>
      <c r="AK406" s="128"/>
      <c r="AL406" s="126"/>
      <c r="AM406" s="126"/>
      <c r="AN406" s="126"/>
      <c r="AO406" s="126"/>
      <c r="AP406" s="126"/>
      <c r="AQ406" s="126"/>
      <c r="AR406" s="29"/>
      <c r="AS406" s="126"/>
      <c r="AT406" s="126"/>
      <c r="AU406" s="126"/>
      <c r="AV406" s="126"/>
      <c r="AW406" s="126"/>
      <c r="AX406" s="126"/>
      <c r="AY406" s="126"/>
      <c r="AZ406" s="126"/>
      <c r="BA406" s="126"/>
      <c r="BB406" s="126"/>
      <c r="BC406" s="126"/>
      <c r="BD406" s="126"/>
      <c r="BE406" s="126"/>
      <c r="BF406" s="126"/>
      <c r="BG406" s="126"/>
      <c r="BH406" s="126"/>
      <c r="BI406" s="126"/>
      <c r="BJ406" s="126"/>
      <c r="BK406" s="126"/>
      <c r="BL406" s="126"/>
      <c r="BM406" s="126"/>
      <c r="BN406" s="20">
        <f t="shared" si="43"/>
        <v>0</v>
      </c>
      <c r="BO406" s="20">
        <f t="shared" si="44"/>
        <v>0</v>
      </c>
      <c r="BP406" s="20">
        <f t="shared" si="45"/>
        <v>52</v>
      </c>
      <c r="BQ406" s="51">
        <f t="shared" si="49"/>
        <v>22.724</v>
      </c>
      <c r="BR406" s="68" t="s">
        <v>854</v>
      </c>
      <c r="BS406" s="91" t="s">
        <v>830</v>
      </c>
      <c r="BT406" s="57"/>
      <c r="BU406" s="44" t="s">
        <v>805</v>
      </c>
    </row>
    <row r="407" s="1" customFormat="1" customHeight="1" spans="1:73">
      <c r="A407" s="41" t="s">
        <v>828</v>
      </c>
      <c r="B407" s="83">
        <v>440</v>
      </c>
      <c r="C407" s="126">
        <v>23</v>
      </c>
      <c r="D407" s="126"/>
      <c r="E407" s="128"/>
      <c r="F407" s="126"/>
      <c r="G407" s="126"/>
      <c r="H407" s="126"/>
      <c r="I407" s="126"/>
      <c r="J407" s="126"/>
      <c r="K407" s="126"/>
      <c r="L407" s="126"/>
      <c r="M407" s="29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8"/>
      <c r="AH407" s="126"/>
      <c r="AI407" s="126"/>
      <c r="AJ407" s="126"/>
      <c r="AK407" s="128"/>
      <c r="AL407" s="126"/>
      <c r="AM407" s="126"/>
      <c r="AN407" s="126"/>
      <c r="AO407" s="126"/>
      <c r="AP407" s="126"/>
      <c r="AQ407" s="126"/>
      <c r="AR407" s="29"/>
      <c r="AS407" s="126"/>
      <c r="AT407" s="126"/>
      <c r="AU407" s="126"/>
      <c r="AV407" s="126"/>
      <c r="AW407" s="126"/>
      <c r="AX407" s="126"/>
      <c r="AY407" s="126"/>
      <c r="AZ407" s="126"/>
      <c r="BA407" s="126"/>
      <c r="BB407" s="126"/>
      <c r="BC407" s="126"/>
      <c r="BD407" s="126"/>
      <c r="BE407" s="126"/>
      <c r="BF407" s="126"/>
      <c r="BG407" s="126"/>
      <c r="BH407" s="126"/>
      <c r="BI407" s="126"/>
      <c r="BJ407" s="126"/>
      <c r="BK407" s="126"/>
      <c r="BL407" s="126"/>
      <c r="BM407" s="126"/>
      <c r="BN407" s="20">
        <f t="shared" si="43"/>
        <v>0</v>
      </c>
      <c r="BO407" s="20">
        <f t="shared" si="44"/>
        <v>0</v>
      </c>
      <c r="BP407" s="20">
        <f t="shared" si="45"/>
        <v>23</v>
      </c>
      <c r="BQ407" s="51">
        <f t="shared" si="49"/>
        <v>10.12</v>
      </c>
      <c r="BR407" s="68" t="s">
        <v>851</v>
      </c>
      <c r="BS407" s="91" t="s">
        <v>852</v>
      </c>
      <c r="BT407" s="57"/>
      <c r="BU407" s="44" t="s">
        <v>805</v>
      </c>
    </row>
    <row r="408" s="1" customFormat="1" customHeight="1" spans="1:73">
      <c r="A408" s="41" t="s">
        <v>828</v>
      </c>
      <c r="B408" s="83">
        <v>455</v>
      </c>
      <c r="C408" s="126">
        <v>230</v>
      </c>
      <c r="D408" s="126"/>
      <c r="E408" s="128"/>
      <c r="F408" s="126"/>
      <c r="G408" s="126"/>
      <c r="H408" s="126"/>
      <c r="I408" s="126"/>
      <c r="J408" s="126"/>
      <c r="K408" s="126"/>
      <c r="L408" s="126"/>
      <c r="M408" s="29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8"/>
      <c r="AH408" s="126"/>
      <c r="AI408" s="126"/>
      <c r="AJ408" s="126"/>
      <c r="AK408" s="128"/>
      <c r="AL408" s="126"/>
      <c r="AM408" s="126"/>
      <c r="AN408" s="126"/>
      <c r="AO408" s="126"/>
      <c r="AP408" s="126"/>
      <c r="AQ408" s="126"/>
      <c r="AR408" s="29"/>
      <c r="AS408" s="126"/>
      <c r="AT408" s="126"/>
      <c r="AU408" s="126"/>
      <c r="AV408" s="126"/>
      <c r="AW408" s="126"/>
      <c r="AX408" s="126"/>
      <c r="AY408" s="126"/>
      <c r="AZ408" s="126"/>
      <c r="BA408" s="126"/>
      <c r="BB408" s="126"/>
      <c r="BC408" s="126"/>
      <c r="BD408" s="126"/>
      <c r="BE408" s="126"/>
      <c r="BF408" s="126"/>
      <c r="BG408" s="126"/>
      <c r="BH408" s="126"/>
      <c r="BI408" s="126"/>
      <c r="BJ408" s="126"/>
      <c r="BK408" s="126"/>
      <c r="BL408" s="126"/>
      <c r="BM408" s="126"/>
      <c r="BN408" s="20">
        <f t="shared" si="43"/>
        <v>0</v>
      </c>
      <c r="BO408" s="20">
        <f t="shared" si="44"/>
        <v>0</v>
      </c>
      <c r="BP408" s="20">
        <f t="shared" si="45"/>
        <v>230</v>
      </c>
      <c r="BQ408" s="51">
        <f t="shared" si="49"/>
        <v>104.65</v>
      </c>
      <c r="BR408" s="68" t="s">
        <v>849</v>
      </c>
      <c r="BS408" s="91" t="s">
        <v>850</v>
      </c>
      <c r="BT408" s="57"/>
      <c r="BU408" s="44" t="s">
        <v>805</v>
      </c>
    </row>
    <row r="409" s="1" customFormat="1" customHeight="1" spans="1:73">
      <c r="A409" s="41" t="s">
        <v>845</v>
      </c>
      <c r="B409" s="127" t="s">
        <v>855</v>
      </c>
      <c r="C409" s="20">
        <v>303</v>
      </c>
      <c r="D409" s="126"/>
      <c r="E409" s="128"/>
      <c r="F409" s="126"/>
      <c r="G409" s="126"/>
      <c r="H409" s="126"/>
      <c r="I409" s="126"/>
      <c r="J409" s="126"/>
      <c r="K409" s="126"/>
      <c r="L409" s="126"/>
      <c r="M409" s="29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29"/>
      <c r="AG409" s="128"/>
      <c r="AH409" s="126"/>
      <c r="AI409" s="126"/>
      <c r="AJ409" s="126"/>
      <c r="AK409" s="128"/>
      <c r="AL409" s="126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  <c r="AW409" s="126"/>
      <c r="AX409" s="126"/>
      <c r="AY409" s="126"/>
      <c r="AZ409" s="126"/>
      <c r="BA409" s="126"/>
      <c r="BB409" s="126"/>
      <c r="BC409" s="126"/>
      <c r="BD409" s="126"/>
      <c r="BE409" s="126"/>
      <c r="BF409" s="126"/>
      <c r="BG409" s="126"/>
      <c r="BH409" s="126"/>
      <c r="BI409" s="126"/>
      <c r="BJ409" s="126"/>
      <c r="BK409" s="126"/>
      <c r="BL409" s="126"/>
      <c r="BM409" s="126"/>
      <c r="BN409" s="20">
        <f t="shared" si="43"/>
        <v>0</v>
      </c>
      <c r="BO409" s="20">
        <f t="shared" si="44"/>
        <v>0</v>
      </c>
      <c r="BP409" s="20">
        <f t="shared" si="45"/>
        <v>303</v>
      </c>
      <c r="BQ409" s="51">
        <f>0.535*0.385*BP409</f>
        <v>62.410425</v>
      </c>
      <c r="BR409" s="56" t="s">
        <v>796</v>
      </c>
      <c r="BS409" s="91" t="s">
        <v>797</v>
      </c>
      <c r="BT409" s="36"/>
      <c r="BU409" s="35" t="s">
        <v>831</v>
      </c>
    </row>
    <row r="410" s="1" customFormat="1" customHeight="1" spans="1:73">
      <c r="A410" s="124" t="s">
        <v>856</v>
      </c>
      <c r="B410" s="15">
        <v>220</v>
      </c>
      <c r="C410" s="16">
        <v>115</v>
      </c>
      <c r="D410" s="29"/>
      <c r="E410" s="30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30"/>
      <c r="AB410" s="29"/>
      <c r="AC410" s="29"/>
      <c r="AD410" s="29"/>
      <c r="AE410" s="29"/>
      <c r="AF410" s="29"/>
      <c r="AG410" s="30"/>
      <c r="AH410" s="29"/>
      <c r="AI410" s="29"/>
      <c r="AJ410" s="29"/>
      <c r="AK410" s="30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126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0">
        <f t="shared" si="43"/>
        <v>0</v>
      </c>
      <c r="BO410" s="20">
        <f t="shared" si="44"/>
        <v>0</v>
      </c>
      <c r="BP410" s="20">
        <f t="shared" si="45"/>
        <v>115</v>
      </c>
      <c r="BQ410" s="51">
        <f t="shared" ref="BQ410:BQ417" si="50">B410*BP410/1000</f>
        <v>25.3</v>
      </c>
      <c r="BR410" s="56" t="s">
        <v>857</v>
      </c>
      <c r="BS410" s="91" t="s">
        <v>858</v>
      </c>
      <c r="BT410" s="36"/>
      <c r="BU410" s="35" t="s">
        <v>831</v>
      </c>
    </row>
    <row r="411" s="1" customFormat="1" customHeight="1" spans="1:73">
      <c r="A411" s="125" t="s">
        <v>859</v>
      </c>
      <c r="B411" s="15">
        <v>305</v>
      </c>
      <c r="C411" s="16">
        <v>289</v>
      </c>
      <c r="D411" s="126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30"/>
      <c r="AH411" s="29"/>
      <c r="AI411" s="29"/>
      <c r="AJ411" s="126"/>
      <c r="AK411" s="30"/>
      <c r="AL411" s="29"/>
      <c r="AM411" s="126"/>
      <c r="AN411" s="29"/>
      <c r="AO411" s="29"/>
      <c r="AP411" s="29"/>
      <c r="AQ411" s="29"/>
      <c r="AR411" s="126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126"/>
      <c r="BE411" s="29"/>
      <c r="BF411" s="126"/>
      <c r="BG411" s="29"/>
      <c r="BH411" s="126"/>
      <c r="BI411" s="29"/>
      <c r="BJ411" s="29"/>
      <c r="BK411" s="29"/>
      <c r="BL411" s="29"/>
      <c r="BM411" s="29"/>
      <c r="BN411" s="20">
        <f t="shared" si="43"/>
        <v>0</v>
      </c>
      <c r="BO411" s="20">
        <f t="shared" si="44"/>
        <v>0</v>
      </c>
      <c r="BP411" s="20">
        <f t="shared" si="45"/>
        <v>289</v>
      </c>
      <c r="BQ411" s="51">
        <f t="shared" si="50"/>
        <v>88.145</v>
      </c>
      <c r="BR411" s="56" t="s">
        <v>860</v>
      </c>
      <c r="BS411" s="91" t="s">
        <v>861</v>
      </c>
      <c r="BT411" s="36"/>
      <c r="BU411" s="35" t="s">
        <v>862</v>
      </c>
    </row>
    <row r="412" s="1" customFormat="1" customHeight="1" spans="1:73">
      <c r="A412" s="53" t="s">
        <v>863</v>
      </c>
      <c r="B412" s="15"/>
      <c r="C412" s="16"/>
      <c r="D412" s="126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30"/>
      <c r="AH412" s="29"/>
      <c r="AI412" s="29"/>
      <c r="AJ412" s="29"/>
      <c r="AK412" s="30"/>
      <c r="AL412" s="29"/>
      <c r="AM412" s="126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46"/>
      <c r="BC412" s="29"/>
      <c r="BD412" s="29"/>
      <c r="BE412" s="29"/>
      <c r="BF412" s="29"/>
      <c r="BG412" s="29"/>
      <c r="BH412" s="126"/>
      <c r="BI412" s="29"/>
      <c r="BJ412" s="29"/>
      <c r="BK412" s="29"/>
      <c r="BL412" s="29"/>
      <c r="BM412" s="29"/>
      <c r="BN412" s="20">
        <f t="shared" si="43"/>
        <v>0</v>
      </c>
      <c r="BO412" s="20">
        <f t="shared" si="44"/>
        <v>0</v>
      </c>
      <c r="BP412" s="20">
        <f t="shared" si="45"/>
        <v>0</v>
      </c>
      <c r="BQ412" s="51"/>
      <c r="BR412" s="56"/>
      <c r="BS412" s="91"/>
      <c r="BT412" s="36"/>
      <c r="BU412" s="35"/>
    </row>
    <row r="413" s="1" customFormat="1" customHeight="1" spans="1:73">
      <c r="A413" s="37" t="s">
        <v>864</v>
      </c>
      <c r="B413" s="15">
        <v>310</v>
      </c>
      <c r="C413" s="16">
        <v>75</v>
      </c>
      <c r="D413" s="29"/>
      <c r="E413" s="29"/>
      <c r="F413" s="29"/>
      <c r="G413" s="29"/>
      <c r="H413" s="126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30"/>
      <c r="AH413" s="29"/>
      <c r="AI413" s="29"/>
      <c r="AJ413" s="29"/>
      <c r="AK413" s="30"/>
      <c r="AL413" s="29"/>
      <c r="AM413" s="126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0">
        <f t="shared" si="43"/>
        <v>0</v>
      </c>
      <c r="BO413" s="20">
        <f t="shared" si="44"/>
        <v>0</v>
      </c>
      <c r="BP413" s="20">
        <f t="shared" si="45"/>
        <v>75</v>
      </c>
      <c r="BQ413" s="51">
        <f t="shared" si="50"/>
        <v>23.25</v>
      </c>
      <c r="BR413" s="56" t="s">
        <v>676</v>
      </c>
      <c r="BS413" s="91" t="s">
        <v>865</v>
      </c>
      <c r="BT413" s="36"/>
      <c r="BU413" s="35" t="s">
        <v>862</v>
      </c>
    </row>
    <row r="414" s="1" customFormat="1" customHeight="1" spans="1:73">
      <c r="A414" s="37" t="s">
        <v>864</v>
      </c>
      <c r="B414" s="15">
        <v>425</v>
      </c>
      <c r="C414" s="16">
        <v>118</v>
      </c>
      <c r="D414" s="29"/>
      <c r="E414" s="29"/>
      <c r="F414" s="29"/>
      <c r="G414" s="29"/>
      <c r="H414" s="126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30"/>
      <c r="AH414" s="29"/>
      <c r="AI414" s="29"/>
      <c r="AJ414" s="29"/>
      <c r="AK414" s="30"/>
      <c r="AL414" s="29"/>
      <c r="AM414" s="126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0">
        <f t="shared" si="43"/>
        <v>0</v>
      </c>
      <c r="BO414" s="20">
        <f t="shared" si="44"/>
        <v>0</v>
      </c>
      <c r="BP414" s="20">
        <f t="shared" si="45"/>
        <v>118</v>
      </c>
      <c r="BQ414" s="51">
        <f t="shared" si="50"/>
        <v>50.15</v>
      </c>
      <c r="BR414" s="56" t="s">
        <v>866</v>
      </c>
      <c r="BS414" s="91" t="s">
        <v>865</v>
      </c>
      <c r="BT414" s="36"/>
      <c r="BU414" s="35" t="s">
        <v>862</v>
      </c>
    </row>
    <row r="415" s="1" customFormat="1" customHeight="1" spans="1:73">
      <c r="A415" s="37" t="s">
        <v>864</v>
      </c>
      <c r="B415" s="15">
        <v>305</v>
      </c>
      <c r="C415" s="16">
        <v>50</v>
      </c>
      <c r="D415" s="29"/>
      <c r="E415" s="29"/>
      <c r="F415" s="29"/>
      <c r="G415" s="29"/>
      <c r="H415" s="126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30"/>
      <c r="AH415" s="29"/>
      <c r="AI415" s="29"/>
      <c r="AJ415" s="29"/>
      <c r="AK415" s="30"/>
      <c r="AL415" s="29"/>
      <c r="AM415" s="126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0">
        <f t="shared" si="43"/>
        <v>0</v>
      </c>
      <c r="BO415" s="20">
        <f t="shared" si="44"/>
        <v>0</v>
      </c>
      <c r="BP415" s="20">
        <f t="shared" si="45"/>
        <v>50</v>
      </c>
      <c r="BQ415" s="51">
        <f t="shared" si="50"/>
        <v>15.25</v>
      </c>
      <c r="BR415" s="56" t="s">
        <v>676</v>
      </c>
      <c r="BS415" s="91" t="s">
        <v>865</v>
      </c>
      <c r="BT415" s="36"/>
      <c r="BU415" s="35" t="s">
        <v>862</v>
      </c>
    </row>
    <row r="416" s="1" customFormat="1" customHeight="1" spans="1:73">
      <c r="A416" s="48" t="s">
        <v>867</v>
      </c>
      <c r="B416" s="15">
        <v>305</v>
      </c>
      <c r="C416" s="16">
        <v>3</v>
      </c>
      <c r="D416" s="29"/>
      <c r="E416" s="29"/>
      <c r="F416" s="29"/>
      <c r="G416" s="29"/>
      <c r="H416" s="126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30"/>
      <c r="AH416" s="29"/>
      <c r="AI416" s="29"/>
      <c r="AJ416" s="29"/>
      <c r="AK416" s="30"/>
      <c r="AL416" s="29"/>
      <c r="AM416" s="126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0">
        <f t="shared" si="43"/>
        <v>0</v>
      </c>
      <c r="BO416" s="20">
        <f t="shared" si="44"/>
        <v>0</v>
      </c>
      <c r="BP416" s="20">
        <f t="shared" si="45"/>
        <v>3</v>
      </c>
      <c r="BQ416" s="51">
        <f t="shared" si="50"/>
        <v>0.915</v>
      </c>
      <c r="BR416" s="56" t="s">
        <v>868</v>
      </c>
      <c r="BS416" s="91" t="s">
        <v>869</v>
      </c>
      <c r="BT416" s="36"/>
      <c r="BU416" s="35" t="s">
        <v>862</v>
      </c>
    </row>
    <row r="417" s="1" customFormat="1" customHeight="1" spans="1:73">
      <c r="A417" s="131" t="s">
        <v>870</v>
      </c>
      <c r="B417" s="15">
        <v>393</v>
      </c>
      <c r="C417" s="16">
        <v>280</v>
      </c>
      <c r="D417" s="29"/>
      <c r="E417" s="30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30"/>
      <c r="AH417" s="29"/>
      <c r="AI417" s="29"/>
      <c r="AJ417" s="29"/>
      <c r="AK417" s="30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0">
        <f t="shared" si="43"/>
        <v>0</v>
      </c>
      <c r="BO417" s="20">
        <f t="shared" si="44"/>
        <v>0</v>
      </c>
      <c r="BP417" s="20">
        <f t="shared" si="45"/>
        <v>280</v>
      </c>
      <c r="BQ417" s="51">
        <f t="shared" si="50"/>
        <v>110.04</v>
      </c>
      <c r="BR417" s="68" t="s">
        <v>871</v>
      </c>
      <c r="BS417" s="33" t="s">
        <v>376</v>
      </c>
      <c r="BT417" s="36"/>
      <c r="BU417" s="35" t="s">
        <v>872</v>
      </c>
    </row>
    <row r="418" s="1" customFormat="1" customHeight="1" spans="1:73">
      <c r="A418" s="53" t="s">
        <v>873</v>
      </c>
      <c r="B418" s="15"/>
      <c r="C418" s="16"/>
      <c r="D418" s="126"/>
      <c r="E418" s="30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83"/>
      <c r="Y418" s="29"/>
      <c r="Z418" s="29"/>
      <c r="AA418" s="29"/>
      <c r="AB418" s="29"/>
      <c r="AC418" s="29"/>
      <c r="AD418" s="29"/>
      <c r="AE418" s="29"/>
      <c r="AF418" s="29"/>
      <c r="AG418" s="30"/>
      <c r="AH418" s="29"/>
      <c r="AI418" s="29"/>
      <c r="AJ418" s="29"/>
      <c r="AK418" s="30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0">
        <f t="shared" si="43"/>
        <v>0</v>
      </c>
      <c r="BO418" s="20">
        <f t="shared" si="44"/>
        <v>0</v>
      </c>
      <c r="BP418" s="20">
        <f t="shared" si="45"/>
        <v>0</v>
      </c>
      <c r="BQ418" s="51"/>
      <c r="BR418" s="56"/>
      <c r="BS418" s="91"/>
      <c r="BT418" s="36"/>
      <c r="BU418" s="35"/>
    </row>
    <row r="419" s="1" customFormat="1" customHeight="1" spans="1:73">
      <c r="A419" s="41" t="s">
        <v>874</v>
      </c>
      <c r="B419" s="15">
        <v>605</v>
      </c>
      <c r="C419" s="16">
        <v>109</v>
      </c>
      <c r="D419" s="29"/>
      <c r="E419" s="30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30"/>
      <c r="AH419" s="29"/>
      <c r="AI419" s="29"/>
      <c r="AJ419" s="29"/>
      <c r="AK419" s="30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0">
        <f t="shared" si="43"/>
        <v>0</v>
      </c>
      <c r="BO419" s="20">
        <f t="shared" si="44"/>
        <v>0</v>
      </c>
      <c r="BP419" s="20">
        <f t="shared" si="45"/>
        <v>109</v>
      </c>
      <c r="BQ419" s="51">
        <f>B419*BP419/1000</f>
        <v>65.945</v>
      </c>
      <c r="BR419" s="56" t="s">
        <v>610</v>
      </c>
      <c r="BS419" s="91" t="s">
        <v>778</v>
      </c>
      <c r="BT419" s="36" t="s">
        <v>875</v>
      </c>
      <c r="BU419" s="98" t="s">
        <v>702</v>
      </c>
    </row>
    <row r="420" s="1" customFormat="1" customHeight="1" spans="1:73">
      <c r="A420" s="37" t="s">
        <v>876</v>
      </c>
      <c r="B420" s="15" t="s">
        <v>877</v>
      </c>
      <c r="C420" s="16">
        <v>450</v>
      </c>
      <c r="D420" s="29"/>
      <c r="E420" s="30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83"/>
      <c r="Y420" s="29"/>
      <c r="Z420" s="29"/>
      <c r="AA420" s="29"/>
      <c r="AB420" s="29"/>
      <c r="AC420" s="29"/>
      <c r="AD420" s="29"/>
      <c r="AE420" s="29"/>
      <c r="AF420" s="29"/>
      <c r="AG420" s="30"/>
      <c r="AH420" s="29"/>
      <c r="AI420" s="29"/>
      <c r="AJ420" s="29"/>
      <c r="AK420" s="30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0">
        <f t="shared" si="43"/>
        <v>0</v>
      </c>
      <c r="BO420" s="20">
        <f t="shared" si="44"/>
        <v>0</v>
      </c>
      <c r="BP420" s="20">
        <f t="shared" si="45"/>
        <v>450</v>
      </c>
      <c r="BQ420" s="51">
        <f>0.46*0.48*BP420</f>
        <v>99.36</v>
      </c>
      <c r="BR420" s="56" t="s">
        <v>66</v>
      </c>
      <c r="BS420" s="91" t="s">
        <v>778</v>
      </c>
      <c r="BT420" s="36" t="s">
        <v>878</v>
      </c>
      <c r="BU420" s="98" t="s">
        <v>702</v>
      </c>
    </row>
    <row r="421" s="1" customFormat="1" customHeight="1" spans="1:73">
      <c r="A421" s="37" t="s">
        <v>879</v>
      </c>
      <c r="B421" s="15" t="s">
        <v>880</v>
      </c>
      <c r="C421" s="16">
        <v>18</v>
      </c>
      <c r="D421" s="29"/>
      <c r="E421" s="30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30"/>
      <c r="AH421" s="29"/>
      <c r="AI421" s="29"/>
      <c r="AJ421" s="29"/>
      <c r="AK421" s="30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0">
        <f t="shared" si="43"/>
        <v>0</v>
      </c>
      <c r="BO421" s="20">
        <f t="shared" si="44"/>
        <v>0</v>
      </c>
      <c r="BP421" s="20">
        <f t="shared" si="45"/>
        <v>18</v>
      </c>
      <c r="BQ421" s="51">
        <f t="shared" ref="BQ421:BQ428" si="51">0.46*0.19*BP421</f>
        <v>1.5732</v>
      </c>
      <c r="BR421" s="56" t="s">
        <v>66</v>
      </c>
      <c r="BS421" s="91" t="s">
        <v>778</v>
      </c>
      <c r="BT421" s="111" t="s">
        <v>71</v>
      </c>
      <c r="BU421" s="98" t="s">
        <v>702</v>
      </c>
    </row>
    <row r="422" s="1" customFormat="1" customHeight="1" spans="1:73">
      <c r="A422" s="53" t="s">
        <v>881</v>
      </c>
      <c r="B422" s="15"/>
      <c r="C422" s="16"/>
      <c r="D422" s="29"/>
      <c r="E422" s="30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83"/>
      <c r="X422" s="29"/>
      <c r="Y422" s="29"/>
      <c r="Z422" s="29"/>
      <c r="AA422" s="29"/>
      <c r="AB422" s="29"/>
      <c r="AC422" s="29"/>
      <c r="AD422" s="29"/>
      <c r="AE422" s="29"/>
      <c r="AF422" s="29"/>
      <c r="AG422" s="30"/>
      <c r="AH422" s="29"/>
      <c r="AI422" s="29"/>
      <c r="AJ422" s="29"/>
      <c r="AK422" s="30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0">
        <f t="shared" si="43"/>
        <v>0</v>
      </c>
      <c r="BO422" s="20">
        <f t="shared" si="44"/>
        <v>0</v>
      </c>
      <c r="BP422" s="20">
        <f t="shared" si="45"/>
        <v>0</v>
      </c>
      <c r="BQ422" s="51"/>
      <c r="BR422" s="56"/>
      <c r="BS422" s="111"/>
      <c r="BT422" s="36"/>
      <c r="BU422" s="112"/>
    </row>
    <row r="423" s="1" customFormat="1" customHeight="1" spans="1:73">
      <c r="A423" s="15" t="s">
        <v>882</v>
      </c>
      <c r="B423" s="15">
        <v>150</v>
      </c>
      <c r="C423" s="16">
        <v>240</v>
      </c>
      <c r="D423" s="29"/>
      <c r="E423" s="30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83"/>
      <c r="X423" s="29"/>
      <c r="Y423" s="29"/>
      <c r="Z423" s="29"/>
      <c r="AA423" s="29"/>
      <c r="AB423" s="29"/>
      <c r="AC423" s="29"/>
      <c r="AD423" s="29"/>
      <c r="AE423" s="29"/>
      <c r="AF423" s="29"/>
      <c r="AG423" s="30"/>
      <c r="AH423" s="29"/>
      <c r="AI423" s="29"/>
      <c r="AJ423" s="29"/>
      <c r="AK423" s="30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0">
        <f t="shared" si="43"/>
        <v>0</v>
      </c>
      <c r="BO423" s="20">
        <f t="shared" si="44"/>
        <v>0</v>
      </c>
      <c r="BP423" s="20">
        <f t="shared" si="45"/>
        <v>240</v>
      </c>
      <c r="BQ423" s="51">
        <f t="shared" si="51"/>
        <v>20.976</v>
      </c>
      <c r="BR423" s="56" t="s">
        <v>883</v>
      </c>
      <c r="BS423" s="91" t="s">
        <v>748</v>
      </c>
      <c r="BT423" s="36" t="s">
        <v>884</v>
      </c>
      <c r="BU423" s="98" t="s">
        <v>885</v>
      </c>
    </row>
    <row r="424" s="1" customFormat="1" customHeight="1" spans="1:73">
      <c r="A424" s="15" t="s">
        <v>882</v>
      </c>
      <c r="B424" s="15">
        <v>210</v>
      </c>
      <c r="C424" s="29">
        <v>247</v>
      </c>
      <c r="D424" s="29"/>
      <c r="E424" s="30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30"/>
      <c r="AH424" s="29"/>
      <c r="AI424" s="29"/>
      <c r="AJ424" s="29"/>
      <c r="AK424" s="30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0">
        <f t="shared" si="43"/>
        <v>0</v>
      </c>
      <c r="BO424" s="20">
        <f t="shared" si="44"/>
        <v>0</v>
      </c>
      <c r="BP424" s="20">
        <f t="shared" si="45"/>
        <v>247</v>
      </c>
      <c r="BQ424" s="51">
        <f t="shared" si="51"/>
        <v>21.5878</v>
      </c>
      <c r="BR424" s="56" t="s">
        <v>429</v>
      </c>
      <c r="BS424" s="91" t="s">
        <v>886</v>
      </c>
      <c r="BT424" s="36" t="s">
        <v>887</v>
      </c>
      <c r="BU424" s="98" t="s">
        <v>885</v>
      </c>
    </row>
    <row r="425" s="1" customFormat="1" customHeight="1" spans="1:73">
      <c r="A425" s="15" t="s">
        <v>882</v>
      </c>
      <c r="B425" s="15">
        <v>220</v>
      </c>
      <c r="C425" s="29">
        <v>392</v>
      </c>
      <c r="D425" s="29"/>
      <c r="E425" s="30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30"/>
      <c r="AH425" s="29"/>
      <c r="AI425" s="29"/>
      <c r="AJ425" s="29"/>
      <c r="AK425" s="30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0">
        <f t="shared" si="43"/>
        <v>0</v>
      </c>
      <c r="BO425" s="20">
        <f t="shared" si="44"/>
        <v>0</v>
      </c>
      <c r="BP425" s="20">
        <f t="shared" si="45"/>
        <v>392</v>
      </c>
      <c r="BQ425" s="51">
        <f t="shared" si="51"/>
        <v>34.2608</v>
      </c>
      <c r="BR425" s="56" t="s">
        <v>99</v>
      </c>
      <c r="BS425" s="91" t="s">
        <v>888</v>
      </c>
      <c r="BT425" s="36"/>
      <c r="BU425" s="98" t="s">
        <v>885</v>
      </c>
    </row>
    <row r="426" s="1" customFormat="1" customHeight="1" spans="1:73">
      <c r="A426" s="15" t="s">
        <v>882</v>
      </c>
      <c r="B426" s="15">
        <v>245</v>
      </c>
      <c r="C426" s="16">
        <v>397</v>
      </c>
      <c r="D426" s="29"/>
      <c r="E426" s="30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30"/>
      <c r="AH426" s="29"/>
      <c r="AI426" s="29"/>
      <c r="AJ426" s="29"/>
      <c r="AK426" s="30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0">
        <f t="shared" si="43"/>
        <v>0</v>
      </c>
      <c r="BO426" s="20">
        <f t="shared" si="44"/>
        <v>0</v>
      </c>
      <c r="BP426" s="20">
        <f t="shared" si="45"/>
        <v>397</v>
      </c>
      <c r="BQ426" s="51">
        <f t="shared" si="51"/>
        <v>34.6978</v>
      </c>
      <c r="BR426" s="56" t="s">
        <v>854</v>
      </c>
      <c r="BS426" s="91" t="s">
        <v>830</v>
      </c>
      <c r="BT426" s="36"/>
      <c r="BU426" s="98" t="s">
        <v>885</v>
      </c>
    </row>
    <row r="427" s="1" customFormat="1" customHeight="1" spans="1:73">
      <c r="A427" s="15" t="s">
        <v>882</v>
      </c>
      <c r="B427" s="15">
        <v>280</v>
      </c>
      <c r="C427" s="16">
        <v>264</v>
      </c>
      <c r="D427" s="29"/>
      <c r="E427" s="30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30"/>
      <c r="AH427" s="29"/>
      <c r="AI427" s="29"/>
      <c r="AJ427" s="29"/>
      <c r="AK427" s="30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0">
        <f t="shared" ref="BN427:BN479" si="52">D427+F427+H427+J427+L427+N427+P427+R427+T427+V427+X427+Z427+AB427+AD427+AF427+AH427+AJ427+AL427+AN427+AP427+AR427+AT427+AV427+AX427+AZ427+BB427+BD427+BF427+BH427+BJ427+BL427</f>
        <v>0</v>
      </c>
      <c r="BO427" s="20">
        <f t="shared" ref="BO427:BO479" si="53">E427+G427+I427+K427+M427+O427+Q427+S427+U427+W427+Y427+AA427+AC427+AE427+AG427+AI427+AK427+AM427+AO427+AQ427+AS427+AU427+AW427+AY427+BA427+BC427+BE427+BG427+BI427+BK427+BM427</f>
        <v>0</v>
      </c>
      <c r="BP427" s="20">
        <f t="shared" ref="BP427:BP479" si="54">C427+BN427-BO427</f>
        <v>264</v>
      </c>
      <c r="BQ427" s="51">
        <f t="shared" si="51"/>
        <v>23.0736</v>
      </c>
      <c r="BR427" s="56" t="s">
        <v>854</v>
      </c>
      <c r="BS427" s="91" t="s">
        <v>886</v>
      </c>
      <c r="BT427" s="36" t="s">
        <v>889</v>
      </c>
      <c r="BU427" s="98" t="s">
        <v>885</v>
      </c>
    </row>
    <row r="428" s="1" customFormat="1" customHeight="1" spans="1:73">
      <c r="A428" s="15" t="s">
        <v>882</v>
      </c>
      <c r="B428" s="15">
        <v>345</v>
      </c>
      <c r="C428" s="16">
        <v>156</v>
      </c>
      <c r="D428" s="29"/>
      <c r="E428" s="30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30"/>
      <c r="AH428" s="29"/>
      <c r="AI428" s="29"/>
      <c r="AJ428" s="29"/>
      <c r="AK428" s="30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0">
        <f t="shared" si="52"/>
        <v>0</v>
      </c>
      <c r="BO428" s="20">
        <f t="shared" si="53"/>
        <v>0</v>
      </c>
      <c r="BP428" s="20">
        <f t="shared" si="54"/>
        <v>156</v>
      </c>
      <c r="BQ428" s="51">
        <f t="shared" si="51"/>
        <v>13.6344</v>
      </c>
      <c r="BR428" s="56" t="s">
        <v>890</v>
      </c>
      <c r="BS428" s="91" t="s">
        <v>891</v>
      </c>
      <c r="BT428" s="36"/>
      <c r="BU428" s="98" t="s">
        <v>885</v>
      </c>
    </row>
    <row r="429" s="1" customFormat="1" customHeight="1" spans="1:73">
      <c r="A429" s="15" t="s">
        <v>882</v>
      </c>
      <c r="B429" s="15" t="s">
        <v>892</v>
      </c>
      <c r="C429" s="16">
        <v>800</v>
      </c>
      <c r="D429" s="29"/>
      <c r="E429" s="30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30"/>
      <c r="AH429" s="29"/>
      <c r="AI429" s="29"/>
      <c r="AJ429" s="29"/>
      <c r="AK429" s="30"/>
      <c r="AL429" s="29"/>
      <c r="AM429" s="29"/>
      <c r="AN429" s="29"/>
      <c r="AO429" s="30"/>
      <c r="AP429" s="29"/>
      <c r="AQ429" s="29"/>
      <c r="AR429" s="29"/>
      <c r="AS429" s="29"/>
      <c r="AT429" s="29"/>
      <c r="AU429" s="82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0">
        <f t="shared" si="52"/>
        <v>0</v>
      </c>
      <c r="BO429" s="20">
        <f t="shared" si="53"/>
        <v>0</v>
      </c>
      <c r="BP429" s="20">
        <f t="shared" si="54"/>
        <v>800</v>
      </c>
      <c r="BQ429" s="51">
        <f>0.187*0.49*BP429</f>
        <v>73.304</v>
      </c>
      <c r="BR429" s="56" t="s">
        <v>857</v>
      </c>
      <c r="BS429" s="91" t="s">
        <v>573</v>
      </c>
      <c r="BT429" s="36" t="s">
        <v>893</v>
      </c>
      <c r="BU429" s="132" t="s">
        <v>894</v>
      </c>
    </row>
    <row r="430" s="1" customFormat="1" customHeight="1" spans="1:73">
      <c r="A430" s="15" t="s">
        <v>882</v>
      </c>
      <c r="B430" s="15" t="s">
        <v>895</v>
      </c>
      <c r="C430" s="16">
        <v>310</v>
      </c>
      <c r="D430" s="29"/>
      <c r="E430" s="30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30"/>
      <c r="AH430" s="29"/>
      <c r="AI430" s="29"/>
      <c r="AJ430" s="29"/>
      <c r="AK430" s="30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0">
        <f t="shared" si="52"/>
        <v>0</v>
      </c>
      <c r="BO430" s="20">
        <f t="shared" si="53"/>
        <v>0</v>
      </c>
      <c r="BP430" s="20">
        <f t="shared" si="54"/>
        <v>310</v>
      </c>
      <c r="BQ430" s="51">
        <f>0.35*0.415*BP430</f>
        <v>45.0275</v>
      </c>
      <c r="BR430" s="56" t="s">
        <v>857</v>
      </c>
      <c r="BS430" s="91" t="s">
        <v>573</v>
      </c>
      <c r="BT430" s="36" t="s">
        <v>893</v>
      </c>
      <c r="BU430" s="132" t="s">
        <v>894</v>
      </c>
    </row>
    <row r="431" s="1" customFormat="1" customHeight="1" spans="1:73">
      <c r="A431" s="39" t="s">
        <v>896</v>
      </c>
      <c r="B431" s="15" t="s">
        <v>897</v>
      </c>
      <c r="C431" s="29">
        <v>153</v>
      </c>
      <c r="D431" s="29"/>
      <c r="E431" s="30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30"/>
      <c r="AH431" s="29"/>
      <c r="AI431" s="29"/>
      <c r="AJ431" s="29"/>
      <c r="AK431" s="30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0">
        <f t="shared" si="52"/>
        <v>0</v>
      </c>
      <c r="BO431" s="20">
        <f t="shared" si="53"/>
        <v>0</v>
      </c>
      <c r="BP431" s="20">
        <f t="shared" si="54"/>
        <v>153</v>
      </c>
      <c r="BQ431" s="55">
        <f>0.415*0.56*BP431</f>
        <v>35.5572</v>
      </c>
      <c r="BR431" s="68" t="s">
        <v>360</v>
      </c>
      <c r="BS431" s="91" t="s">
        <v>573</v>
      </c>
      <c r="BT431" s="36"/>
      <c r="BU431" s="132" t="s">
        <v>894</v>
      </c>
    </row>
    <row r="432" s="1" customFormat="1" customHeight="1" spans="1:73">
      <c r="A432" s="39" t="s">
        <v>896</v>
      </c>
      <c r="B432" s="15">
        <v>80</v>
      </c>
      <c r="C432" s="29">
        <v>98</v>
      </c>
      <c r="D432" s="29"/>
      <c r="E432" s="30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30"/>
      <c r="AH432" s="29"/>
      <c r="AI432" s="29"/>
      <c r="AJ432" s="29"/>
      <c r="AK432" s="30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0">
        <f t="shared" si="52"/>
        <v>0</v>
      </c>
      <c r="BO432" s="20">
        <f t="shared" si="53"/>
        <v>0</v>
      </c>
      <c r="BP432" s="20">
        <f t="shared" si="54"/>
        <v>98</v>
      </c>
      <c r="BQ432" s="51">
        <f t="shared" ref="BQ432:BQ472" si="55">B432*BP432/1000</f>
        <v>7.84</v>
      </c>
      <c r="BR432" s="68" t="s">
        <v>737</v>
      </c>
      <c r="BS432" s="91" t="s">
        <v>898</v>
      </c>
      <c r="BT432" s="36" t="s">
        <v>899</v>
      </c>
      <c r="BU432" s="133" t="s">
        <v>885</v>
      </c>
    </row>
    <row r="433" s="1" customFormat="1" customHeight="1" spans="1:73">
      <c r="A433" s="39" t="s">
        <v>896</v>
      </c>
      <c r="B433" s="15">
        <v>85</v>
      </c>
      <c r="C433" s="29">
        <v>137</v>
      </c>
      <c r="D433" s="29"/>
      <c r="E433" s="30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30"/>
      <c r="AH433" s="29"/>
      <c r="AI433" s="29"/>
      <c r="AJ433" s="29"/>
      <c r="AK433" s="30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0">
        <f t="shared" si="52"/>
        <v>0</v>
      </c>
      <c r="BO433" s="20">
        <f t="shared" si="53"/>
        <v>0</v>
      </c>
      <c r="BP433" s="20">
        <f t="shared" si="54"/>
        <v>137</v>
      </c>
      <c r="BQ433" s="51">
        <f t="shared" si="55"/>
        <v>11.645</v>
      </c>
      <c r="BR433" s="56" t="s">
        <v>900</v>
      </c>
      <c r="BS433" s="91" t="s">
        <v>901</v>
      </c>
      <c r="BT433" s="36"/>
      <c r="BU433" s="133" t="s">
        <v>885</v>
      </c>
    </row>
    <row r="434" s="1" customFormat="1" customHeight="1" spans="1:73">
      <c r="A434" s="39" t="s">
        <v>896</v>
      </c>
      <c r="B434" s="15">
        <v>90</v>
      </c>
      <c r="C434" s="29">
        <v>213</v>
      </c>
      <c r="D434" s="29"/>
      <c r="E434" s="30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30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30"/>
      <c r="AH434" s="29"/>
      <c r="AI434" s="29"/>
      <c r="AJ434" s="29"/>
      <c r="AK434" s="30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0">
        <f t="shared" si="52"/>
        <v>0</v>
      </c>
      <c r="BO434" s="20">
        <f t="shared" si="53"/>
        <v>0</v>
      </c>
      <c r="BP434" s="20">
        <f t="shared" si="54"/>
        <v>213</v>
      </c>
      <c r="BQ434" s="51">
        <f t="shared" si="55"/>
        <v>19.17</v>
      </c>
      <c r="BR434" s="68" t="s">
        <v>152</v>
      </c>
      <c r="BS434" s="91" t="s">
        <v>902</v>
      </c>
      <c r="BT434" s="36"/>
      <c r="BU434" s="133" t="s">
        <v>885</v>
      </c>
    </row>
    <row r="435" s="1" customFormat="1" customHeight="1" spans="1:73">
      <c r="A435" s="39" t="s">
        <v>896</v>
      </c>
      <c r="B435" s="15">
        <v>110</v>
      </c>
      <c r="C435" s="29">
        <v>546</v>
      </c>
      <c r="D435" s="30"/>
      <c r="E435" s="30"/>
      <c r="F435" s="29"/>
      <c r="G435" s="29"/>
      <c r="H435" s="29"/>
      <c r="I435" s="29"/>
      <c r="J435" s="29"/>
      <c r="K435" s="29"/>
      <c r="L435" s="29"/>
      <c r="M435" s="29">
        <v>83</v>
      </c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30"/>
      <c r="AH435" s="29"/>
      <c r="AI435" s="29"/>
      <c r="AJ435" s="29"/>
      <c r="AK435" s="30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0">
        <f t="shared" si="52"/>
        <v>0</v>
      </c>
      <c r="BO435" s="20">
        <f t="shared" si="53"/>
        <v>83</v>
      </c>
      <c r="BP435" s="20">
        <f t="shared" si="54"/>
        <v>463</v>
      </c>
      <c r="BQ435" s="51">
        <f t="shared" si="55"/>
        <v>50.93</v>
      </c>
      <c r="BR435" s="56" t="s">
        <v>903</v>
      </c>
      <c r="BS435" s="91" t="s">
        <v>886</v>
      </c>
      <c r="BT435" s="36"/>
      <c r="BU435" s="133" t="s">
        <v>885</v>
      </c>
    </row>
    <row r="436" s="1" customFormat="1" customHeight="1" spans="1:73">
      <c r="A436" s="39" t="s">
        <v>896</v>
      </c>
      <c r="B436" s="15">
        <v>115</v>
      </c>
      <c r="C436" s="29">
        <v>1042</v>
      </c>
      <c r="D436" s="29"/>
      <c r="E436" s="30"/>
      <c r="F436" s="29"/>
      <c r="G436" s="29"/>
      <c r="H436" s="29"/>
      <c r="I436" s="29"/>
      <c r="J436" s="29"/>
      <c r="K436" s="29"/>
      <c r="L436" s="29"/>
      <c r="M436" s="29">
        <v>10</v>
      </c>
      <c r="N436" s="29"/>
      <c r="O436" s="29">
        <v>9</v>
      </c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30"/>
      <c r="AH436" s="29"/>
      <c r="AI436" s="29"/>
      <c r="AJ436" s="29"/>
      <c r="AK436" s="30"/>
      <c r="AL436" s="29"/>
      <c r="AM436" s="29"/>
      <c r="AN436" s="30"/>
      <c r="AO436" s="29"/>
      <c r="AP436" s="30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0">
        <f t="shared" si="52"/>
        <v>0</v>
      </c>
      <c r="BO436" s="20">
        <f t="shared" si="53"/>
        <v>19</v>
      </c>
      <c r="BP436" s="20">
        <f t="shared" si="54"/>
        <v>1023</v>
      </c>
      <c r="BQ436" s="51">
        <f t="shared" si="55"/>
        <v>117.645</v>
      </c>
      <c r="BR436" s="56" t="s">
        <v>208</v>
      </c>
      <c r="BS436" s="91" t="s">
        <v>753</v>
      </c>
      <c r="BT436" s="36" t="s">
        <v>904</v>
      </c>
      <c r="BU436" s="133" t="s">
        <v>885</v>
      </c>
    </row>
    <row r="437" s="1" customFormat="1" customHeight="1" spans="1:73">
      <c r="A437" s="39" t="s">
        <v>896</v>
      </c>
      <c r="B437" s="15">
        <v>120</v>
      </c>
      <c r="C437" s="29">
        <v>89</v>
      </c>
      <c r="D437" s="29"/>
      <c r="E437" s="30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30"/>
      <c r="AH437" s="29"/>
      <c r="AI437" s="29"/>
      <c r="AJ437" s="29"/>
      <c r="AK437" s="30"/>
      <c r="AL437" s="29"/>
      <c r="AM437" s="29"/>
      <c r="AN437" s="30"/>
      <c r="AO437" s="29"/>
      <c r="AP437" s="30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0">
        <f t="shared" si="52"/>
        <v>0</v>
      </c>
      <c r="BO437" s="20">
        <f t="shared" si="53"/>
        <v>0</v>
      </c>
      <c r="BP437" s="20">
        <f t="shared" si="54"/>
        <v>89</v>
      </c>
      <c r="BQ437" s="51">
        <f t="shared" si="55"/>
        <v>10.68</v>
      </c>
      <c r="BR437" s="56" t="s">
        <v>905</v>
      </c>
      <c r="BS437" s="91" t="s">
        <v>906</v>
      </c>
      <c r="BT437" s="36"/>
      <c r="BU437" s="133" t="s">
        <v>885</v>
      </c>
    </row>
    <row r="438" s="1" customFormat="1" customHeight="1" spans="1:73">
      <c r="A438" s="39" t="s">
        <v>896</v>
      </c>
      <c r="B438" s="15">
        <v>125</v>
      </c>
      <c r="C438" s="29">
        <v>466</v>
      </c>
      <c r="D438" s="29"/>
      <c r="E438" s="30">
        <v>5</v>
      </c>
      <c r="F438" s="29"/>
      <c r="G438" s="29"/>
      <c r="H438" s="29"/>
      <c r="I438" s="29"/>
      <c r="J438" s="29"/>
      <c r="K438" s="29"/>
      <c r="L438" s="29"/>
      <c r="M438" s="29">
        <v>2</v>
      </c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30"/>
      <c r="AH438" s="29"/>
      <c r="AI438" s="29"/>
      <c r="AJ438" s="29"/>
      <c r="AK438" s="30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0">
        <f t="shared" si="52"/>
        <v>0</v>
      </c>
      <c r="BO438" s="20">
        <f t="shared" si="53"/>
        <v>7</v>
      </c>
      <c r="BP438" s="20">
        <f t="shared" si="54"/>
        <v>459</v>
      </c>
      <c r="BQ438" s="51">
        <f t="shared" si="55"/>
        <v>57.375</v>
      </c>
      <c r="BR438" s="56" t="s">
        <v>907</v>
      </c>
      <c r="BS438" s="91" t="s">
        <v>886</v>
      </c>
      <c r="BT438" s="36"/>
      <c r="BU438" s="133" t="s">
        <v>885</v>
      </c>
    </row>
    <row r="439" s="1" customFormat="1" customHeight="1" spans="1:73">
      <c r="A439" s="39" t="s">
        <v>896</v>
      </c>
      <c r="B439" s="15">
        <v>130</v>
      </c>
      <c r="C439" s="29">
        <v>286</v>
      </c>
      <c r="D439" s="29"/>
      <c r="E439" s="30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30"/>
      <c r="AH439" s="29"/>
      <c r="AI439" s="29"/>
      <c r="AJ439" s="29"/>
      <c r="AK439" s="30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0">
        <f t="shared" si="52"/>
        <v>0</v>
      </c>
      <c r="BO439" s="20">
        <f t="shared" si="53"/>
        <v>0</v>
      </c>
      <c r="BP439" s="20">
        <f t="shared" si="54"/>
        <v>286</v>
      </c>
      <c r="BQ439" s="51">
        <f t="shared" si="55"/>
        <v>37.18</v>
      </c>
      <c r="BR439" s="56" t="s">
        <v>908</v>
      </c>
      <c r="BS439" s="91" t="s">
        <v>909</v>
      </c>
      <c r="BT439" s="36"/>
      <c r="BU439" s="133" t="s">
        <v>885</v>
      </c>
    </row>
    <row r="440" s="1" customFormat="1" customHeight="1" spans="1:73">
      <c r="A440" s="39" t="s">
        <v>896</v>
      </c>
      <c r="B440" s="15">
        <v>135</v>
      </c>
      <c r="C440" s="29">
        <v>230</v>
      </c>
      <c r="D440" s="30"/>
      <c r="E440" s="30"/>
      <c r="F440" s="29"/>
      <c r="G440" s="29"/>
      <c r="H440" s="29"/>
      <c r="I440" s="29">
        <v>3</v>
      </c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30"/>
      <c r="AH440" s="29"/>
      <c r="AI440" s="29"/>
      <c r="AJ440" s="29"/>
      <c r="AK440" s="30"/>
      <c r="AL440" s="29"/>
      <c r="AM440" s="29"/>
      <c r="AN440" s="30"/>
      <c r="AO440" s="29"/>
      <c r="AP440" s="30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0">
        <f t="shared" si="52"/>
        <v>0</v>
      </c>
      <c r="BO440" s="20">
        <f t="shared" si="53"/>
        <v>3</v>
      </c>
      <c r="BP440" s="20">
        <f t="shared" si="54"/>
        <v>227</v>
      </c>
      <c r="BQ440" s="51">
        <f t="shared" si="55"/>
        <v>30.645</v>
      </c>
      <c r="BR440" s="56" t="s">
        <v>138</v>
      </c>
      <c r="BS440" s="91" t="s">
        <v>753</v>
      </c>
      <c r="BT440" s="36"/>
      <c r="BU440" s="133" t="s">
        <v>885</v>
      </c>
    </row>
    <row r="441" s="1" customFormat="1" customHeight="1" spans="1:73">
      <c r="A441" s="15" t="s">
        <v>896</v>
      </c>
      <c r="B441" s="15">
        <v>145</v>
      </c>
      <c r="C441" s="16">
        <v>1024</v>
      </c>
      <c r="D441" s="29"/>
      <c r="E441" s="30"/>
      <c r="F441" s="29"/>
      <c r="G441" s="30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30"/>
      <c r="AH441" s="29"/>
      <c r="AI441" s="29"/>
      <c r="AJ441" s="29"/>
      <c r="AK441" s="30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0">
        <f t="shared" si="52"/>
        <v>0</v>
      </c>
      <c r="BO441" s="20">
        <f t="shared" si="53"/>
        <v>0</v>
      </c>
      <c r="BP441" s="20">
        <f t="shared" si="54"/>
        <v>1024</v>
      </c>
      <c r="BQ441" s="51">
        <f t="shared" si="55"/>
        <v>148.48</v>
      </c>
      <c r="BR441" s="68" t="s">
        <v>907</v>
      </c>
      <c r="BS441" s="91" t="s">
        <v>910</v>
      </c>
      <c r="BT441" s="36"/>
      <c r="BU441" s="133" t="s">
        <v>911</v>
      </c>
    </row>
    <row r="442" s="1" customFormat="1" customHeight="1" spans="1:73">
      <c r="A442" s="15" t="s">
        <v>896</v>
      </c>
      <c r="B442" s="15">
        <v>150</v>
      </c>
      <c r="C442" s="16">
        <v>10</v>
      </c>
      <c r="D442" s="29"/>
      <c r="E442" s="30"/>
      <c r="F442" s="29"/>
      <c r="G442" s="30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30"/>
      <c r="X442" s="29"/>
      <c r="Y442" s="29"/>
      <c r="Z442" s="29"/>
      <c r="AA442" s="29"/>
      <c r="AB442" s="29"/>
      <c r="AC442" s="29"/>
      <c r="AD442" s="29"/>
      <c r="AE442" s="29"/>
      <c r="AF442" s="29"/>
      <c r="AG442" s="30"/>
      <c r="AH442" s="29"/>
      <c r="AI442" s="29"/>
      <c r="AJ442" s="29"/>
      <c r="AK442" s="30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0">
        <f t="shared" si="52"/>
        <v>0</v>
      </c>
      <c r="BO442" s="20">
        <f t="shared" si="53"/>
        <v>0</v>
      </c>
      <c r="BP442" s="20">
        <f t="shared" si="54"/>
        <v>10</v>
      </c>
      <c r="BQ442" s="51">
        <f t="shared" si="55"/>
        <v>1.5</v>
      </c>
      <c r="BR442" s="56" t="s">
        <v>912</v>
      </c>
      <c r="BS442" s="91" t="s">
        <v>913</v>
      </c>
      <c r="BT442" s="36"/>
      <c r="BU442" s="133" t="s">
        <v>911</v>
      </c>
    </row>
    <row r="443" s="1" customFormat="1" customHeight="1" spans="1:73">
      <c r="A443" s="15" t="s">
        <v>896</v>
      </c>
      <c r="B443" s="15">
        <v>160</v>
      </c>
      <c r="C443" s="16">
        <v>390</v>
      </c>
      <c r="D443" s="29"/>
      <c r="E443" s="29"/>
      <c r="F443" s="29"/>
      <c r="G443" s="29"/>
      <c r="H443" s="29"/>
      <c r="I443" s="29"/>
      <c r="J443" s="29"/>
      <c r="K443" s="29"/>
      <c r="L443" s="29"/>
      <c r="M443" s="29">
        <v>27</v>
      </c>
      <c r="N443" s="29"/>
      <c r="O443" s="29"/>
      <c r="P443" s="29"/>
      <c r="Q443" s="29"/>
      <c r="R443" s="29"/>
      <c r="S443" s="29"/>
      <c r="T443" s="29"/>
      <c r="U443" s="29"/>
      <c r="V443" s="29"/>
      <c r="W443" s="30"/>
      <c r="X443" s="29"/>
      <c r="Y443" s="29"/>
      <c r="Z443" s="29"/>
      <c r="AA443" s="29"/>
      <c r="AB443" s="29"/>
      <c r="AC443" s="29"/>
      <c r="AD443" s="29"/>
      <c r="AE443" s="29"/>
      <c r="AF443" s="29"/>
      <c r="AG443" s="30"/>
      <c r="AH443" s="29"/>
      <c r="AI443" s="29"/>
      <c r="AJ443" s="29"/>
      <c r="AK443" s="30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0">
        <f t="shared" si="52"/>
        <v>0</v>
      </c>
      <c r="BO443" s="20">
        <f t="shared" si="53"/>
        <v>27</v>
      </c>
      <c r="BP443" s="20">
        <f t="shared" si="54"/>
        <v>363</v>
      </c>
      <c r="BQ443" s="51">
        <f t="shared" si="55"/>
        <v>58.08</v>
      </c>
      <c r="BR443" s="56" t="s">
        <v>903</v>
      </c>
      <c r="BS443" s="27" t="s">
        <v>914</v>
      </c>
      <c r="BT443" s="36"/>
      <c r="BU443" s="133" t="s">
        <v>911</v>
      </c>
    </row>
    <row r="444" s="1" customFormat="1" customHeight="1" spans="1:73">
      <c r="A444" s="15" t="s">
        <v>896</v>
      </c>
      <c r="B444" s="15">
        <v>165</v>
      </c>
      <c r="C444" s="16">
        <v>273</v>
      </c>
      <c r="D444" s="29"/>
      <c r="E444" s="30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30"/>
      <c r="T444" s="29"/>
      <c r="U444" s="29"/>
      <c r="V444" s="29"/>
      <c r="W444" s="30"/>
      <c r="X444" s="29"/>
      <c r="Y444" s="29"/>
      <c r="Z444" s="29"/>
      <c r="AA444" s="29"/>
      <c r="AB444" s="29"/>
      <c r="AC444" s="29"/>
      <c r="AD444" s="29"/>
      <c r="AE444" s="29"/>
      <c r="AF444" s="29"/>
      <c r="AG444" s="30"/>
      <c r="AH444" s="29"/>
      <c r="AI444" s="29"/>
      <c r="AJ444" s="29"/>
      <c r="AK444" s="30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0">
        <f t="shared" si="52"/>
        <v>0</v>
      </c>
      <c r="BO444" s="20">
        <f t="shared" si="53"/>
        <v>0</v>
      </c>
      <c r="BP444" s="20">
        <f t="shared" si="54"/>
        <v>273</v>
      </c>
      <c r="BQ444" s="51">
        <f t="shared" si="55"/>
        <v>45.045</v>
      </c>
      <c r="BR444" s="56" t="s">
        <v>915</v>
      </c>
      <c r="BS444" s="27" t="s">
        <v>886</v>
      </c>
      <c r="BT444" s="36"/>
      <c r="BU444" s="133" t="s">
        <v>911</v>
      </c>
    </row>
    <row r="445" s="1" customFormat="1" customHeight="1" spans="1:73">
      <c r="A445" s="15" t="s">
        <v>896</v>
      </c>
      <c r="B445" s="15">
        <v>170</v>
      </c>
      <c r="C445" s="16">
        <v>112</v>
      </c>
      <c r="D445" s="29"/>
      <c r="E445" s="30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30"/>
      <c r="T445" s="29"/>
      <c r="U445" s="29"/>
      <c r="V445" s="29"/>
      <c r="W445" s="30"/>
      <c r="X445" s="29"/>
      <c r="Y445" s="29"/>
      <c r="Z445" s="29"/>
      <c r="AA445" s="29"/>
      <c r="AB445" s="29"/>
      <c r="AC445" s="29"/>
      <c r="AD445" s="29"/>
      <c r="AE445" s="29"/>
      <c r="AF445" s="29"/>
      <c r="AG445" s="30"/>
      <c r="AH445" s="29"/>
      <c r="AI445" s="29"/>
      <c r="AJ445" s="29"/>
      <c r="AK445" s="30"/>
      <c r="AL445" s="29"/>
      <c r="AM445" s="30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0">
        <f t="shared" si="52"/>
        <v>0</v>
      </c>
      <c r="BO445" s="20">
        <f t="shared" si="53"/>
        <v>0</v>
      </c>
      <c r="BP445" s="20">
        <f t="shared" si="54"/>
        <v>112</v>
      </c>
      <c r="BQ445" s="51">
        <f t="shared" si="55"/>
        <v>19.04</v>
      </c>
      <c r="BR445" s="56" t="s">
        <v>883</v>
      </c>
      <c r="BS445" s="27" t="s">
        <v>888</v>
      </c>
      <c r="BT445" s="36"/>
      <c r="BU445" s="133" t="s">
        <v>911</v>
      </c>
    </row>
    <row r="446" s="1" customFormat="1" customHeight="1" spans="1:73">
      <c r="A446" s="15" t="s">
        <v>896</v>
      </c>
      <c r="B446" s="15">
        <v>180</v>
      </c>
      <c r="C446" s="16">
        <v>196</v>
      </c>
      <c r="D446" s="29"/>
      <c r="E446" s="30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30"/>
      <c r="X446" s="29"/>
      <c r="Y446" s="29"/>
      <c r="Z446" s="29"/>
      <c r="AA446" s="29"/>
      <c r="AB446" s="29"/>
      <c r="AC446" s="29"/>
      <c r="AD446" s="29"/>
      <c r="AE446" s="29"/>
      <c r="AF446" s="29"/>
      <c r="AG446" s="30"/>
      <c r="AH446" s="29"/>
      <c r="AI446" s="29"/>
      <c r="AJ446" s="29"/>
      <c r="AK446" s="30"/>
      <c r="AL446" s="29"/>
      <c r="AM446" s="30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0">
        <f t="shared" si="52"/>
        <v>0</v>
      </c>
      <c r="BO446" s="20">
        <f t="shared" si="53"/>
        <v>0</v>
      </c>
      <c r="BP446" s="20">
        <f t="shared" si="54"/>
        <v>196</v>
      </c>
      <c r="BQ446" s="51">
        <f t="shared" si="55"/>
        <v>35.28</v>
      </c>
      <c r="BR446" s="56" t="s">
        <v>131</v>
      </c>
      <c r="BS446" s="27" t="s">
        <v>916</v>
      </c>
      <c r="BT446" s="36" t="s">
        <v>917</v>
      </c>
      <c r="BU446" s="133" t="s">
        <v>911</v>
      </c>
    </row>
    <row r="447" s="1" customFormat="1" customHeight="1" spans="1:73">
      <c r="A447" s="15" t="s">
        <v>896</v>
      </c>
      <c r="B447" s="15">
        <v>190</v>
      </c>
      <c r="C447" s="16">
        <v>194</v>
      </c>
      <c r="D447" s="29"/>
      <c r="E447" s="30"/>
      <c r="F447" s="29"/>
      <c r="G447" s="29"/>
      <c r="H447" s="29"/>
      <c r="I447" s="29">
        <v>7</v>
      </c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30"/>
      <c r="X447" s="29"/>
      <c r="Y447" s="29"/>
      <c r="Z447" s="29"/>
      <c r="AA447" s="29"/>
      <c r="AB447" s="29"/>
      <c r="AC447" s="29"/>
      <c r="AD447" s="29"/>
      <c r="AE447" s="29"/>
      <c r="AF447" s="29"/>
      <c r="AG447" s="30"/>
      <c r="AH447" s="29"/>
      <c r="AI447" s="29"/>
      <c r="AJ447" s="29"/>
      <c r="AK447" s="30"/>
      <c r="AL447" s="29"/>
      <c r="AM447" s="30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0">
        <f t="shared" si="52"/>
        <v>0</v>
      </c>
      <c r="BO447" s="20">
        <f t="shared" si="53"/>
        <v>7</v>
      </c>
      <c r="BP447" s="20">
        <f t="shared" si="54"/>
        <v>187</v>
      </c>
      <c r="BQ447" s="51">
        <f t="shared" si="55"/>
        <v>35.53</v>
      </c>
      <c r="BR447" s="56" t="s">
        <v>907</v>
      </c>
      <c r="BS447" s="27" t="s">
        <v>918</v>
      </c>
      <c r="BT447" s="36"/>
      <c r="BU447" s="133" t="s">
        <v>911</v>
      </c>
    </row>
    <row r="448" s="1" customFormat="1" customHeight="1" spans="1:73">
      <c r="A448" s="15" t="s">
        <v>896</v>
      </c>
      <c r="B448" s="15">
        <v>200</v>
      </c>
      <c r="C448" s="16">
        <v>742</v>
      </c>
      <c r="D448" s="29"/>
      <c r="E448" s="30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30"/>
      <c r="X448" s="29"/>
      <c r="Y448" s="29"/>
      <c r="Z448" s="29"/>
      <c r="AA448" s="29"/>
      <c r="AB448" s="29"/>
      <c r="AC448" s="29"/>
      <c r="AD448" s="29"/>
      <c r="AE448" s="29"/>
      <c r="AF448" s="29"/>
      <c r="AG448" s="30"/>
      <c r="AH448" s="29"/>
      <c r="AI448" s="29"/>
      <c r="AJ448" s="29"/>
      <c r="AK448" s="30"/>
      <c r="AL448" s="29"/>
      <c r="AM448" s="30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30"/>
      <c r="BH448" s="29"/>
      <c r="BI448" s="29"/>
      <c r="BJ448" s="29"/>
      <c r="BK448" s="29"/>
      <c r="BL448" s="29"/>
      <c r="BM448" s="30"/>
      <c r="BN448" s="20">
        <f t="shared" si="52"/>
        <v>0</v>
      </c>
      <c r="BO448" s="20">
        <f t="shared" si="53"/>
        <v>0</v>
      </c>
      <c r="BP448" s="20">
        <f t="shared" si="54"/>
        <v>742</v>
      </c>
      <c r="BQ448" s="51">
        <f t="shared" si="55"/>
        <v>148.4</v>
      </c>
      <c r="BR448" s="56" t="s">
        <v>919</v>
      </c>
      <c r="BS448" s="27" t="s">
        <v>886</v>
      </c>
      <c r="BT448" s="36" t="s">
        <v>920</v>
      </c>
      <c r="BU448" s="133" t="s">
        <v>911</v>
      </c>
    </row>
    <row r="449" s="1" customFormat="1" customHeight="1" spans="1:74">
      <c r="A449" s="15" t="s">
        <v>896</v>
      </c>
      <c r="B449" s="15">
        <v>210</v>
      </c>
      <c r="C449" s="16">
        <v>343</v>
      </c>
      <c r="D449" s="30"/>
      <c r="E449" s="30"/>
      <c r="F449" s="29"/>
      <c r="G449" s="29"/>
      <c r="H449" s="29"/>
      <c r="I449" s="29">
        <v>1.5</v>
      </c>
      <c r="J449" s="29"/>
      <c r="K449" s="29">
        <v>80</v>
      </c>
      <c r="L449" s="29"/>
      <c r="M449" s="30"/>
      <c r="N449" s="29"/>
      <c r="O449" s="29"/>
      <c r="P449" s="29"/>
      <c r="Q449" s="29"/>
      <c r="R449" s="29"/>
      <c r="S449" s="30"/>
      <c r="T449" s="29"/>
      <c r="U449" s="29"/>
      <c r="V449" s="29"/>
      <c r="W449" s="29"/>
      <c r="X449" s="29"/>
      <c r="Y449" s="29"/>
      <c r="Z449" s="29"/>
      <c r="AA449" s="30"/>
      <c r="AB449" s="29"/>
      <c r="AC449" s="29"/>
      <c r="AD449" s="29"/>
      <c r="AE449" s="30"/>
      <c r="AF449" s="29"/>
      <c r="AG449" s="30"/>
      <c r="AH449" s="29"/>
      <c r="AI449" s="29"/>
      <c r="AJ449" s="29"/>
      <c r="AK449" s="30"/>
      <c r="AL449" s="29"/>
      <c r="AM449" s="30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0">
        <f t="shared" si="52"/>
        <v>0</v>
      </c>
      <c r="BO449" s="20">
        <f t="shared" si="53"/>
        <v>81.5</v>
      </c>
      <c r="BP449" s="20">
        <f t="shared" si="54"/>
        <v>261.5</v>
      </c>
      <c r="BQ449" s="51">
        <f t="shared" si="55"/>
        <v>54.915</v>
      </c>
      <c r="BR449" s="56" t="s">
        <v>919</v>
      </c>
      <c r="BS449" s="91" t="s">
        <v>886</v>
      </c>
      <c r="BT449" s="36"/>
      <c r="BU449" s="133" t="s">
        <v>911</v>
      </c>
    </row>
    <row r="450" s="1" customFormat="1" customHeight="1" spans="1:74">
      <c r="A450" s="15" t="s">
        <v>896</v>
      </c>
      <c r="B450" s="15">
        <v>215</v>
      </c>
      <c r="C450" s="16">
        <v>148</v>
      </c>
      <c r="D450" s="29"/>
      <c r="E450" s="30"/>
      <c r="F450" s="29"/>
      <c r="G450" s="29"/>
      <c r="H450" s="29"/>
      <c r="I450" s="29"/>
      <c r="J450" s="29"/>
      <c r="K450" s="29"/>
      <c r="L450" s="29"/>
      <c r="M450" s="30"/>
      <c r="N450" s="29"/>
      <c r="O450" s="30"/>
      <c r="P450" s="29"/>
      <c r="Q450" s="30"/>
      <c r="R450" s="29"/>
      <c r="S450" s="30"/>
      <c r="T450" s="29"/>
      <c r="U450" s="29"/>
      <c r="V450" s="29"/>
      <c r="W450" s="29"/>
      <c r="X450" s="29"/>
      <c r="Y450" s="29"/>
      <c r="Z450" s="29"/>
      <c r="AA450" s="30"/>
      <c r="AB450" s="29"/>
      <c r="AC450" s="29"/>
      <c r="AD450" s="29"/>
      <c r="AE450" s="29"/>
      <c r="AF450" s="29"/>
      <c r="AG450" s="30"/>
      <c r="AH450" s="29"/>
      <c r="AI450" s="30"/>
      <c r="AJ450" s="29"/>
      <c r="AK450" s="30"/>
      <c r="AL450" s="29"/>
      <c r="AM450" s="30"/>
      <c r="AN450" s="29"/>
      <c r="AO450" s="29"/>
      <c r="AP450" s="29"/>
      <c r="AQ450" s="29"/>
      <c r="AR450" s="29"/>
      <c r="AS450" s="29"/>
      <c r="AT450" s="29"/>
      <c r="AU450" s="30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0">
        <f t="shared" si="52"/>
        <v>0</v>
      </c>
      <c r="BO450" s="20">
        <f t="shared" si="53"/>
        <v>0</v>
      </c>
      <c r="BP450" s="20">
        <f t="shared" si="54"/>
        <v>148</v>
      </c>
      <c r="BQ450" s="51">
        <f t="shared" si="55"/>
        <v>31.82</v>
      </c>
      <c r="BR450" s="56" t="s">
        <v>921</v>
      </c>
      <c r="BS450" s="27" t="s">
        <v>906</v>
      </c>
      <c r="BT450" s="36"/>
      <c r="BU450" s="133" t="s">
        <v>911</v>
      </c>
    </row>
    <row r="451" s="1" customFormat="1" customHeight="1" spans="1:74">
      <c r="A451" s="15" t="s">
        <v>896</v>
      </c>
      <c r="B451" s="15">
        <v>230</v>
      </c>
      <c r="C451" s="16">
        <v>400</v>
      </c>
      <c r="D451" s="29"/>
      <c r="E451" s="30"/>
      <c r="F451" s="29"/>
      <c r="G451" s="29"/>
      <c r="H451" s="29"/>
      <c r="I451" s="29"/>
      <c r="J451" s="29"/>
      <c r="K451" s="29">
        <v>18</v>
      </c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30"/>
      <c r="X451" s="29"/>
      <c r="Y451" s="29"/>
      <c r="Z451" s="29"/>
      <c r="AA451" s="29"/>
      <c r="AB451" s="29"/>
      <c r="AC451" s="29"/>
      <c r="AD451" s="29"/>
      <c r="AE451" s="29"/>
      <c r="AF451" s="29"/>
      <c r="AG451" s="30"/>
      <c r="AH451" s="29"/>
      <c r="AI451" s="29"/>
      <c r="AJ451" s="29"/>
      <c r="AK451" s="30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0">
        <f t="shared" si="52"/>
        <v>0</v>
      </c>
      <c r="BO451" s="20">
        <f t="shared" si="53"/>
        <v>18</v>
      </c>
      <c r="BP451" s="20">
        <f t="shared" si="54"/>
        <v>382</v>
      </c>
      <c r="BQ451" s="51">
        <f t="shared" si="55"/>
        <v>87.86</v>
      </c>
      <c r="BR451" s="56" t="s">
        <v>332</v>
      </c>
      <c r="BS451" s="91" t="s">
        <v>753</v>
      </c>
      <c r="BT451" s="36"/>
      <c r="BU451" s="133" t="s">
        <v>911</v>
      </c>
    </row>
    <row r="452" s="1" customFormat="1" customHeight="1" spans="1:74">
      <c r="A452" s="15" t="s">
        <v>896</v>
      </c>
      <c r="B452" s="15">
        <v>240</v>
      </c>
      <c r="C452" s="16">
        <v>34</v>
      </c>
      <c r="D452" s="29"/>
      <c r="E452" s="30"/>
      <c r="F452" s="29"/>
      <c r="G452" s="29"/>
      <c r="H452" s="29"/>
      <c r="I452" s="29"/>
      <c r="J452" s="29"/>
      <c r="K452" s="29">
        <v>43</v>
      </c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30"/>
      <c r="X452" s="29"/>
      <c r="Y452" s="29"/>
      <c r="Z452" s="29"/>
      <c r="AA452" s="29"/>
      <c r="AB452" s="29"/>
      <c r="AC452" s="29"/>
      <c r="AD452" s="29"/>
      <c r="AE452" s="29"/>
      <c r="AF452" s="29"/>
      <c r="AG452" s="30"/>
      <c r="AH452" s="29"/>
      <c r="AI452" s="29"/>
      <c r="AJ452" s="29"/>
      <c r="AK452" s="30"/>
      <c r="AL452" s="29"/>
      <c r="AM452" s="30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0">
        <f t="shared" si="52"/>
        <v>0</v>
      </c>
      <c r="BO452" s="20">
        <f t="shared" si="53"/>
        <v>43</v>
      </c>
      <c r="BP452" s="20">
        <f t="shared" si="54"/>
        <v>-9</v>
      </c>
      <c r="BQ452" s="51">
        <f t="shared" si="55"/>
        <v>-2.16</v>
      </c>
      <c r="BR452" s="56" t="s">
        <v>922</v>
      </c>
      <c r="BS452" s="91" t="s">
        <v>910</v>
      </c>
      <c r="BT452" s="36"/>
      <c r="BU452" s="133" t="s">
        <v>911</v>
      </c>
    </row>
    <row r="453" s="1" customFormat="1" customHeight="1" spans="1:74">
      <c r="A453" s="15" t="s">
        <v>896</v>
      </c>
      <c r="B453" s="15">
        <v>245</v>
      </c>
      <c r="C453" s="16">
        <v>643</v>
      </c>
      <c r="D453" s="29"/>
      <c r="E453" s="30"/>
      <c r="F453" s="29"/>
      <c r="G453" s="29"/>
      <c r="H453" s="29"/>
      <c r="I453" s="29"/>
      <c r="J453" s="29"/>
      <c r="K453" s="29">
        <v>104</v>
      </c>
      <c r="L453" s="29"/>
      <c r="M453" s="29">
        <v>6</v>
      </c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30"/>
      <c r="AH453" s="29"/>
      <c r="AI453" s="29"/>
      <c r="AJ453" s="29"/>
      <c r="AK453" s="30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0">
        <f t="shared" si="52"/>
        <v>0</v>
      </c>
      <c r="BO453" s="20">
        <f t="shared" si="53"/>
        <v>110</v>
      </c>
      <c r="BP453" s="20">
        <f t="shared" si="54"/>
        <v>533</v>
      </c>
      <c r="BQ453" s="51">
        <f t="shared" si="55"/>
        <v>130.585</v>
      </c>
      <c r="BR453" s="56" t="s">
        <v>905</v>
      </c>
      <c r="BS453" s="91" t="s">
        <v>923</v>
      </c>
      <c r="BT453" s="36"/>
      <c r="BU453" s="133" t="s">
        <v>911</v>
      </c>
    </row>
    <row r="454" s="1" customFormat="1" customHeight="1" spans="1:74">
      <c r="A454" s="15" t="s">
        <v>896</v>
      </c>
      <c r="B454" s="15">
        <v>250</v>
      </c>
      <c r="C454" s="16">
        <v>85</v>
      </c>
      <c r="D454" s="29"/>
      <c r="E454" s="30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30"/>
      <c r="X454" s="29"/>
      <c r="Y454" s="29"/>
      <c r="Z454" s="29"/>
      <c r="AA454" s="29"/>
      <c r="AB454" s="29"/>
      <c r="AC454" s="29"/>
      <c r="AD454" s="29"/>
      <c r="AE454" s="29"/>
      <c r="AF454" s="29"/>
      <c r="AG454" s="30"/>
      <c r="AH454" s="29"/>
      <c r="AI454" s="29"/>
      <c r="AJ454" s="29"/>
      <c r="AK454" s="30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0">
        <f t="shared" si="52"/>
        <v>0</v>
      </c>
      <c r="BO454" s="20">
        <f t="shared" si="53"/>
        <v>0</v>
      </c>
      <c r="BP454" s="20">
        <f t="shared" si="54"/>
        <v>85</v>
      </c>
      <c r="BQ454" s="51">
        <f t="shared" si="55"/>
        <v>21.25</v>
      </c>
      <c r="BR454" s="56" t="s">
        <v>903</v>
      </c>
      <c r="BS454" s="91" t="s">
        <v>914</v>
      </c>
      <c r="BT454" s="36"/>
      <c r="BU454" s="133" t="s">
        <v>911</v>
      </c>
    </row>
    <row r="455" s="1" customFormat="1" customHeight="1" spans="1:74">
      <c r="A455" s="15" t="s">
        <v>896</v>
      </c>
      <c r="B455" s="15">
        <v>265</v>
      </c>
      <c r="C455" s="16">
        <v>387</v>
      </c>
      <c r="D455" s="29"/>
      <c r="E455" s="30"/>
      <c r="F455" s="29"/>
      <c r="G455" s="29"/>
      <c r="H455" s="29"/>
      <c r="I455" s="29"/>
      <c r="J455" s="29"/>
      <c r="K455" s="29"/>
      <c r="L455" s="29"/>
      <c r="M455" s="29"/>
      <c r="N455" s="29"/>
      <c r="O455" s="30">
        <v>263</v>
      </c>
      <c r="P455" s="29"/>
      <c r="Q455" s="29"/>
      <c r="R455" s="29"/>
      <c r="S455" s="29"/>
      <c r="T455" s="29"/>
      <c r="U455" s="29"/>
      <c r="V455" s="29"/>
      <c r="W455" s="30"/>
      <c r="X455" s="29"/>
      <c r="Y455" s="29"/>
      <c r="Z455" s="29"/>
      <c r="AA455" s="29"/>
      <c r="AB455" s="29"/>
      <c r="AC455" s="29"/>
      <c r="AD455" s="29"/>
      <c r="AE455" s="29"/>
      <c r="AF455" s="29"/>
      <c r="AG455" s="30"/>
      <c r="AH455" s="29"/>
      <c r="AI455" s="29"/>
      <c r="AJ455" s="29"/>
      <c r="AK455" s="30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0">
        <f t="shared" si="52"/>
        <v>0</v>
      </c>
      <c r="BO455" s="20">
        <f t="shared" si="53"/>
        <v>263</v>
      </c>
      <c r="BP455" s="20">
        <f t="shared" si="54"/>
        <v>124</v>
      </c>
      <c r="BQ455" s="51">
        <f t="shared" si="55"/>
        <v>32.86</v>
      </c>
      <c r="BR455" s="56" t="s">
        <v>922</v>
      </c>
      <c r="BS455" s="91" t="s">
        <v>910</v>
      </c>
      <c r="BT455" s="36"/>
      <c r="BU455" s="133" t="s">
        <v>911</v>
      </c>
    </row>
    <row r="456" s="1" customFormat="1" customHeight="1" spans="1:74">
      <c r="A456" s="15" t="s">
        <v>896</v>
      </c>
      <c r="B456" s="15">
        <v>270</v>
      </c>
      <c r="C456" s="16">
        <v>45</v>
      </c>
      <c r="D456" s="29"/>
      <c r="E456" s="30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30"/>
      <c r="AH456" s="29"/>
      <c r="AI456" s="29"/>
      <c r="AJ456" s="29"/>
      <c r="AK456" s="30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0">
        <f t="shared" si="52"/>
        <v>0</v>
      </c>
      <c r="BO456" s="20">
        <f t="shared" si="53"/>
        <v>0</v>
      </c>
      <c r="BP456" s="20">
        <f t="shared" si="54"/>
        <v>45</v>
      </c>
      <c r="BQ456" s="51">
        <f t="shared" si="55"/>
        <v>12.15</v>
      </c>
      <c r="BR456" s="56" t="s">
        <v>866</v>
      </c>
      <c r="BS456" s="91" t="s">
        <v>924</v>
      </c>
      <c r="BT456" s="36"/>
      <c r="BU456" s="133" t="s">
        <v>911</v>
      </c>
    </row>
    <row r="457" s="1" customFormat="1" customHeight="1" spans="1:74">
      <c r="A457" s="15" t="s">
        <v>896</v>
      </c>
      <c r="B457" s="15">
        <v>275</v>
      </c>
      <c r="C457" s="16">
        <v>620</v>
      </c>
      <c r="D457" s="29"/>
      <c r="E457" s="30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30"/>
      <c r="AH457" s="29"/>
      <c r="AI457" s="29"/>
      <c r="AJ457" s="29"/>
      <c r="AK457" s="30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0">
        <f t="shared" si="52"/>
        <v>0</v>
      </c>
      <c r="BO457" s="20">
        <f t="shared" si="53"/>
        <v>0</v>
      </c>
      <c r="BP457" s="20">
        <f t="shared" si="54"/>
        <v>620</v>
      </c>
      <c r="BQ457" s="51">
        <f t="shared" si="55"/>
        <v>170.5</v>
      </c>
      <c r="BR457" s="56" t="s">
        <v>903</v>
      </c>
      <c r="BS457" s="91" t="s">
        <v>753</v>
      </c>
      <c r="BT457" s="36"/>
      <c r="BU457" s="133" t="s">
        <v>911</v>
      </c>
    </row>
    <row r="458" s="1" customFormat="1" customHeight="1" spans="1:74">
      <c r="A458" s="15" t="s">
        <v>896</v>
      </c>
      <c r="B458" s="15">
        <v>285</v>
      </c>
      <c r="C458" s="16">
        <v>108</v>
      </c>
      <c r="D458" s="29"/>
      <c r="E458" s="30"/>
      <c r="F458" s="29"/>
      <c r="G458" s="29"/>
      <c r="H458" s="29"/>
      <c r="I458" s="29"/>
      <c r="J458" s="29"/>
      <c r="K458" s="29"/>
      <c r="L458" s="29"/>
      <c r="M458" s="29"/>
      <c r="N458" s="29"/>
      <c r="O458" s="29">
        <v>108</v>
      </c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30"/>
      <c r="AH458" s="29"/>
      <c r="AI458" s="29"/>
      <c r="AJ458" s="29"/>
      <c r="AK458" s="30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0">
        <f t="shared" si="52"/>
        <v>0</v>
      </c>
      <c r="BO458" s="20">
        <f t="shared" si="53"/>
        <v>108</v>
      </c>
      <c r="BP458" s="20">
        <f t="shared" si="54"/>
        <v>0</v>
      </c>
      <c r="BQ458" s="51">
        <f t="shared" si="55"/>
        <v>0</v>
      </c>
      <c r="BR458" s="56" t="s">
        <v>99</v>
      </c>
      <c r="BS458" s="91" t="s">
        <v>888</v>
      </c>
      <c r="BT458" s="36"/>
      <c r="BU458" s="133" t="s">
        <v>911</v>
      </c>
    </row>
    <row r="459" s="1" customFormat="1" customHeight="1" spans="1:74">
      <c r="A459" s="15" t="s">
        <v>896</v>
      </c>
      <c r="B459" s="15">
        <v>290</v>
      </c>
      <c r="C459" s="16">
        <v>400</v>
      </c>
      <c r="D459" s="29"/>
      <c r="E459" s="30"/>
      <c r="F459" s="29"/>
      <c r="G459" s="29"/>
      <c r="H459" s="29"/>
      <c r="I459" s="29"/>
      <c r="J459" s="29"/>
      <c r="K459" s="29">
        <v>159</v>
      </c>
      <c r="L459" s="29"/>
      <c r="M459" s="29"/>
      <c r="N459" s="29"/>
      <c r="O459" s="29">
        <v>140</v>
      </c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30"/>
      <c r="AH459" s="29"/>
      <c r="AI459" s="29"/>
      <c r="AJ459" s="29"/>
      <c r="AK459" s="30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0">
        <f t="shared" si="52"/>
        <v>0</v>
      </c>
      <c r="BO459" s="20">
        <f t="shared" si="53"/>
        <v>299</v>
      </c>
      <c r="BP459" s="20">
        <f t="shared" si="54"/>
        <v>101</v>
      </c>
      <c r="BQ459" s="51">
        <f t="shared" si="55"/>
        <v>29.29</v>
      </c>
      <c r="BR459" s="56" t="s">
        <v>903</v>
      </c>
      <c r="BS459" s="91" t="s">
        <v>753</v>
      </c>
      <c r="BT459" s="36"/>
      <c r="BU459" s="133" t="s">
        <v>911</v>
      </c>
    </row>
    <row r="460" s="1" customFormat="1" customHeight="1" spans="1:74">
      <c r="A460" s="15" t="s">
        <v>896</v>
      </c>
      <c r="B460" s="15">
        <v>295</v>
      </c>
      <c r="C460" s="16">
        <v>227</v>
      </c>
      <c r="D460" s="29"/>
      <c r="E460" s="30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30"/>
      <c r="X460" s="29"/>
      <c r="Y460" s="29"/>
      <c r="Z460" s="29"/>
      <c r="AA460" s="29"/>
      <c r="AB460" s="29"/>
      <c r="AC460" s="29"/>
      <c r="AD460" s="29"/>
      <c r="AE460" s="29"/>
      <c r="AF460" s="29"/>
      <c r="AG460" s="30"/>
      <c r="AH460" s="29"/>
      <c r="AI460" s="29"/>
      <c r="AJ460" s="29"/>
      <c r="AK460" s="30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0">
        <f t="shared" si="52"/>
        <v>0</v>
      </c>
      <c r="BO460" s="20">
        <f t="shared" si="53"/>
        <v>0</v>
      </c>
      <c r="BP460" s="20">
        <f t="shared" si="54"/>
        <v>227</v>
      </c>
      <c r="BQ460" s="51">
        <f t="shared" si="55"/>
        <v>66.965</v>
      </c>
      <c r="BR460" s="56" t="s">
        <v>912</v>
      </c>
      <c r="BS460" s="91" t="s">
        <v>913</v>
      </c>
      <c r="BT460" s="36"/>
      <c r="BU460" s="133" t="s">
        <v>911</v>
      </c>
    </row>
    <row r="461" s="1" customFormat="1" customHeight="1" spans="1:74">
      <c r="A461" s="15" t="s">
        <v>896</v>
      </c>
      <c r="B461" s="15">
        <v>305</v>
      </c>
      <c r="C461" s="16">
        <v>800</v>
      </c>
      <c r="D461" s="29"/>
      <c r="E461" s="30"/>
      <c r="F461" s="29"/>
      <c r="G461" s="29"/>
      <c r="H461" s="29"/>
      <c r="I461" s="29"/>
      <c r="J461" s="29"/>
      <c r="K461" s="29">
        <v>318</v>
      </c>
      <c r="L461" s="29"/>
      <c r="M461" s="29"/>
      <c r="N461" s="29"/>
      <c r="O461" s="29">
        <v>245</v>
      </c>
      <c r="P461" s="29"/>
      <c r="Q461" s="29"/>
      <c r="R461" s="29"/>
      <c r="S461" s="29"/>
      <c r="T461" s="29"/>
      <c r="U461" s="29"/>
      <c r="V461" s="29"/>
      <c r="W461" s="30"/>
      <c r="X461" s="29"/>
      <c r="Y461" s="29"/>
      <c r="Z461" s="29"/>
      <c r="AA461" s="29"/>
      <c r="AB461" s="29"/>
      <c r="AC461" s="29"/>
      <c r="AD461" s="29"/>
      <c r="AE461" s="29"/>
      <c r="AF461" s="29"/>
      <c r="AG461" s="30"/>
      <c r="AH461" s="29"/>
      <c r="AI461" s="29"/>
      <c r="AJ461" s="29"/>
      <c r="AK461" s="30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0">
        <f t="shared" si="52"/>
        <v>0</v>
      </c>
      <c r="BO461" s="20">
        <f t="shared" si="53"/>
        <v>563</v>
      </c>
      <c r="BP461" s="20">
        <f t="shared" si="54"/>
        <v>237</v>
      </c>
      <c r="BQ461" s="51">
        <f t="shared" si="55"/>
        <v>72.285</v>
      </c>
      <c r="BR461" s="56" t="s">
        <v>905</v>
      </c>
      <c r="BS461" s="91" t="s">
        <v>888</v>
      </c>
      <c r="BT461" s="36"/>
      <c r="BU461" s="133" t="s">
        <v>911</v>
      </c>
    </row>
    <row r="462" s="1" customFormat="1" customHeight="1" spans="1:74">
      <c r="A462" s="15" t="s">
        <v>896</v>
      </c>
      <c r="B462" s="15">
        <v>315</v>
      </c>
      <c r="C462" s="16">
        <v>177</v>
      </c>
      <c r="D462" s="29"/>
      <c r="E462" s="30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30"/>
      <c r="X462" s="29"/>
      <c r="Y462" s="29"/>
      <c r="Z462" s="29"/>
      <c r="AA462" s="29"/>
      <c r="AB462" s="29"/>
      <c r="AC462" s="29"/>
      <c r="AD462" s="29"/>
      <c r="AE462" s="29"/>
      <c r="AF462" s="29"/>
      <c r="AG462" s="30"/>
      <c r="AH462" s="29"/>
      <c r="AI462" s="29"/>
      <c r="AJ462" s="29"/>
      <c r="AK462" s="30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0">
        <f t="shared" si="52"/>
        <v>0</v>
      </c>
      <c r="BO462" s="20">
        <f t="shared" si="53"/>
        <v>0</v>
      </c>
      <c r="BP462" s="20">
        <f t="shared" si="54"/>
        <v>177</v>
      </c>
      <c r="BQ462" s="51">
        <f t="shared" si="55"/>
        <v>55.755</v>
      </c>
      <c r="BR462" s="56" t="s">
        <v>158</v>
      </c>
      <c r="BS462" s="91" t="s">
        <v>789</v>
      </c>
      <c r="BT462" s="36"/>
      <c r="BU462" s="133" t="s">
        <v>911</v>
      </c>
    </row>
    <row r="463" s="1" customFormat="1" customHeight="1" spans="1:74">
      <c r="A463" s="15" t="s">
        <v>896</v>
      </c>
      <c r="B463" s="15">
        <v>325</v>
      </c>
      <c r="C463" s="16">
        <v>308</v>
      </c>
      <c r="D463" s="30"/>
      <c r="E463" s="30"/>
      <c r="F463" s="29"/>
      <c r="G463" s="29"/>
      <c r="H463" s="29"/>
      <c r="I463" s="29"/>
      <c r="J463" s="29"/>
      <c r="K463" s="29"/>
      <c r="L463" s="29"/>
      <c r="M463" s="29">
        <v>308</v>
      </c>
      <c r="N463" s="29"/>
      <c r="O463" s="30"/>
      <c r="P463" s="29"/>
      <c r="Q463" s="30"/>
      <c r="R463" s="29"/>
      <c r="S463" s="29"/>
      <c r="T463" s="29"/>
      <c r="U463" s="30"/>
      <c r="V463" s="29"/>
      <c r="W463" s="30"/>
      <c r="X463" s="29"/>
      <c r="Y463" s="30"/>
      <c r="Z463" s="29"/>
      <c r="AA463" s="30"/>
      <c r="AB463" s="29"/>
      <c r="AC463" s="29"/>
      <c r="AD463" s="29"/>
      <c r="AE463" s="29"/>
      <c r="AF463" s="29"/>
      <c r="AG463" s="30"/>
      <c r="AH463" s="29"/>
      <c r="AI463" s="29"/>
      <c r="AJ463" s="29"/>
      <c r="AK463" s="29"/>
      <c r="AL463" s="29"/>
      <c r="AM463" s="30"/>
      <c r="AN463" s="29"/>
      <c r="AO463" s="29"/>
      <c r="AP463" s="29"/>
      <c r="AQ463" s="29"/>
      <c r="AR463" s="29"/>
      <c r="AS463" s="29"/>
      <c r="AT463" s="29"/>
      <c r="AU463" s="30"/>
      <c r="AV463" s="29"/>
      <c r="AW463" s="29"/>
      <c r="AX463" s="29"/>
      <c r="AY463" s="29"/>
      <c r="AZ463" s="29"/>
      <c r="BA463" s="29"/>
      <c r="BB463" s="29"/>
      <c r="BC463" s="30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0">
        <f t="shared" si="52"/>
        <v>0</v>
      </c>
      <c r="BO463" s="20">
        <f t="shared" si="53"/>
        <v>308</v>
      </c>
      <c r="BP463" s="20">
        <f t="shared" si="54"/>
        <v>0</v>
      </c>
      <c r="BQ463" s="51">
        <f t="shared" si="55"/>
        <v>0</v>
      </c>
      <c r="BR463" s="56" t="s">
        <v>919</v>
      </c>
      <c r="BS463" s="91" t="s">
        <v>923</v>
      </c>
      <c r="BT463" s="36"/>
      <c r="BU463" s="133" t="s">
        <v>911</v>
      </c>
    </row>
    <row r="464" s="1" customFormat="1" customHeight="1" spans="1:74">
      <c r="A464" s="15" t="s">
        <v>896</v>
      </c>
      <c r="B464" s="15">
        <v>330</v>
      </c>
      <c r="C464" s="16">
        <v>212</v>
      </c>
      <c r="D464" s="29"/>
      <c r="E464" s="29"/>
      <c r="F464" s="29"/>
      <c r="G464" s="29"/>
      <c r="H464" s="29"/>
      <c r="I464" s="29">
        <v>29</v>
      </c>
      <c r="J464" s="29"/>
      <c r="K464" s="29"/>
      <c r="L464" s="29"/>
      <c r="M464" s="29">
        <v>75</v>
      </c>
      <c r="N464" s="29"/>
      <c r="O464" s="29"/>
      <c r="P464" s="29"/>
      <c r="Q464" s="30"/>
      <c r="R464" s="29"/>
      <c r="S464" s="30"/>
      <c r="T464" s="29"/>
      <c r="U464" s="30"/>
      <c r="V464" s="29"/>
      <c r="W464" s="30"/>
      <c r="X464" s="29"/>
      <c r="Y464" s="29"/>
      <c r="Z464" s="29"/>
      <c r="AA464" s="30"/>
      <c r="AB464" s="29"/>
      <c r="AC464" s="29"/>
      <c r="AD464" s="29"/>
      <c r="AE464" s="29"/>
      <c r="AF464" s="29"/>
      <c r="AG464" s="30"/>
      <c r="AH464" s="29"/>
      <c r="AI464" s="29"/>
      <c r="AJ464" s="29"/>
      <c r="AK464" s="29"/>
      <c r="AL464" s="29"/>
      <c r="AM464" s="30"/>
      <c r="AN464" s="29"/>
      <c r="AO464" s="29"/>
      <c r="AP464" s="29"/>
      <c r="AQ464" s="30"/>
      <c r="AR464" s="29"/>
      <c r="AS464" s="29"/>
      <c r="AT464" s="29"/>
      <c r="AU464" s="30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0">
        <f t="shared" si="52"/>
        <v>0</v>
      </c>
      <c r="BO464" s="20">
        <f t="shared" si="53"/>
        <v>104</v>
      </c>
      <c r="BP464" s="20">
        <f t="shared" si="54"/>
        <v>108</v>
      </c>
      <c r="BQ464" s="51">
        <f t="shared" si="55"/>
        <v>35.64</v>
      </c>
      <c r="BR464" s="56" t="s">
        <v>922</v>
      </c>
      <c r="BS464" s="91" t="s">
        <v>886</v>
      </c>
      <c r="BT464" s="57"/>
      <c r="BU464" s="133" t="s">
        <v>925</v>
      </c>
      <c r="BV464" s="1" t="s">
        <v>926</v>
      </c>
    </row>
    <row r="465" s="1" customFormat="1" customHeight="1" spans="1:73">
      <c r="A465" s="15" t="s">
        <v>896</v>
      </c>
      <c r="B465" s="15">
        <v>340</v>
      </c>
      <c r="C465" s="16">
        <v>744</v>
      </c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30"/>
      <c r="X465" s="29"/>
      <c r="Y465" s="29"/>
      <c r="Z465" s="29"/>
      <c r="AA465" s="30"/>
      <c r="AB465" s="29"/>
      <c r="AC465" s="29"/>
      <c r="AD465" s="29"/>
      <c r="AE465" s="29"/>
      <c r="AF465" s="29"/>
      <c r="AG465" s="30"/>
      <c r="AH465" s="29"/>
      <c r="AI465" s="29"/>
      <c r="AJ465" s="29"/>
      <c r="AK465" s="30"/>
      <c r="AL465" s="29"/>
      <c r="AM465" s="30"/>
      <c r="AN465" s="29"/>
      <c r="AO465" s="29"/>
      <c r="AP465" s="29"/>
      <c r="AQ465" s="30"/>
      <c r="AR465" s="29"/>
      <c r="AS465" s="29"/>
      <c r="AT465" s="29"/>
      <c r="AU465" s="30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0">
        <f t="shared" si="52"/>
        <v>0</v>
      </c>
      <c r="BO465" s="20">
        <f t="shared" si="53"/>
        <v>0</v>
      </c>
      <c r="BP465" s="20">
        <f t="shared" si="54"/>
        <v>744</v>
      </c>
      <c r="BQ465" s="51">
        <f t="shared" si="55"/>
        <v>252.96</v>
      </c>
      <c r="BR465" s="56" t="s">
        <v>903</v>
      </c>
      <c r="BS465" s="91" t="s">
        <v>923</v>
      </c>
      <c r="BT465" s="57"/>
      <c r="BU465" s="133" t="s">
        <v>911</v>
      </c>
    </row>
    <row r="466" s="1" customFormat="1" customHeight="1" spans="1:73">
      <c r="A466" s="15" t="s">
        <v>896</v>
      </c>
      <c r="B466" s="15">
        <v>360</v>
      </c>
      <c r="C466" s="16">
        <v>266</v>
      </c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30"/>
      <c r="P466" s="29"/>
      <c r="Q466" s="30"/>
      <c r="R466" s="29"/>
      <c r="S466" s="30"/>
      <c r="T466" s="29"/>
      <c r="U466" s="30"/>
      <c r="V466" s="29"/>
      <c r="W466" s="30"/>
      <c r="X466" s="29"/>
      <c r="Y466" s="30"/>
      <c r="Z466" s="29"/>
      <c r="AA466" s="30"/>
      <c r="AB466" s="29"/>
      <c r="AC466" s="29"/>
      <c r="AD466" s="29"/>
      <c r="AE466" s="29"/>
      <c r="AF466" s="29"/>
      <c r="AG466" s="30"/>
      <c r="AH466" s="29"/>
      <c r="AI466" s="29"/>
      <c r="AJ466" s="29"/>
      <c r="AK466" s="29"/>
      <c r="AL466" s="29"/>
      <c r="AM466" s="29"/>
      <c r="AN466" s="29"/>
      <c r="AO466" s="29"/>
      <c r="AP466" s="29"/>
      <c r="AQ466" s="30"/>
      <c r="AR466" s="29"/>
      <c r="AS466" s="29"/>
      <c r="AT466" s="29"/>
      <c r="AU466" s="30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0">
        <f t="shared" si="52"/>
        <v>0</v>
      </c>
      <c r="BO466" s="20">
        <f t="shared" si="53"/>
        <v>0</v>
      </c>
      <c r="BP466" s="20">
        <f t="shared" si="54"/>
        <v>266</v>
      </c>
      <c r="BQ466" s="51">
        <f t="shared" si="55"/>
        <v>95.76</v>
      </c>
      <c r="BR466" s="56" t="s">
        <v>907</v>
      </c>
      <c r="BS466" s="91" t="s">
        <v>918</v>
      </c>
      <c r="BT466" s="57"/>
      <c r="BU466" s="133" t="s">
        <v>911</v>
      </c>
    </row>
    <row r="467" s="1" customFormat="1" customHeight="1" spans="1:73">
      <c r="A467" s="15" t="s">
        <v>896</v>
      </c>
      <c r="B467" s="15">
        <v>395</v>
      </c>
      <c r="C467" s="16">
        <v>323</v>
      </c>
      <c r="D467" s="29"/>
      <c r="E467" s="30"/>
      <c r="F467" s="29"/>
      <c r="G467" s="29"/>
      <c r="H467" s="29"/>
      <c r="I467" s="29"/>
      <c r="J467" s="29"/>
      <c r="K467" s="29"/>
      <c r="L467" s="29"/>
      <c r="M467" s="29"/>
      <c r="N467" s="29"/>
      <c r="O467" s="30"/>
      <c r="P467" s="29"/>
      <c r="Q467" s="30"/>
      <c r="R467" s="29"/>
      <c r="S467" s="30"/>
      <c r="T467" s="29"/>
      <c r="U467" s="29"/>
      <c r="V467" s="29"/>
      <c r="W467" s="29"/>
      <c r="X467" s="29"/>
      <c r="Y467" s="29"/>
      <c r="Z467" s="29"/>
      <c r="AA467" s="30"/>
      <c r="AB467" s="29"/>
      <c r="AC467" s="29"/>
      <c r="AD467" s="29"/>
      <c r="AE467" s="29"/>
      <c r="AF467" s="29"/>
      <c r="AG467" s="30"/>
      <c r="AH467" s="29"/>
      <c r="AI467" s="29"/>
      <c r="AJ467" s="29"/>
      <c r="AK467" s="29"/>
      <c r="AL467" s="29"/>
      <c r="AM467" s="30"/>
      <c r="AN467" s="29"/>
      <c r="AO467" s="29"/>
      <c r="AP467" s="29"/>
      <c r="AQ467" s="30"/>
      <c r="AR467" s="29"/>
      <c r="AS467" s="29"/>
      <c r="AT467" s="29"/>
      <c r="AU467" s="30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0">
        <f t="shared" si="52"/>
        <v>0</v>
      </c>
      <c r="BO467" s="20">
        <f t="shared" si="53"/>
        <v>0</v>
      </c>
      <c r="BP467" s="20">
        <f t="shared" si="54"/>
        <v>323</v>
      </c>
      <c r="BQ467" s="51">
        <f t="shared" si="55"/>
        <v>127.585</v>
      </c>
      <c r="BR467" s="56" t="s">
        <v>921</v>
      </c>
      <c r="BS467" s="91" t="s">
        <v>902</v>
      </c>
      <c r="BT467" s="57"/>
      <c r="BU467" s="133" t="s">
        <v>925</v>
      </c>
    </row>
    <row r="468" s="1" customFormat="1" customHeight="1" spans="1:73">
      <c r="A468" s="15" t="s">
        <v>927</v>
      </c>
      <c r="B468" s="15">
        <v>525</v>
      </c>
      <c r="C468" s="16">
        <v>67</v>
      </c>
      <c r="D468" s="29"/>
      <c r="E468" s="30"/>
      <c r="F468" s="29"/>
      <c r="G468" s="30"/>
      <c r="H468" s="29"/>
      <c r="I468" s="30"/>
      <c r="J468" s="29"/>
      <c r="K468" s="29"/>
      <c r="L468" s="29"/>
      <c r="M468" s="30"/>
      <c r="N468" s="29"/>
      <c r="O468" s="29"/>
      <c r="P468" s="29"/>
      <c r="Q468" s="29"/>
      <c r="R468" s="29"/>
      <c r="S468" s="29"/>
      <c r="T468" s="29"/>
      <c r="U468" s="29"/>
      <c r="V468" s="29"/>
      <c r="W468" s="30"/>
      <c r="X468" s="29"/>
      <c r="Y468" s="29"/>
      <c r="Z468" s="29"/>
      <c r="AA468" s="29"/>
      <c r="AB468" s="29"/>
      <c r="AC468" s="29"/>
      <c r="AD468" s="29"/>
      <c r="AE468" s="29"/>
      <c r="AF468" s="29"/>
      <c r="AG468" s="30"/>
      <c r="AH468" s="29"/>
      <c r="AI468" s="29"/>
      <c r="AJ468" s="29"/>
      <c r="AK468" s="29"/>
      <c r="AL468" s="29"/>
      <c r="AM468" s="30"/>
      <c r="AN468" s="29"/>
      <c r="AO468" s="29"/>
      <c r="AP468" s="29"/>
      <c r="AQ468" s="30"/>
      <c r="AR468" s="29"/>
      <c r="AS468" s="29"/>
      <c r="AT468" s="29"/>
      <c r="AU468" s="30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0">
        <f t="shared" si="52"/>
        <v>0</v>
      </c>
      <c r="BO468" s="20">
        <f t="shared" si="53"/>
        <v>0</v>
      </c>
      <c r="BP468" s="20">
        <f t="shared" si="54"/>
        <v>67</v>
      </c>
      <c r="BQ468" s="51">
        <f t="shared" si="55"/>
        <v>35.175</v>
      </c>
      <c r="BR468" s="56" t="s">
        <v>616</v>
      </c>
      <c r="BS468" s="91" t="s">
        <v>573</v>
      </c>
      <c r="BT468" s="36"/>
      <c r="BU468" s="98" t="s">
        <v>885</v>
      </c>
    </row>
    <row r="469" s="1" customFormat="1" customHeight="1" spans="1:73">
      <c r="A469" s="15" t="s">
        <v>928</v>
      </c>
      <c r="B469" s="15">
        <v>110</v>
      </c>
      <c r="C469" s="16">
        <v>400</v>
      </c>
      <c r="D469" s="29"/>
      <c r="E469" s="30"/>
      <c r="F469" s="29"/>
      <c r="G469" s="30"/>
      <c r="H469" s="29"/>
      <c r="I469" s="30"/>
      <c r="J469" s="29"/>
      <c r="K469" s="29"/>
      <c r="L469" s="29"/>
      <c r="M469" s="30"/>
      <c r="N469" s="29"/>
      <c r="O469" s="29"/>
      <c r="P469" s="29"/>
      <c r="Q469" s="29"/>
      <c r="R469" s="29"/>
      <c r="S469" s="29"/>
      <c r="T469" s="29"/>
      <c r="U469" s="29"/>
      <c r="V469" s="29"/>
      <c r="W469" s="30"/>
      <c r="X469" s="29"/>
      <c r="Y469" s="29"/>
      <c r="Z469" s="29"/>
      <c r="AA469" s="29"/>
      <c r="AB469" s="29"/>
      <c r="AC469" s="29"/>
      <c r="AD469" s="29"/>
      <c r="AE469" s="29"/>
      <c r="AF469" s="29"/>
      <c r="AG469" s="30"/>
      <c r="AH469" s="29"/>
      <c r="AI469" s="29"/>
      <c r="AJ469" s="29"/>
      <c r="AK469" s="29"/>
      <c r="AL469" s="29"/>
      <c r="AM469" s="30"/>
      <c r="AN469" s="29"/>
      <c r="AO469" s="29"/>
      <c r="AP469" s="29"/>
      <c r="AQ469" s="30"/>
      <c r="AR469" s="29"/>
      <c r="AS469" s="29"/>
      <c r="AT469" s="29"/>
      <c r="AU469" s="30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0">
        <f t="shared" si="52"/>
        <v>0</v>
      </c>
      <c r="BO469" s="20">
        <f t="shared" si="53"/>
        <v>0</v>
      </c>
      <c r="BP469" s="20">
        <f t="shared" si="54"/>
        <v>400</v>
      </c>
      <c r="BQ469" s="51">
        <f t="shared" si="55"/>
        <v>44</v>
      </c>
      <c r="BR469" s="56" t="s">
        <v>922</v>
      </c>
      <c r="BS469" s="91" t="s">
        <v>910</v>
      </c>
      <c r="BT469" s="36" t="s">
        <v>929</v>
      </c>
      <c r="BU469" s="98" t="s">
        <v>885</v>
      </c>
    </row>
    <row r="470" s="1" customFormat="1" customHeight="1" spans="1:73">
      <c r="A470" s="53" t="s">
        <v>930</v>
      </c>
      <c r="B470" s="15">
        <v>220</v>
      </c>
      <c r="C470" s="16">
        <v>24</v>
      </c>
      <c r="D470" s="29"/>
      <c r="E470" s="30"/>
      <c r="F470" s="29"/>
      <c r="G470" s="30"/>
      <c r="H470" s="29"/>
      <c r="I470" s="30"/>
      <c r="J470" s="29"/>
      <c r="K470" s="29"/>
      <c r="L470" s="29"/>
      <c r="M470" s="30"/>
      <c r="N470" s="29"/>
      <c r="O470" s="29"/>
      <c r="P470" s="29"/>
      <c r="Q470" s="29"/>
      <c r="R470" s="29"/>
      <c r="S470" s="30"/>
      <c r="T470" s="29"/>
      <c r="U470" s="29"/>
      <c r="V470" s="29"/>
      <c r="W470" s="30"/>
      <c r="X470" s="29"/>
      <c r="Y470" s="29"/>
      <c r="Z470" s="29"/>
      <c r="AA470" s="82"/>
      <c r="AB470" s="29"/>
      <c r="AC470" s="30"/>
      <c r="AD470" s="29"/>
      <c r="AE470" s="29"/>
      <c r="AF470" s="29"/>
      <c r="AG470" s="30"/>
      <c r="AH470" s="29"/>
      <c r="AI470" s="30"/>
      <c r="AJ470" s="29"/>
      <c r="AK470" s="29"/>
      <c r="AL470" s="29"/>
      <c r="AM470" s="29"/>
      <c r="AN470" s="29"/>
      <c r="AO470" s="29"/>
      <c r="AP470" s="29"/>
      <c r="AQ470" s="30"/>
      <c r="AR470" s="29"/>
      <c r="AS470" s="29"/>
      <c r="AT470" s="29"/>
      <c r="AU470" s="30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0">
        <f t="shared" si="52"/>
        <v>0</v>
      </c>
      <c r="BO470" s="20">
        <f t="shared" si="53"/>
        <v>0</v>
      </c>
      <c r="BP470" s="20">
        <f t="shared" si="54"/>
        <v>24</v>
      </c>
      <c r="BQ470" s="51">
        <f t="shared" si="55"/>
        <v>5.28</v>
      </c>
      <c r="BR470" s="56" t="s">
        <v>931</v>
      </c>
      <c r="BS470" s="91" t="s">
        <v>573</v>
      </c>
      <c r="BT470" s="36"/>
      <c r="BU470" s="132" t="s">
        <v>894</v>
      </c>
    </row>
    <row r="471" s="1" customFormat="1" customHeight="1" spans="1:73">
      <c r="A471" s="53" t="s">
        <v>932</v>
      </c>
      <c r="B471" s="15">
        <v>290</v>
      </c>
      <c r="C471" s="16">
        <v>200</v>
      </c>
      <c r="D471" s="29"/>
      <c r="E471" s="30"/>
      <c r="F471" s="29"/>
      <c r="G471" s="30"/>
      <c r="H471" s="29"/>
      <c r="I471" s="30"/>
      <c r="J471" s="29"/>
      <c r="K471" s="29"/>
      <c r="L471" s="29"/>
      <c r="M471" s="30"/>
      <c r="N471" s="29"/>
      <c r="O471" s="29"/>
      <c r="P471" s="29"/>
      <c r="Q471" s="29"/>
      <c r="R471" s="29"/>
      <c r="S471" s="30"/>
      <c r="T471" s="29"/>
      <c r="U471" s="29"/>
      <c r="V471" s="29"/>
      <c r="W471" s="30"/>
      <c r="X471" s="29"/>
      <c r="Y471" s="29"/>
      <c r="Z471" s="29"/>
      <c r="AA471" s="82"/>
      <c r="AB471" s="29"/>
      <c r="AC471" s="30"/>
      <c r="AD471" s="29"/>
      <c r="AE471" s="29"/>
      <c r="AF471" s="29"/>
      <c r="AG471" s="30"/>
      <c r="AH471" s="29"/>
      <c r="AI471" s="30"/>
      <c r="AJ471" s="29"/>
      <c r="AK471" s="29"/>
      <c r="AL471" s="29"/>
      <c r="AM471" s="29"/>
      <c r="AN471" s="29"/>
      <c r="AO471" s="29"/>
      <c r="AP471" s="29"/>
      <c r="AQ471" s="30"/>
      <c r="AR471" s="29"/>
      <c r="AS471" s="29"/>
      <c r="AT471" s="29"/>
      <c r="AU471" s="30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0">
        <f t="shared" si="52"/>
        <v>0</v>
      </c>
      <c r="BO471" s="20">
        <f t="shared" si="53"/>
        <v>0</v>
      </c>
      <c r="BP471" s="20">
        <f t="shared" si="54"/>
        <v>200</v>
      </c>
      <c r="BQ471" s="51">
        <f t="shared" si="55"/>
        <v>58</v>
      </c>
      <c r="BR471" s="56" t="s">
        <v>444</v>
      </c>
      <c r="BS471" s="91" t="s">
        <v>933</v>
      </c>
      <c r="BT471" s="36"/>
      <c r="BU471" s="132" t="s">
        <v>894</v>
      </c>
    </row>
    <row r="472" s="1" customFormat="1" customHeight="1" spans="1:73">
      <c r="A472" s="53" t="s">
        <v>932</v>
      </c>
      <c r="B472" s="15">
        <v>325</v>
      </c>
      <c r="C472" s="16">
        <v>198</v>
      </c>
      <c r="D472" s="29"/>
      <c r="E472" s="30"/>
      <c r="F472" s="29"/>
      <c r="G472" s="30"/>
      <c r="H472" s="29"/>
      <c r="I472" s="30"/>
      <c r="J472" s="29"/>
      <c r="K472" s="29"/>
      <c r="L472" s="29"/>
      <c r="M472" s="30"/>
      <c r="N472" s="29"/>
      <c r="O472" s="29"/>
      <c r="P472" s="29"/>
      <c r="Q472" s="29"/>
      <c r="R472" s="29"/>
      <c r="S472" s="30"/>
      <c r="T472" s="29"/>
      <c r="U472" s="29"/>
      <c r="V472" s="29"/>
      <c r="W472" s="30"/>
      <c r="X472" s="29"/>
      <c r="Y472" s="29"/>
      <c r="Z472" s="29"/>
      <c r="AA472" s="82"/>
      <c r="AB472" s="29"/>
      <c r="AC472" s="30"/>
      <c r="AD472" s="29"/>
      <c r="AE472" s="29"/>
      <c r="AF472" s="29"/>
      <c r="AG472" s="30"/>
      <c r="AH472" s="29"/>
      <c r="AI472" s="30"/>
      <c r="AJ472" s="29"/>
      <c r="AK472" s="29"/>
      <c r="AL472" s="29"/>
      <c r="AM472" s="29"/>
      <c r="AN472" s="29"/>
      <c r="AO472" s="29"/>
      <c r="AP472" s="29"/>
      <c r="AQ472" s="30"/>
      <c r="AR472" s="29"/>
      <c r="AS472" s="29"/>
      <c r="AT472" s="29"/>
      <c r="AU472" s="30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0">
        <f t="shared" si="52"/>
        <v>0</v>
      </c>
      <c r="BO472" s="20">
        <f t="shared" si="53"/>
        <v>0</v>
      </c>
      <c r="BP472" s="20">
        <f t="shared" si="54"/>
        <v>198</v>
      </c>
      <c r="BQ472" s="51">
        <f t="shared" si="55"/>
        <v>64.35</v>
      </c>
      <c r="BR472" s="56" t="s">
        <v>78</v>
      </c>
      <c r="BS472" s="91" t="s">
        <v>934</v>
      </c>
      <c r="BT472" s="36" t="s">
        <v>935</v>
      </c>
      <c r="BU472" s="132" t="s">
        <v>894</v>
      </c>
    </row>
    <row r="473" s="1" customFormat="1" customHeight="1" spans="1:73">
      <c r="A473" s="53" t="s">
        <v>930</v>
      </c>
      <c r="B473" s="15" t="s">
        <v>936</v>
      </c>
      <c r="C473" s="16">
        <v>500</v>
      </c>
      <c r="D473" s="29"/>
      <c r="E473" s="30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30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30"/>
      <c r="AH473" s="29"/>
      <c r="AI473" s="29"/>
      <c r="AJ473" s="29"/>
      <c r="AK473" s="30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0">
        <f t="shared" si="52"/>
        <v>0</v>
      </c>
      <c r="BO473" s="20">
        <f t="shared" si="53"/>
        <v>0</v>
      </c>
      <c r="BP473" s="20">
        <f t="shared" si="54"/>
        <v>500</v>
      </c>
      <c r="BQ473" s="51">
        <f>0.08*0.36*BP473</f>
        <v>14.4</v>
      </c>
      <c r="BR473" s="56" t="s">
        <v>931</v>
      </c>
      <c r="BS473" s="91" t="s">
        <v>573</v>
      </c>
      <c r="BT473" s="36"/>
      <c r="BU473" s="132" t="s">
        <v>894</v>
      </c>
    </row>
    <row r="474" s="1" customFormat="1" customHeight="1" spans="1:73">
      <c r="A474" s="53" t="s">
        <v>930</v>
      </c>
      <c r="B474" s="15" t="s">
        <v>937</v>
      </c>
      <c r="C474" s="16">
        <v>240</v>
      </c>
      <c r="D474" s="29"/>
      <c r="E474" s="30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30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30"/>
      <c r="AH474" s="29"/>
      <c r="AI474" s="29"/>
      <c r="AJ474" s="29"/>
      <c r="AK474" s="1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0">
        <f t="shared" si="52"/>
        <v>0</v>
      </c>
      <c r="BO474" s="20">
        <f t="shared" si="53"/>
        <v>0</v>
      </c>
      <c r="BP474" s="20">
        <f t="shared" si="54"/>
        <v>240</v>
      </c>
      <c r="BQ474" s="51">
        <f>0.42*0.56*BP474</f>
        <v>56.448</v>
      </c>
      <c r="BR474" s="56" t="s">
        <v>931</v>
      </c>
      <c r="BS474" s="91" t="s">
        <v>573</v>
      </c>
      <c r="BT474" s="36"/>
      <c r="BU474" s="132" t="s">
        <v>894</v>
      </c>
    </row>
    <row r="475" s="1" customFormat="1" customHeight="1" spans="1:73">
      <c r="A475" s="53" t="s">
        <v>930</v>
      </c>
      <c r="B475" s="15">
        <v>550</v>
      </c>
      <c r="C475" s="16">
        <v>125</v>
      </c>
      <c r="D475" s="29"/>
      <c r="E475" s="30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30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30"/>
      <c r="AH475" s="29"/>
      <c r="AI475" s="29"/>
      <c r="AJ475" s="29"/>
      <c r="AK475" s="30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0">
        <f t="shared" si="52"/>
        <v>0</v>
      </c>
      <c r="BO475" s="20">
        <f t="shared" si="53"/>
        <v>0</v>
      </c>
      <c r="BP475" s="20">
        <f t="shared" si="54"/>
        <v>125</v>
      </c>
      <c r="BQ475" s="51">
        <f>B475*BP475/1000</f>
        <v>68.75</v>
      </c>
      <c r="BR475" s="56" t="s">
        <v>931</v>
      </c>
      <c r="BS475" s="91" t="s">
        <v>573</v>
      </c>
      <c r="BT475" s="34" t="s">
        <v>938</v>
      </c>
      <c r="BU475" s="132" t="s">
        <v>894</v>
      </c>
    </row>
    <row r="476" s="1" customFormat="1" customHeight="1" spans="1:73">
      <c r="A476" s="53" t="s">
        <v>930</v>
      </c>
      <c r="B476" s="15" t="s">
        <v>939</v>
      </c>
      <c r="C476" s="16">
        <v>21</v>
      </c>
      <c r="D476" s="29"/>
      <c r="E476" s="30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30"/>
      <c r="AH476" s="29"/>
      <c r="AI476" s="29"/>
      <c r="AJ476" s="29"/>
      <c r="AK476" s="30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0">
        <f t="shared" si="52"/>
        <v>0</v>
      </c>
      <c r="BO476" s="20">
        <f t="shared" si="53"/>
        <v>0</v>
      </c>
      <c r="BP476" s="20">
        <f t="shared" si="54"/>
        <v>21</v>
      </c>
      <c r="BQ476" s="51">
        <f>0.56*0.415*BP476</f>
        <v>4.8804</v>
      </c>
      <c r="BR476" s="56" t="s">
        <v>931</v>
      </c>
      <c r="BS476" s="91" t="s">
        <v>573</v>
      </c>
      <c r="BT476" s="34" t="s">
        <v>938</v>
      </c>
      <c r="BU476" s="132" t="s">
        <v>894</v>
      </c>
    </row>
    <row r="477" s="1" customFormat="1" customHeight="1" spans="1:73">
      <c r="A477" s="15" t="s">
        <v>940</v>
      </c>
      <c r="B477" s="15" t="s">
        <v>941</v>
      </c>
      <c r="C477" s="16">
        <v>220</v>
      </c>
      <c r="D477" s="29"/>
      <c r="E477" s="30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54"/>
      <c r="W477" s="54"/>
      <c r="X477" s="29"/>
      <c r="Y477" s="29"/>
      <c r="Z477" s="29"/>
      <c r="AA477" s="29"/>
      <c r="AB477" s="29"/>
      <c r="AC477" s="29"/>
      <c r="AD477" s="29"/>
      <c r="AE477" s="29"/>
      <c r="AF477" s="29"/>
      <c r="AG477" s="30"/>
      <c r="AH477" s="29"/>
      <c r="AI477" s="29"/>
      <c r="AJ477" s="29"/>
      <c r="AK477" s="30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0">
        <f t="shared" si="52"/>
        <v>0</v>
      </c>
      <c r="BO477" s="20">
        <f t="shared" si="53"/>
        <v>0</v>
      </c>
      <c r="BP477" s="20">
        <f t="shared" si="54"/>
        <v>220</v>
      </c>
      <c r="BQ477" s="51">
        <f>0.205*0.28*BP477</f>
        <v>12.628</v>
      </c>
      <c r="BR477" s="56" t="s">
        <v>942</v>
      </c>
      <c r="BS477" s="91" t="s">
        <v>573</v>
      </c>
      <c r="BT477" s="36" t="s">
        <v>943</v>
      </c>
      <c r="BU477" s="134" t="s">
        <v>944</v>
      </c>
    </row>
    <row r="478" s="1" customFormat="1" customHeight="1" spans="1:73">
      <c r="A478" s="15" t="s">
        <v>940</v>
      </c>
      <c r="B478" s="15" t="s">
        <v>945</v>
      </c>
      <c r="C478" s="16">
        <v>250</v>
      </c>
      <c r="D478" s="29"/>
      <c r="E478" s="30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54"/>
      <c r="W478" s="54"/>
      <c r="X478" s="29"/>
      <c r="Y478" s="29"/>
      <c r="Z478" s="29"/>
      <c r="AA478" s="29"/>
      <c r="AB478" s="29"/>
      <c r="AC478" s="29"/>
      <c r="AD478" s="29"/>
      <c r="AE478" s="29"/>
      <c r="AF478" s="29"/>
      <c r="AG478" s="30"/>
      <c r="AH478" s="29"/>
      <c r="AI478" s="29"/>
      <c r="AJ478" s="29"/>
      <c r="AK478" s="30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0">
        <f t="shared" si="52"/>
        <v>0</v>
      </c>
      <c r="BO478" s="20">
        <f t="shared" si="53"/>
        <v>0</v>
      </c>
      <c r="BP478" s="20">
        <f t="shared" si="54"/>
        <v>250</v>
      </c>
      <c r="BQ478" s="51">
        <f>0.19*0.25*BP478</f>
        <v>11.875</v>
      </c>
      <c r="BR478" s="56" t="s">
        <v>942</v>
      </c>
      <c r="BS478" s="91" t="s">
        <v>573</v>
      </c>
      <c r="BT478" s="36" t="s">
        <v>943</v>
      </c>
      <c r="BU478" s="134" t="s">
        <v>944</v>
      </c>
    </row>
    <row r="479" s="1" customFormat="1" customHeight="1" spans="1:73">
      <c r="A479" s="15" t="s">
        <v>927</v>
      </c>
      <c r="B479" s="15">
        <v>525</v>
      </c>
      <c r="C479" s="16">
        <v>67</v>
      </c>
      <c r="D479" s="29"/>
      <c r="E479" s="30"/>
      <c r="F479" s="29"/>
      <c r="G479" s="30"/>
      <c r="H479" s="29"/>
      <c r="I479" s="30"/>
      <c r="J479" s="29"/>
      <c r="K479" s="29"/>
      <c r="L479" s="29"/>
      <c r="M479" s="30"/>
      <c r="N479" s="29"/>
      <c r="O479" s="29"/>
      <c r="P479" s="29"/>
      <c r="Q479" s="29"/>
      <c r="R479" s="29"/>
      <c r="S479" s="29"/>
      <c r="T479" s="29"/>
      <c r="U479" s="29"/>
      <c r="V479" s="29"/>
      <c r="W479" s="30"/>
      <c r="X479" s="29"/>
      <c r="Y479" s="29"/>
      <c r="Z479" s="29"/>
      <c r="AA479" s="29"/>
      <c r="AB479" s="29"/>
      <c r="AC479" s="29"/>
      <c r="AD479" s="29"/>
      <c r="AE479" s="29"/>
      <c r="AF479" s="29"/>
      <c r="AG479" s="30"/>
      <c r="AH479" s="29"/>
      <c r="AI479" s="29"/>
      <c r="AJ479" s="29"/>
      <c r="AK479" s="29"/>
      <c r="AL479" s="29"/>
      <c r="AM479" s="30"/>
      <c r="AN479" s="29"/>
      <c r="AO479" s="29"/>
      <c r="AP479" s="29"/>
      <c r="AQ479" s="30"/>
      <c r="AR479" s="29"/>
      <c r="AS479" s="29"/>
      <c r="AT479" s="29"/>
      <c r="AU479" s="30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0">
        <f t="shared" si="52"/>
        <v>0</v>
      </c>
      <c r="BO479" s="20">
        <f t="shared" si="53"/>
        <v>0</v>
      </c>
      <c r="BP479" s="20">
        <f t="shared" si="54"/>
        <v>67</v>
      </c>
      <c r="BQ479" s="51">
        <f t="shared" ref="BQ479:BQ487" si="56">B479*BP479/1000</f>
        <v>35.175</v>
      </c>
      <c r="BR479" s="56" t="s">
        <v>616</v>
      </c>
      <c r="BS479" s="91" t="s">
        <v>573</v>
      </c>
      <c r="BT479" s="36"/>
      <c r="BU479" s="98" t="s">
        <v>885</v>
      </c>
    </row>
    <row r="480" s="1" customFormat="1" customHeight="1" spans="1:73">
      <c r="A480" s="53" t="s">
        <v>946</v>
      </c>
      <c r="B480" s="15"/>
      <c r="C480" s="16"/>
      <c r="D480" s="29"/>
      <c r="E480" s="30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30"/>
      <c r="AH480" s="29"/>
      <c r="AI480" s="29"/>
      <c r="AJ480" s="29"/>
      <c r="AK480" s="30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0"/>
      <c r="BO480" s="20"/>
      <c r="BP480" s="20"/>
      <c r="BQ480" s="51"/>
      <c r="BR480" s="56"/>
      <c r="BS480" s="111"/>
      <c r="BT480" s="36"/>
      <c r="BU480" s="112"/>
    </row>
    <row r="481" s="1" customFormat="1" customHeight="1" spans="1:73">
      <c r="A481" s="53" t="s">
        <v>947</v>
      </c>
      <c r="B481" s="15"/>
      <c r="C481" s="16"/>
      <c r="D481" s="29"/>
      <c r="E481" s="30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30"/>
      <c r="AH481" s="29"/>
      <c r="AI481" s="29"/>
      <c r="AJ481" s="29"/>
      <c r="AK481" s="30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0"/>
      <c r="BO481" s="20"/>
      <c r="BP481" s="20"/>
      <c r="BQ481" s="51"/>
      <c r="BR481" s="56"/>
      <c r="BS481" s="111"/>
      <c r="BT481" s="36"/>
      <c r="BU481" s="112"/>
    </row>
    <row r="482" s="1" customFormat="1" customHeight="1" spans="1:73">
      <c r="A482" s="15" t="s">
        <v>948</v>
      </c>
      <c r="B482" s="15">
        <v>145</v>
      </c>
      <c r="C482" s="16">
        <v>133</v>
      </c>
      <c r="D482" s="29"/>
      <c r="E482" s="30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30"/>
      <c r="AH482" s="29"/>
      <c r="AI482" s="29"/>
      <c r="AJ482" s="29"/>
      <c r="AK482" s="30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0">
        <f t="shared" ref="BN482:BN487" si="57">D482+F482+H482+J482+L482+N482+P482+R482+T482+V482+X482+Z482+AB482+AD482+AF482+AH482+AJ482+AL482+AN482+AP482+AR482+AT482+AV482+AX482+AZ482+BB482+BD482+BF482+BH482+BJ482+BL482</f>
        <v>0</v>
      </c>
      <c r="BO482" s="20">
        <f t="shared" ref="BO482:BO487" si="58">E482+G482+I482+K482+M482+O482+Q482+S482+U482+W482+Y482+AA482+AC482+AE482+AG482+AI482+AK482+AM482+AO482+AQ482+AS482+AU482+AW482+AY482+BA482+BC482+BE482+BG482+BI482+BK482+BM482</f>
        <v>0</v>
      </c>
      <c r="BP482" s="20">
        <f t="shared" ref="BP482:BP487" si="59">C482+BN482-BO482</f>
        <v>133</v>
      </c>
      <c r="BQ482" s="51">
        <f t="shared" si="56"/>
        <v>19.285</v>
      </c>
      <c r="BR482" s="56" t="s">
        <v>298</v>
      </c>
      <c r="BS482" s="91" t="s">
        <v>949</v>
      </c>
      <c r="BT482" s="36"/>
      <c r="BU482" s="98" t="s">
        <v>950</v>
      </c>
    </row>
    <row r="483" s="1" customFormat="1" customHeight="1" spans="1:73">
      <c r="A483" s="15" t="s">
        <v>948</v>
      </c>
      <c r="B483" s="15">
        <v>225</v>
      </c>
      <c r="C483" s="16">
        <v>30</v>
      </c>
      <c r="D483" s="29"/>
      <c r="E483" s="30"/>
      <c r="F483" s="29"/>
      <c r="G483" s="29"/>
      <c r="H483" s="29"/>
      <c r="I483" s="29"/>
      <c r="J483" s="29"/>
      <c r="K483" s="29"/>
      <c r="L483" s="29">
        <v>50</v>
      </c>
      <c r="M483" s="29">
        <v>42</v>
      </c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30"/>
      <c r="AH483" s="29"/>
      <c r="AI483" s="29"/>
      <c r="AJ483" s="29"/>
      <c r="AK483" s="30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0">
        <f t="shared" si="57"/>
        <v>50</v>
      </c>
      <c r="BO483" s="20">
        <f t="shared" si="58"/>
        <v>42</v>
      </c>
      <c r="BP483" s="20">
        <f t="shared" si="59"/>
        <v>38</v>
      </c>
      <c r="BQ483" s="51">
        <f t="shared" si="56"/>
        <v>8.55</v>
      </c>
      <c r="BR483" s="56" t="s">
        <v>951</v>
      </c>
      <c r="BS483" s="91" t="s">
        <v>949</v>
      </c>
      <c r="BT483" s="36" t="s">
        <v>952</v>
      </c>
      <c r="BU483" s="98" t="s">
        <v>950</v>
      </c>
    </row>
    <row r="484" s="1" customFormat="1" customHeight="1" spans="1:73">
      <c r="A484" s="15" t="s">
        <v>948</v>
      </c>
      <c r="B484" s="15">
        <v>245</v>
      </c>
      <c r="C484" s="16">
        <v>160</v>
      </c>
      <c r="D484" s="29"/>
      <c r="E484" s="30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30"/>
      <c r="AH484" s="29"/>
      <c r="AI484" s="29"/>
      <c r="AJ484" s="29"/>
      <c r="AK484" s="30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0">
        <f t="shared" si="57"/>
        <v>0</v>
      </c>
      <c r="BO484" s="20">
        <f t="shared" si="58"/>
        <v>0</v>
      </c>
      <c r="BP484" s="20">
        <f t="shared" si="59"/>
        <v>160</v>
      </c>
      <c r="BQ484" s="51">
        <f t="shared" si="56"/>
        <v>39.2</v>
      </c>
      <c r="BR484" s="56" t="s">
        <v>953</v>
      </c>
      <c r="BS484" s="91" t="s">
        <v>949</v>
      </c>
      <c r="BT484" s="36" t="s">
        <v>952</v>
      </c>
      <c r="BU484" s="98" t="s">
        <v>950</v>
      </c>
    </row>
    <row r="485" s="1" customFormat="1" customHeight="1" spans="1:73">
      <c r="A485" s="15" t="s">
        <v>948</v>
      </c>
      <c r="B485" s="15">
        <v>265</v>
      </c>
      <c r="C485" s="16">
        <v>178</v>
      </c>
      <c r="D485" s="29"/>
      <c r="E485" s="30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30"/>
      <c r="AH485" s="29"/>
      <c r="AI485" s="29"/>
      <c r="AJ485" s="29"/>
      <c r="AK485" s="30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0">
        <f t="shared" si="57"/>
        <v>0</v>
      </c>
      <c r="BO485" s="20">
        <f t="shared" si="58"/>
        <v>0</v>
      </c>
      <c r="BP485" s="20">
        <f t="shared" si="59"/>
        <v>178</v>
      </c>
      <c r="BQ485" s="51">
        <f t="shared" si="56"/>
        <v>47.17</v>
      </c>
      <c r="BR485" s="56" t="s">
        <v>954</v>
      </c>
      <c r="BS485" s="91" t="s">
        <v>949</v>
      </c>
      <c r="BT485" s="36" t="s">
        <v>952</v>
      </c>
      <c r="BU485" s="98" t="s">
        <v>950</v>
      </c>
    </row>
    <row r="486" s="1" customFormat="1" customHeight="1" spans="1:73">
      <c r="A486" s="39" t="s">
        <v>948</v>
      </c>
      <c r="B486" s="15">
        <v>310</v>
      </c>
      <c r="C486" s="29">
        <v>8</v>
      </c>
      <c r="D486" s="29"/>
      <c r="E486" s="30"/>
      <c r="F486" s="29"/>
      <c r="G486" s="29"/>
      <c r="H486" s="29"/>
      <c r="I486" s="29">
        <v>6</v>
      </c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30"/>
      <c r="AH486" s="29"/>
      <c r="AI486" s="29"/>
      <c r="AJ486" s="29"/>
      <c r="AK486" s="30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0">
        <f t="shared" si="57"/>
        <v>0</v>
      </c>
      <c r="BO486" s="20">
        <f t="shared" si="58"/>
        <v>6</v>
      </c>
      <c r="BP486" s="20">
        <f t="shared" si="59"/>
        <v>2</v>
      </c>
      <c r="BQ486" s="51">
        <f t="shared" si="56"/>
        <v>0.62</v>
      </c>
      <c r="BR486" s="68" t="s">
        <v>955</v>
      </c>
      <c r="BS486" s="91" t="s">
        <v>956</v>
      </c>
      <c r="BT486" s="36" t="s">
        <v>952</v>
      </c>
      <c r="BU486" s="98" t="s">
        <v>950</v>
      </c>
    </row>
    <row r="487" s="1" customFormat="1" customHeight="1" spans="1:73">
      <c r="A487" s="39" t="s">
        <v>948</v>
      </c>
      <c r="B487" s="15">
        <v>350</v>
      </c>
      <c r="C487" s="29">
        <v>110</v>
      </c>
      <c r="D487" s="29"/>
      <c r="E487" s="30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30"/>
      <c r="AH487" s="29"/>
      <c r="AI487" s="29"/>
      <c r="AJ487" s="29"/>
      <c r="AK487" s="30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0">
        <f t="shared" si="57"/>
        <v>0</v>
      </c>
      <c r="BO487" s="20">
        <f t="shared" si="58"/>
        <v>0</v>
      </c>
      <c r="BP487" s="20">
        <f t="shared" si="59"/>
        <v>110</v>
      </c>
      <c r="BQ487" s="51">
        <f t="shared" si="56"/>
        <v>38.5</v>
      </c>
      <c r="BR487" s="56" t="s">
        <v>953</v>
      </c>
      <c r="BS487" s="91" t="s">
        <v>949</v>
      </c>
      <c r="BT487" s="36" t="s">
        <v>952</v>
      </c>
      <c r="BU487" s="98" t="s">
        <v>950</v>
      </c>
    </row>
    <row r="488" s="1" customFormat="1" customHeight="1" spans="1:73">
      <c r="A488" s="53" t="s">
        <v>957</v>
      </c>
      <c r="B488" s="15"/>
      <c r="C488" s="16"/>
      <c r="D488" s="29"/>
      <c r="E488" s="30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30"/>
      <c r="AH488" s="29"/>
      <c r="AI488" s="29"/>
      <c r="AJ488" s="29"/>
      <c r="AK488" s="30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0"/>
      <c r="BO488" s="20"/>
      <c r="BP488" s="20"/>
      <c r="BQ488" s="51"/>
      <c r="BR488" s="56"/>
      <c r="BS488" s="91"/>
      <c r="BT488" s="36"/>
      <c r="BU488" s="112"/>
    </row>
    <row r="489" s="1" customFormat="1" customHeight="1" spans="1:73">
      <c r="A489" s="15" t="s">
        <v>958</v>
      </c>
      <c r="B489" s="15">
        <v>210</v>
      </c>
      <c r="C489" s="16">
        <v>22</v>
      </c>
      <c r="D489" s="29"/>
      <c r="E489" s="30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30"/>
      <c r="AH489" s="29"/>
      <c r="AI489" s="29"/>
      <c r="AJ489" s="29"/>
      <c r="AK489" s="30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0">
        <f t="shared" ref="BN489:BN552" si="60">D489+F489+H489+J489+L489+N489+P489+R489+T489+V489+X489+Z489+AB489+AD489+AF489+AH489+AJ489+AL489+AN489+AP489+AR489+AT489+AV489+AX489+AZ489+BB489+BD489+BF489+BH489+BJ489+BL489</f>
        <v>0</v>
      </c>
      <c r="BO489" s="20">
        <f t="shared" ref="BO489:BO552" si="61">E489+G489+I489+K489+M489+O489+Q489+S489+U489+W489+Y489+AA489+AC489+AE489+AG489+AI489+AK489+AM489+AO489+AQ489+AS489+AU489+AW489+AY489+BA489+BC489+BE489+BG489+BI489+BK489+BM489</f>
        <v>0</v>
      </c>
      <c r="BP489" s="20">
        <f t="shared" ref="BP489:BP552" si="62">C489+BN489-BO489</f>
        <v>22</v>
      </c>
      <c r="BQ489" s="51">
        <f t="shared" ref="BQ489:BQ495" si="63">B489*BP489/1000</f>
        <v>4.62</v>
      </c>
      <c r="BR489" s="56" t="s">
        <v>959</v>
      </c>
      <c r="BS489" s="91" t="s">
        <v>573</v>
      </c>
      <c r="BT489" s="36" t="s">
        <v>960</v>
      </c>
      <c r="BU489" s="98" t="s">
        <v>950</v>
      </c>
    </row>
    <row r="490" s="1" customFormat="1" customHeight="1" spans="1:73">
      <c r="A490" s="15" t="s">
        <v>958</v>
      </c>
      <c r="B490" s="15">
        <v>260</v>
      </c>
      <c r="C490" s="16">
        <v>76</v>
      </c>
      <c r="D490" s="29"/>
      <c r="E490" s="30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30"/>
      <c r="AH490" s="29"/>
      <c r="AI490" s="29"/>
      <c r="AJ490" s="29"/>
      <c r="AK490" s="30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0">
        <f t="shared" si="60"/>
        <v>0</v>
      </c>
      <c r="BO490" s="20">
        <f t="shared" si="61"/>
        <v>0</v>
      </c>
      <c r="BP490" s="20">
        <f t="shared" si="62"/>
        <v>76</v>
      </c>
      <c r="BQ490" s="51">
        <f t="shared" si="63"/>
        <v>19.76</v>
      </c>
      <c r="BR490" s="56" t="s">
        <v>959</v>
      </c>
      <c r="BS490" s="91" t="s">
        <v>573</v>
      </c>
      <c r="BT490" s="36" t="s">
        <v>960</v>
      </c>
      <c r="BU490" s="98" t="s">
        <v>950</v>
      </c>
    </row>
    <row r="491" s="1" customFormat="1" customHeight="1" spans="1:73">
      <c r="A491" s="15" t="s">
        <v>958</v>
      </c>
      <c r="B491" s="15">
        <v>270</v>
      </c>
      <c r="C491" s="16">
        <v>100</v>
      </c>
      <c r="D491" s="29"/>
      <c r="E491" s="30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30"/>
      <c r="AH491" s="29"/>
      <c r="AI491" s="29"/>
      <c r="AJ491" s="29"/>
      <c r="AK491" s="30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0">
        <f t="shared" si="60"/>
        <v>0</v>
      </c>
      <c r="BO491" s="20">
        <f t="shared" si="61"/>
        <v>0</v>
      </c>
      <c r="BP491" s="20">
        <f t="shared" si="62"/>
        <v>100</v>
      </c>
      <c r="BQ491" s="51">
        <f t="shared" si="63"/>
        <v>27</v>
      </c>
      <c r="BR491" s="56" t="s">
        <v>959</v>
      </c>
      <c r="BS491" s="91" t="s">
        <v>573</v>
      </c>
      <c r="BT491" s="36" t="s">
        <v>960</v>
      </c>
      <c r="BU491" s="98" t="s">
        <v>950</v>
      </c>
    </row>
    <row r="492" s="1" customFormat="1" customHeight="1" spans="1:73">
      <c r="A492" s="15" t="s">
        <v>958</v>
      </c>
      <c r="B492" s="15">
        <v>275</v>
      </c>
      <c r="C492" s="16">
        <v>200</v>
      </c>
      <c r="D492" s="29"/>
      <c r="E492" s="30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30"/>
      <c r="AH492" s="29"/>
      <c r="AI492" s="29"/>
      <c r="AJ492" s="29"/>
      <c r="AK492" s="30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0">
        <f t="shared" si="60"/>
        <v>0</v>
      </c>
      <c r="BO492" s="20">
        <f t="shared" si="61"/>
        <v>0</v>
      </c>
      <c r="BP492" s="20">
        <f t="shared" si="62"/>
        <v>200</v>
      </c>
      <c r="BQ492" s="51">
        <f t="shared" si="63"/>
        <v>55</v>
      </c>
      <c r="BR492" s="56" t="s">
        <v>959</v>
      </c>
      <c r="BS492" s="91" t="s">
        <v>573</v>
      </c>
      <c r="BT492" s="36" t="s">
        <v>960</v>
      </c>
      <c r="BU492" s="98" t="s">
        <v>950</v>
      </c>
    </row>
    <row r="493" s="1" customFormat="1" customHeight="1" spans="1:73">
      <c r="A493" s="15" t="s">
        <v>958</v>
      </c>
      <c r="B493" s="15">
        <v>280</v>
      </c>
      <c r="C493" s="16">
        <v>100</v>
      </c>
      <c r="D493" s="29"/>
      <c r="E493" s="30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30"/>
      <c r="AH493" s="29"/>
      <c r="AI493" s="29"/>
      <c r="AJ493" s="29"/>
      <c r="AK493" s="30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0">
        <f t="shared" si="60"/>
        <v>0</v>
      </c>
      <c r="BO493" s="20">
        <f t="shared" si="61"/>
        <v>0</v>
      </c>
      <c r="BP493" s="20">
        <f t="shared" si="62"/>
        <v>100</v>
      </c>
      <c r="BQ493" s="51">
        <f t="shared" si="63"/>
        <v>28</v>
      </c>
      <c r="BR493" s="56" t="s">
        <v>959</v>
      </c>
      <c r="BS493" s="91" t="s">
        <v>573</v>
      </c>
      <c r="BT493" s="36" t="s">
        <v>960</v>
      </c>
      <c r="BU493" s="98" t="s">
        <v>950</v>
      </c>
    </row>
    <row r="494" s="1" customFormat="1" customHeight="1" spans="1:73">
      <c r="A494" s="15" t="s">
        <v>958</v>
      </c>
      <c r="B494" s="15">
        <v>300</v>
      </c>
      <c r="C494" s="16">
        <v>14</v>
      </c>
      <c r="D494" s="29"/>
      <c r="E494" s="30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30"/>
      <c r="AH494" s="29"/>
      <c r="AI494" s="29"/>
      <c r="AJ494" s="29"/>
      <c r="AK494" s="30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0">
        <f t="shared" si="60"/>
        <v>0</v>
      </c>
      <c r="BO494" s="20">
        <f t="shared" si="61"/>
        <v>0</v>
      </c>
      <c r="BP494" s="20">
        <f t="shared" si="62"/>
        <v>14</v>
      </c>
      <c r="BQ494" s="51">
        <f t="shared" si="63"/>
        <v>4.2</v>
      </c>
      <c r="BR494" s="56" t="s">
        <v>959</v>
      </c>
      <c r="BS494" s="91" t="s">
        <v>573</v>
      </c>
      <c r="BT494" s="36" t="s">
        <v>960</v>
      </c>
      <c r="BU494" s="98" t="s">
        <v>950</v>
      </c>
    </row>
    <row r="495" s="1" customFormat="1" customHeight="1" spans="1:73">
      <c r="A495" s="15" t="s">
        <v>958</v>
      </c>
      <c r="B495" s="15">
        <v>350</v>
      </c>
      <c r="C495" s="16">
        <v>37</v>
      </c>
      <c r="D495" s="29"/>
      <c r="E495" s="30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30"/>
      <c r="AH495" s="29"/>
      <c r="AI495" s="29"/>
      <c r="AJ495" s="29"/>
      <c r="AK495" s="30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0">
        <f t="shared" si="60"/>
        <v>0</v>
      </c>
      <c r="BO495" s="20">
        <f t="shared" si="61"/>
        <v>0</v>
      </c>
      <c r="BP495" s="20">
        <f t="shared" si="62"/>
        <v>37</v>
      </c>
      <c r="BQ495" s="51">
        <f t="shared" si="63"/>
        <v>12.95</v>
      </c>
      <c r="BR495" s="56" t="s">
        <v>959</v>
      </c>
      <c r="BS495" s="91" t="s">
        <v>573</v>
      </c>
      <c r="BT495" s="36" t="s">
        <v>960</v>
      </c>
      <c r="BU495" s="98" t="s">
        <v>950</v>
      </c>
    </row>
    <row r="496" s="1" customFormat="1" customHeight="1" spans="1:73">
      <c r="A496" s="53" t="s">
        <v>961</v>
      </c>
      <c r="B496" s="15"/>
      <c r="C496" s="16"/>
      <c r="D496" s="29"/>
      <c r="E496" s="30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30"/>
      <c r="AH496" s="29"/>
      <c r="AI496" s="29"/>
      <c r="AJ496" s="29"/>
      <c r="AK496" s="30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0">
        <f t="shared" si="60"/>
        <v>0</v>
      </c>
      <c r="BO496" s="20">
        <f t="shared" si="61"/>
        <v>0</v>
      </c>
      <c r="BP496" s="20">
        <f t="shared" si="62"/>
        <v>0</v>
      </c>
      <c r="BQ496" s="51"/>
      <c r="BR496" s="56"/>
      <c r="BS496" s="91"/>
      <c r="BT496" s="36"/>
      <c r="BU496" s="112"/>
    </row>
    <row r="497" s="1" customFormat="1" customHeight="1" spans="1:73">
      <c r="A497" s="15" t="s">
        <v>962</v>
      </c>
      <c r="B497" s="15">
        <v>25</v>
      </c>
      <c r="C497" s="16">
        <v>362</v>
      </c>
      <c r="D497" s="29"/>
      <c r="E497" s="30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30"/>
      <c r="AH497" s="29"/>
      <c r="AI497" s="29"/>
      <c r="AJ497" s="29"/>
      <c r="AK497" s="30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0">
        <f t="shared" si="60"/>
        <v>0</v>
      </c>
      <c r="BO497" s="20">
        <f t="shared" si="61"/>
        <v>0</v>
      </c>
      <c r="BP497" s="20">
        <f t="shared" si="62"/>
        <v>362</v>
      </c>
      <c r="BQ497" s="51">
        <f t="shared" ref="BQ497:BQ522" si="64">B497*BP497/1000</f>
        <v>9.05</v>
      </c>
      <c r="BR497" s="56" t="s">
        <v>963</v>
      </c>
      <c r="BS497" s="91" t="s">
        <v>573</v>
      </c>
      <c r="BT497" s="36"/>
      <c r="BU497" s="98" t="s">
        <v>964</v>
      </c>
    </row>
    <row r="498" s="1" customFormat="1" customHeight="1" spans="1:73">
      <c r="A498" s="15" t="s">
        <v>962</v>
      </c>
      <c r="B498" s="15">
        <v>30</v>
      </c>
      <c r="C498" s="16">
        <v>37</v>
      </c>
      <c r="D498" s="29"/>
      <c r="E498" s="30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30"/>
      <c r="AH498" s="29"/>
      <c r="AI498" s="29"/>
      <c r="AJ498" s="29"/>
      <c r="AK498" s="30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0">
        <f t="shared" si="60"/>
        <v>0</v>
      </c>
      <c r="BO498" s="20">
        <f t="shared" si="61"/>
        <v>0</v>
      </c>
      <c r="BP498" s="20">
        <f t="shared" si="62"/>
        <v>37</v>
      </c>
      <c r="BQ498" s="51">
        <f t="shared" si="64"/>
        <v>1.11</v>
      </c>
      <c r="BR498" s="56" t="s">
        <v>965</v>
      </c>
      <c r="BS498" s="91" t="s">
        <v>573</v>
      </c>
      <c r="BT498" s="36"/>
      <c r="BU498" s="98" t="s">
        <v>964</v>
      </c>
    </row>
    <row r="499" s="1" customFormat="1" customHeight="1" spans="1:73">
      <c r="A499" s="15" t="s">
        <v>962</v>
      </c>
      <c r="B499" s="15">
        <v>35</v>
      </c>
      <c r="C499" s="16">
        <v>405</v>
      </c>
      <c r="D499" s="29"/>
      <c r="E499" s="30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30"/>
      <c r="AH499" s="29"/>
      <c r="AI499" s="29"/>
      <c r="AJ499" s="29"/>
      <c r="AK499" s="30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0">
        <f t="shared" si="60"/>
        <v>0</v>
      </c>
      <c r="BO499" s="20">
        <f t="shared" si="61"/>
        <v>0</v>
      </c>
      <c r="BP499" s="20">
        <f t="shared" si="62"/>
        <v>405</v>
      </c>
      <c r="BQ499" s="51">
        <f t="shared" si="64"/>
        <v>14.175</v>
      </c>
      <c r="BR499" s="56" t="s">
        <v>616</v>
      </c>
      <c r="BS499" s="91" t="s">
        <v>966</v>
      </c>
      <c r="BT499" s="36"/>
      <c r="BU499" s="98" t="s">
        <v>964</v>
      </c>
    </row>
    <row r="500" s="1" customFormat="1" customHeight="1" spans="1:73">
      <c r="A500" s="15" t="s">
        <v>962</v>
      </c>
      <c r="B500" s="15">
        <v>40</v>
      </c>
      <c r="C500" s="16">
        <v>520</v>
      </c>
      <c r="D500" s="29"/>
      <c r="E500" s="30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30"/>
      <c r="AH500" s="29"/>
      <c r="AI500" s="29"/>
      <c r="AJ500" s="29"/>
      <c r="AK500" s="30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0">
        <f t="shared" si="60"/>
        <v>0</v>
      </c>
      <c r="BO500" s="20">
        <f t="shared" si="61"/>
        <v>0</v>
      </c>
      <c r="BP500" s="20">
        <f t="shared" si="62"/>
        <v>520</v>
      </c>
      <c r="BQ500" s="51">
        <f t="shared" si="64"/>
        <v>20.8</v>
      </c>
      <c r="BR500" s="56" t="s">
        <v>965</v>
      </c>
      <c r="BS500" s="91" t="s">
        <v>967</v>
      </c>
      <c r="BT500" s="36"/>
      <c r="BU500" s="98" t="s">
        <v>964</v>
      </c>
    </row>
    <row r="501" s="1" customFormat="1" customHeight="1" spans="1:73">
      <c r="A501" s="15" t="s">
        <v>962</v>
      </c>
      <c r="B501" s="15">
        <v>50</v>
      </c>
      <c r="C501" s="16">
        <v>192</v>
      </c>
      <c r="D501" s="29"/>
      <c r="E501" s="30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30"/>
      <c r="AH501" s="29"/>
      <c r="AI501" s="29"/>
      <c r="AJ501" s="29"/>
      <c r="AK501" s="30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0">
        <f t="shared" si="60"/>
        <v>0</v>
      </c>
      <c r="BO501" s="20">
        <f t="shared" si="61"/>
        <v>0</v>
      </c>
      <c r="BP501" s="20">
        <f t="shared" si="62"/>
        <v>192</v>
      </c>
      <c r="BQ501" s="51">
        <f t="shared" si="64"/>
        <v>9.6</v>
      </c>
      <c r="BR501" s="56" t="s">
        <v>667</v>
      </c>
      <c r="BS501" s="91" t="s">
        <v>968</v>
      </c>
      <c r="BT501" s="36" t="s">
        <v>969</v>
      </c>
      <c r="BU501" s="98" t="s">
        <v>964</v>
      </c>
    </row>
    <row r="502" s="1" customFormat="1" customHeight="1" spans="1:73">
      <c r="A502" s="15" t="s">
        <v>962</v>
      </c>
      <c r="B502" s="15">
        <v>60</v>
      </c>
      <c r="C502" s="16">
        <v>133</v>
      </c>
      <c r="D502" s="29"/>
      <c r="E502" s="30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30"/>
      <c r="AH502" s="29"/>
      <c r="AI502" s="29"/>
      <c r="AJ502" s="29"/>
      <c r="AK502" s="30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0">
        <f t="shared" si="60"/>
        <v>0</v>
      </c>
      <c r="BO502" s="20">
        <f t="shared" si="61"/>
        <v>0</v>
      </c>
      <c r="BP502" s="20">
        <f t="shared" si="62"/>
        <v>133</v>
      </c>
      <c r="BQ502" s="51">
        <f t="shared" si="64"/>
        <v>7.98</v>
      </c>
      <c r="BR502" s="56" t="s">
        <v>659</v>
      </c>
      <c r="BS502" s="91" t="s">
        <v>949</v>
      </c>
      <c r="BT502" s="36" t="s">
        <v>970</v>
      </c>
      <c r="BU502" s="98" t="s">
        <v>964</v>
      </c>
    </row>
    <row r="503" s="1" customFormat="1" customHeight="1" spans="1:73">
      <c r="A503" s="15" t="s">
        <v>962</v>
      </c>
      <c r="B503" s="15">
        <v>80</v>
      </c>
      <c r="C503" s="16">
        <v>26</v>
      </c>
      <c r="D503" s="29"/>
      <c r="E503" s="30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30"/>
      <c r="AH503" s="29"/>
      <c r="AI503" s="29"/>
      <c r="AJ503" s="29"/>
      <c r="AK503" s="30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0">
        <f t="shared" si="60"/>
        <v>0</v>
      </c>
      <c r="BO503" s="20">
        <f t="shared" si="61"/>
        <v>0</v>
      </c>
      <c r="BP503" s="20">
        <f t="shared" si="62"/>
        <v>26</v>
      </c>
      <c r="BQ503" s="51">
        <f t="shared" si="64"/>
        <v>2.08</v>
      </c>
      <c r="BR503" s="56" t="s">
        <v>971</v>
      </c>
      <c r="BS503" s="91" t="s">
        <v>972</v>
      </c>
      <c r="BT503" s="36"/>
      <c r="BU503" s="98" t="s">
        <v>964</v>
      </c>
    </row>
    <row r="504" s="1" customFormat="1" customHeight="1" spans="1:73">
      <c r="A504" s="15" t="s">
        <v>962</v>
      </c>
      <c r="B504" s="15">
        <v>110</v>
      </c>
      <c r="C504" s="16">
        <v>387</v>
      </c>
      <c r="D504" s="29"/>
      <c r="E504" s="30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30"/>
      <c r="AH504" s="29"/>
      <c r="AI504" s="29"/>
      <c r="AJ504" s="29"/>
      <c r="AK504" s="30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0">
        <f t="shared" si="60"/>
        <v>0</v>
      </c>
      <c r="BO504" s="20">
        <f t="shared" si="61"/>
        <v>0</v>
      </c>
      <c r="BP504" s="20">
        <f t="shared" si="62"/>
        <v>387</v>
      </c>
      <c r="BQ504" s="51">
        <f t="shared" si="64"/>
        <v>42.57</v>
      </c>
      <c r="BR504" s="56" t="s">
        <v>667</v>
      </c>
      <c r="BS504" s="91" t="s">
        <v>966</v>
      </c>
      <c r="BT504" s="36"/>
      <c r="BU504" s="98" t="s">
        <v>964</v>
      </c>
    </row>
    <row r="505" s="1" customFormat="1" customHeight="1" spans="1:73">
      <c r="A505" s="15" t="s">
        <v>962</v>
      </c>
      <c r="B505" s="15">
        <v>120</v>
      </c>
      <c r="C505" s="16">
        <v>90</v>
      </c>
      <c r="D505" s="29"/>
      <c r="E505" s="30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30"/>
      <c r="AH505" s="29"/>
      <c r="AI505" s="29"/>
      <c r="AJ505" s="29"/>
      <c r="AK505" s="30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0">
        <f t="shared" si="60"/>
        <v>0</v>
      </c>
      <c r="BO505" s="20">
        <f t="shared" si="61"/>
        <v>0</v>
      </c>
      <c r="BP505" s="20">
        <f t="shared" si="62"/>
        <v>90</v>
      </c>
      <c r="BQ505" s="51">
        <f t="shared" si="64"/>
        <v>10.8</v>
      </c>
      <c r="BR505" s="56" t="s">
        <v>912</v>
      </c>
      <c r="BS505" s="91" t="s">
        <v>913</v>
      </c>
      <c r="BT505" s="36"/>
      <c r="BU505" s="98" t="s">
        <v>964</v>
      </c>
    </row>
    <row r="506" s="1" customFormat="1" customHeight="1" spans="1:73">
      <c r="A506" s="15" t="s">
        <v>962</v>
      </c>
      <c r="B506" s="15">
        <v>130</v>
      </c>
      <c r="C506" s="16">
        <v>58</v>
      </c>
      <c r="D506" s="29"/>
      <c r="E506" s="30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30"/>
      <c r="AH506" s="29"/>
      <c r="AI506" s="29"/>
      <c r="AJ506" s="29"/>
      <c r="AK506" s="30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0">
        <f t="shared" si="60"/>
        <v>0</v>
      </c>
      <c r="BO506" s="20">
        <f t="shared" si="61"/>
        <v>0</v>
      </c>
      <c r="BP506" s="20">
        <f t="shared" si="62"/>
        <v>58</v>
      </c>
      <c r="BQ506" s="51">
        <f t="shared" si="64"/>
        <v>7.54</v>
      </c>
      <c r="BR506" s="56" t="s">
        <v>72</v>
      </c>
      <c r="BS506" s="91" t="s">
        <v>973</v>
      </c>
      <c r="BT506" s="36"/>
      <c r="BU506" s="98" t="s">
        <v>964</v>
      </c>
    </row>
    <row r="507" s="1" customFormat="1" customHeight="1" spans="1:73">
      <c r="A507" s="15" t="s">
        <v>962</v>
      </c>
      <c r="B507" s="15">
        <v>145</v>
      </c>
      <c r="C507" s="16">
        <v>200</v>
      </c>
      <c r="D507" s="29"/>
      <c r="E507" s="30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30"/>
      <c r="AH507" s="29"/>
      <c r="AI507" s="29"/>
      <c r="AJ507" s="29"/>
      <c r="AK507" s="30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0">
        <f t="shared" si="60"/>
        <v>0</v>
      </c>
      <c r="BO507" s="20">
        <f t="shared" si="61"/>
        <v>0</v>
      </c>
      <c r="BP507" s="20">
        <f t="shared" si="62"/>
        <v>200</v>
      </c>
      <c r="BQ507" s="51">
        <f t="shared" si="64"/>
        <v>29</v>
      </c>
      <c r="BR507" s="56" t="s">
        <v>196</v>
      </c>
      <c r="BS507" s="91" t="s">
        <v>968</v>
      </c>
      <c r="BT507" s="36"/>
      <c r="BU507" s="98" t="s">
        <v>964</v>
      </c>
    </row>
    <row r="508" s="1" customFormat="1" customHeight="1" spans="1:73">
      <c r="A508" s="15" t="s">
        <v>962</v>
      </c>
      <c r="B508" s="15">
        <v>155</v>
      </c>
      <c r="C508" s="16">
        <v>123</v>
      </c>
      <c r="D508" s="29"/>
      <c r="E508" s="30"/>
      <c r="F508" s="29"/>
      <c r="G508" s="29"/>
      <c r="H508" s="29"/>
      <c r="I508" s="29"/>
      <c r="J508" s="29"/>
      <c r="K508" s="29"/>
      <c r="L508" s="29"/>
      <c r="M508" s="29">
        <v>5</v>
      </c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30"/>
      <c r="AH508" s="29"/>
      <c r="AI508" s="29"/>
      <c r="AJ508" s="29"/>
      <c r="AK508" s="30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0">
        <f t="shared" si="60"/>
        <v>0</v>
      </c>
      <c r="BO508" s="20">
        <f t="shared" si="61"/>
        <v>5</v>
      </c>
      <c r="BP508" s="20">
        <f t="shared" si="62"/>
        <v>118</v>
      </c>
      <c r="BQ508" s="51">
        <f t="shared" si="64"/>
        <v>18.29</v>
      </c>
      <c r="BR508" s="56" t="s">
        <v>890</v>
      </c>
      <c r="BS508" s="91" t="s">
        <v>888</v>
      </c>
      <c r="BT508" s="36"/>
      <c r="BU508" s="98" t="s">
        <v>964</v>
      </c>
    </row>
    <row r="509" s="1" customFormat="1" customHeight="1" spans="1:73">
      <c r="A509" s="15" t="s">
        <v>962</v>
      </c>
      <c r="B509" s="15">
        <v>160</v>
      </c>
      <c r="C509" s="16">
        <v>205</v>
      </c>
      <c r="D509" s="29"/>
      <c r="E509" s="30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30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0">
        <f t="shared" si="60"/>
        <v>0</v>
      </c>
      <c r="BO509" s="20">
        <f t="shared" si="61"/>
        <v>0</v>
      </c>
      <c r="BP509" s="20">
        <f t="shared" si="62"/>
        <v>205</v>
      </c>
      <c r="BQ509" s="51">
        <f t="shared" si="64"/>
        <v>32.8</v>
      </c>
      <c r="BR509" s="56" t="s">
        <v>148</v>
      </c>
      <c r="BS509" s="91" t="s">
        <v>780</v>
      </c>
      <c r="BT509" s="36"/>
      <c r="BU509" s="98" t="s">
        <v>964</v>
      </c>
    </row>
    <row r="510" s="1" customFormat="1" customHeight="1" spans="1:73">
      <c r="A510" s="15" t="s">
        <v>962</v>
      </c>
      <c r="B510" s="15">
        <v>170</v>
      </c>
      <c r="C510" s="16">
        <v>95</v>
      </c>
      <c r="D510" s="29"/>
      <c r="E510" s="30"/>
      <c r="F510" s="29"/>
      <c r="G510" s="29"/>
      <c r="H510" s="29"/>
      <c r="I510" s="29"/>
      <c r="J510" s="29"/>
      <c r="K510" s="29"/>
      <c r="L510" s="29">
        <v>200</v>
      </c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30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0">
        <f t="shared" si="60"/>
        <v>200</v>
      </c>
      <c r="BO510" s="20">
        <f t="shared" si="61"/>
        <v>0</v>
      </c>
      <c r="BP510" s="20">
        <f t="shared" si="62"/>
        <v>295</v>
      </c>
      <c r="BQ510" s="51">
        <f t="shared" si="64"/>
        <v>50.15</v>
      </c>
      <c r="BR510" s="56" t="s">
        <v>429</v>
      </c>
      <c r="BS510" s="91" t="s">
        <v>974</v>
      </c>
      <c r="BT510" s="36"/>
      <c r="BU510" s="98" t="s">
        <v>964</v>
      </c>
    </row>
    <row r="511" s="1" customFormat="1" customHeight="1" spans="1:73">
      <c r="A511" s="15" t="s">
        <v>962</v>
      </c>
      <c r="B511" s="15">
        <v>180</v>
      </c>
      <c r="C511" s="16">
        <v>99</v>
      </c>
      <c r="D511" s="29"/>
      <c r="E511" s="30"/>
      <c r="F511" s="29"/>
      <c r="G511" s="29"/>
      <c r="H511" s="29"/>
      <c r="I511" s="29">
        <v>49</v>
      </c>
      <c r="J511" s="29"/>
      <c r="K511" s="29"/>
      <c r="L511" s="29">
        <v>95</v>
      </c>
      <c r="M511" s="29">
        <v>145</v>
      </c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30"/>
      <c r="AH511" s="29"/>
      <c r="AI511" s="29"/>
      <c r="AJ511" s="29"/>
      <c r="AK511" s="30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0">
        <f t="shared" si="60"/>
        <v>95</v>
      </c>
      <c r="BO511" s="20">
        <f t="shared" si="61"/>
        <v>194</v>
      </c>
      <c r="BP511" s="20">
        <f t="shared" si="62"/>
        <v>0</v>
      </c>
      <c r="BQ511" s="51">
        <f t="shared" si="64"/>
        <v>0</v>
      </c>
      <c r="BR511" s="56" t="s">
        <v>975</v>
      </c>
      <c r="BS511" s="91" t="s">
        <v>976</v>
      </c>
      <c r="BT511" s="36"/>
      <c r="BU511" s="98" t="s">
        <v>964</v>
      </c>
    </row>
    <row r="512" s="1" customFormat="1" customHeight="1" spans="1:73">
      <c r="A512" s="15" t="s">
        <v>962</v>
      </c>
      <c r="B512" s="15">
        <v>195</v>
      </c>
      <c r="C512" s="16">
        <v>0</v>
      </c>
      <c r="D512" s="29"/>
      <c r="E512" s="30"/>
      <c r="F512" s="29"/>
      <c r="G512" s="29"/>
      <c r="H512" s="29"/>
      <c r="I512" s="29"/>
      <c r="J512" s="29"/>
      <c r="K512" s="29"/>
      <c r="L512" s="29">
        <v>200</v>
      </c>
      <c r="M512" s="29">
        <v>145</v>
      </c>
      <c r="N512" s="29"/>
      <c r="O512" s="29">
        <v>55</v>
      </c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30"/>
      <c r="AH512" s="29"/>
      <c r="AI512" s="29"/>
      <c r="AJ512" s="29"/>
      <c r="AK512" s="30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0">
        <f t="shared" si="60"/>
        <v>200</v>
      </c>
      <c r="BO512" s="20">
        <f t="shared" si="61"/>
        <v>200</v>
      </c>
      <c r="BP512" s="20">
        <f t="shared" si="62"/>
        <v>0</v>
      </c>
      <c r="BQ512" s="51">
        <f t="shared" si="64"/>
        <v>0</v>
      </c>
      <c r="BR512" s="56" t="s">
        <v>977</v>
      </c>
      <c r="BS512" s="91" t="s">
        <v>974</v>
      </c>
      <c r="BT512" s="36"/>
      <c r="BU512" s="98" t="s">
        <v>964</v>
      </c>
    </row>
    <row r="513" s="1" customFormat="1" customHeight="1" spans="1:73">
      <c r="A513" s="15" t="s">
        <v>962</v>
      </c>
      <c r="B513" s="15">
        <v>205</v>
      </c>
      <c r="C513" s="16">
        <v>123</v>
      </c>
      <c r="D513" s="29"/>
      <c r="E513" s="30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30"/>
      <c r="AH513" s="29"/>
      <c r="AI513" s="29"/>
      <c r="AJ513" s="29"/>
      <c r="AK513" s="30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0">
        <f t="shared" si="60"/>
        <v>0</v>
      </c>
      <c r="BO513" s="20">
        <f t="shared" si="61"/>
        <v>0</v>
      </c>
      <c r="BP513" s="20">
        <f t="shared" si="62"/>
        <v>123</v>
      </c>
      <c r="BQ513" s="51">
        <f t="shared" si="64"/>
        <v>25.215</v>
      </c>
      <c r="BR513" s="56" t="s">
        <v>975</v>
      </c>
      <c r="BS513" s="91" t="s">
        <v>976</v>
      </c>
      <c r="BT513" s="36" t="s">
        <v>978</v>
      </c>
      <c r="BU513" s="98" t="s">
        <v>964</v>
      </c>
    </row>
    <row r="514" s="1" customFormat="1" customHeight="1" spans="1:73">
      <c r="A514" s="15" t="s">
        <v>962</v>
      </c>
      <c r="B514" s="15">
        <v>215</v>
      </c>
      <c r="C514" s="16">
        <v>60</v>
      </c>
      <c r="D514" s="29"/>
      <c r="E514" s="30"/>
      <c r="F514" s="29"/>
      <c r="G514" s="29"/>
      <c r="H514" s="29"/>
      <c r="I514" s="29"/>
      <c r="J514" s="29"/>
      <c r="K514" s="29"/>
      <c r="L514" s="29"/>
      <c r="M514" s="29">
        <v>7</v>
      </c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30"/>
      <c r="AH514" s="29"/>
      <c r="AI514" s="29"/>
      <c r="AJ514" s="29"/>
      <c r="AK514" s="30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0">
        <f t="shared" si="60"/>
        <v>0</v>
      </c>
      <c r="BO514" s="20">
        <f t="shared" si="61"/>
        <v>7</v>
      </c>
      <c r="BP514" s="20">
        <f t="shared" si="62"/>
        <v>53</v>
      </c>
      <c r="BQ514" s="51">
        <f t="shared" si="64"/>
        <v>11.395</v>
      </c>
      <c r="BR514" s="56" t="s">
        <v>196</v>
      </c>
      <c r="BS514" s="91" t="s">
        <v>968</v>
      </c>
      <c r="BT514" s="36"/>
      <c r="BU514" s="98" t="s">
        <v>964</v>
      </c>
    </row>
    <row r="515" s="1" customFormat="1" customHeight="1" spans="1:73">
      <c r="A515" s="15" t="s">
        <v>962</v>
      </c>
      <c r="B515" s="15">
        <v>240</v>
      </c>
      <c r="C515" s="16">
        <v>316</v>
      </c>
      <c r="D515" s="29"/>
      <c r="E515" s="30"/>
      <c r="F515" s="29"/>
      <c r="G515" s="29"/>
      <c r="H515" s="29"/>
      <c r="I515" s="29"/>
      <c r="J515" s="29"/>
      <c r="K515" s="29">
        <v>48</v>
      </c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30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0">
        <f t="shared" si="60"/>
        <v>0</v>
      </c>
      <c r="BO515" s="20">
        <f t="shared" si="61"/>
        <v>48</v>
      </c>
      <c r="BP515" s="20">
        <f t="shared" si="62"/>
        <v>268</v>
      </c>
      <c r="BQ515" s="51">
        <f t="shared" si="64"/>
        <v>64.32</v>
      </c>
      <c r="BR515" s="56" t="s">
        <v>99</v>
      </c>
      <c r="BS515" s="91" t="s">
        <v>976</v>
      </c>
      <c r="BT515" s="36"/>
      <c r="BU515" s="98" t="s">
        <v>964</v>
      </c>
    </row>
    <row r="516" s="1" customFormat="1" customHeight="1" spans="1:73">
      <c r="A516" s="15" t="s">
        <v>962</v>
      </c>
      <c r="B516" s="15">
        <v>260</v>
      </c>
      <c r="C516" s="16">
        <v>629</v>
      </c>
      <c r="D516" s="29"/>
      <c r="E516" s="30"/>
      <c r="F516" s="29"/>
      <c r="G516" s="29"/>
      <c r="H516" s="29"/>
      <c r="I516" s="29"/>
      <c r="J516" s="29"/>
      <c r="K516" s="29">
        <v>415</v>
      </c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30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0">
        <f t="shared" si="60"/>
        <v>0</v>
      </c>
      <c r="BO516" s="20">
        <f t="shared" si="61"/>
        <v>415</v>
      </c>
      <c r="BP516" s="20">
        <f t="shared" si="62"/>
        <v>214</v>
      </c>
      <c r="BQ516" s="51">
        <f t="shared" si="64"/>
        <v>55.64</v>
      </c>
      <c r="BR516" s="56" t="s">
        <v>979</v>
      </c>
      <c r="BS516" s="91" t="s">
        <v>886</v>
      </c>
      <c r="BT516" s="36"/>
      <c r="BU516" s="98" t="s">
        <v>964</v>
      </c>
    </row>
    <row r="517" s="1" customFormat="1" customHeight="1" spans="1:73">
      <c r="A517" s="15" t="s">
        <v>962</v>
      </c>
      <c r="B517" s="15">
        <v>280</v>
      </c>
      <c r="C517" s="16">
        <v>63</v>
      </c>
      <c r="D517" s="29"/>
      <c r="E517" s="30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30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0">
        <f t="shared" si="60"/>
        <v>0</v>
      </c>
      <c r="BO517" s="20">
        <f t="shared" si="61"/>
        <v>0</v>
      </c>
      <c r="BP517" s="20">
        <f t="shared" si="62"/>
        <v>63</v>
      </c>
      <c r="BQ517" s="51">
        <f t="shared" si="64"/>
        <v>17.64</v>
      </c>
      <c r="BR517" s="56" t="s">
        <v>971</v>
      </c>
      <c r="BS517" s="91" t="s">
        <v>972</v>
      </c>
      <c r="BT517" s="36"/>
      <c r="BU517" s="98" t="s">
        <v>964</v>
      </c>
    </row>
    <row r="518" s="1" customFormat="1" customHeight="1" spans="1:73">
      <c r="A518" s="15" t="s">
        <v>962</v>
      </c>
      <c r="B518" s="15">
        <v>285</v>
      </c>
      <c r="C518" s="16">
        <v>44</v>
      </c>
      <c r="D518" s="29"/>
      <c r="E518" s="30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30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0">
        <f t="shared" si="60"/>
        <v>0</v>
      </c>
      <c r="BO518" s="20">
        <f t="shared" si="61"/>
        <v>0</v>
      </c>
      <c r="BP518" s="20">
        <f t="shared" si="62"/>
        <v>44</v>
      </c>
      <c r="BQ518" s="51">
        <f t="shared" si="64"/>
        <v>12.54</v>
      </c>
      <c r="BR518" s="56" t="s">
        <v>429</v>
      </c>
      <c r="BS518" s="91" t="s">
        <v>886</v>
      </c>
      <c r="BT518" s="36"/>
      <c r="BU518" s="98" t="s">
        <v>964</v>
      </c>
    </row>
    <row r="519" s="1" customFormat="1" customHeight="1" spans="1:73">
      <c r="A519" s="15" t="s">
        <v>962</v>
      </c>
      <c r="B519" s="15">
        <v>290</v>
      </c>
      <c r="C519" s="16">
        <v>151</v>
      </c>
      <c r="D519" s="29"/>
      <c r="E519" s="30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30"/>
      <c r="AH519" s="29"/>
      <c r="AI519" s="29"/>
      <c r="AJ519" s="29"/>
      <c r="AK519" s="30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0">
        <f t="shared" si="60"/>
        <v>0</v>
      </c>
      <c r="BO519" s="20">
        <f t="shared" si="61"/>
        <v>0</v>
      </c>
      <c r="BP519" s="20">
        <f t="shared" si="62"/>
        <v>151</v>
      </c>
      <c r="BQ519" s="51">
        <f t="shared" si="64"/>
        <v>43.79</v>
      </c>
      <c r="BR519" s="56" t="s">
        <v>980</v>
      </c>
      <c r="BS519" s="91" t="s">
        <v>949</v>
      </c>
      <c r="BT519" s="36"/>
      <c r="BU519" s="98" t="s">
        <v>964</v>
      </c>
    </row>
    <row r="520" s="1" customFormat="1" customHeight="1" spans="1:73">
      <c r="A520" s="15" t="s">
        <v>962</v>
      </c>
      <c r="B520" s="15">
        <v>315</v>
      </c>
      <c r="C520" s="16">
        <v>170</v>
      </c>
      <c r="D520" s="29"/>
      <c r="E520" s="30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30"/>
      <c r="AH520" s="29"/>
      <c r="AI520" s="29"/>
      <c r="AJ520" s="29"/>
      <c r="AK520" s="30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0">
        <f t="shared" si="60"/>
        <v>0</v>
      </c>
      <c r="BO520" s="20">
        <f t="shared" si="61"/>
        <v>0</v>
      </c>
      <c r="BP520" s="20">
        <f t="shared" si="62"/>
        <v>170</v>
      </c>
      <c r="BQ520" s="51">
        <f t="shared" si="64"/>
        <v>53.55</v>
      </c>
      <c r="BR520" s="56" t="s">
        <v>673</v>
      </c>
      <c r="BS520" s="91" t="s">
        <v>686</v>
      </c>
      <c r="BT520" s="36"/>
      <c r="BU520" s="98" t="s">
        <v>964</v>
      </c>
    </row>
    <row r="521" s="1" customFormat="1" customHeight="1" spans="1:73">
      <c r="A521" s="15" t="s">
        <v>962</v>
      </c>
      <c r="B521" s="15">
        <v>355</v>
      </c>
      <c r="C521" s="16">
        <v>134</v>
      </c>
      <c r="D521" s="29"/>
      <c r="E521" s="30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30"/>
      <c r="AH521" s="29"/>
      <c r="AI521" s="29"/>
      <c r="AJ521" s="29"/>
      <c r="AK521" s="30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0">
        <f t="shared" si="60"/>
        <v>0</v>
      </c>
      <c r="BO521" s="20">
        <f t="shared" si="61"/>
        <v>0</v>
      </c>
      <c r="BP521" s="20">
        <f t="shared" si="62"/>
        <v>134</v>
      </c>
      <c r="BQ521" s="51">
        <f t="shared" si="64"/>
        <v>47.57</v>
      </c>
      <c r="BR521" s="56" t="s">
        <v>99</v>
      </c>
      <c r="BS521" s="91" t="s">
        <v>888</v>
      </c>
      <c r="BT521" s="36"/>
      <c r="BU521" s="98" t="s">
        <v>964</v>
      </c>
    </row>
    <row r="522" s="1" customFormat="1" customHeight="1" spans="1:73">
      <c r="A522" s="15" t="s">
        <v>962</v>
      </c>
      <c r="B522" s="15">
        <v>365</v>
      </c>
      <c r="C522" s="16">
        <v>200</v>
      </c>
      <c r="D522" s="29"/>
      <c r="E522" s="30"/>
      <c r="F522" s="29"/>
      <c r="G522" s="29"/>
      <c r="H522" s="29"/>
      <c r="I522" s="29"/>
      <c r="J522" s="29"/>
      <c r="K522" s="29"/>
      <c r="L522" s="29"/>
      <c r="M522" s="29">
        <v>200</v>
      </c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30"/>
      <c r="AH522" s="29"/>
      <c r="AI522" s="29"/>
      <c r="AJ522" s="29"/>
      <c r="AK522" s="30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0">
        <f t="shared" si="60"/>
        <v>0</v>
      </c>
      <c r="BO522" s="20">
        <f t="shared" si="61"/>
        <v>200</v>
      </c>
      <c r="BP522" s="20">
        <f t="shared" si="62"/>
        <v>0</v>
      </c>
      <c r="BQ522" s="51">
        <f t="shared" si="64"/>
        <v>0</v>
      </c>
      <c r="BR522" s="56" t="s">
        <v>975</v>
      </c>
      <c r="BS522" s="91" t="s">
        <v>976</v>
      </c>
      <c r="BT522" s="36"/>
      <c r="BU522" s="98" t="s">
        <v>964</v>
      </c>
    </row>
    <row r="523" s="1" customFormat="1" customHeight="1" spans="1:73">
      <c r="A523" s="53" t="s">
        <v>981</v>
      </c>
      <c r="B523" s="15"/>
      <c r="C523" s="16"/>
      <c r="D523" s="29"/>
      <c r="E523" s="30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30"/>
      <c r="AH523" s="29"/>
      <c r="AI523" s="29"/>
      <c r="AJ523" s="29"/>
      <c r="AK523" s="30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0">
        <f t="shared" si="60"/>
        <v>0</v>
      </c>
      <c r="BO523" s="20">
        <f t="shared" si="61"/>
        <v>0</v>
      </c>
      <c r="BP523" s="20">
        <f t="shared" si="62"/>
        <v>0</v>
      </c>
      <c r="BQ523" s="51"/>
      <c r="BR523" s="56"/>
      <c r="BS523" s="111"/>
      <c r="BT523" s="36"/>
      <c r="BU523" s="44"/>
    </row>
    <row r="524" s="1" customFormat="1" customHeight="1" spans="1:73">
      <c r="A524" s="15" t="s">
        <v>982</v>
      </c>
      <c r="B524" s="15">
        <v>60</v>
      </c>
      <c r="C524" s="16">
        <v>55</v>
      </c>
      <c r="D524" s="29"/>
      <c r="E524" s="30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30"/>
      <c r="AH524" s="29"/>
      <c r="AI524" s="29"/>
      <c r="AJ524" s="29"/>
      <c r="AK524" s="30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0">
        <f t="shared" si="60"/>
        <v>0</v>
      </c>
      <c r="BO524" s="20">
        <f t="shared" si="61"/>
        <v>0</v>
      </c>
      <c r="BP524" s="20">
        <f t="shared" si="62"/>
        <v>55</v>
      </c>
      <c r="BQ524" s="51">
        <f t="shared" ref="BQ524:BQ528" si="65">B524*BP524/1000</f>
        <v>3.3</v>
      </c>
      <c r="BR524" s="56" t="s">
        <v>959</v>
      </c>
      <c r="BS524" s="91" t="s">
        <v>573</v>
      </c>
      <c r="BT524" s="36"/>
      <c r="BU524" s="98" t="s">
        <v>964</v>
      </c>
    </row>
    <row r="525" s="2" customFormat="1" customHeight="1" spans="1:73">
      <c r="A525" s="15" t="s">
        <v>982</v>
      </c>
      <c r="B525" s="15">
        <v>100</v>
      </c>
      <c r="C525" s="16">
        <v>115</v>
      </c>
      <c r="D525" s="29"/>
      <c r="E525" s="30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30"/>
      <c r="AH525" s="29"/>
      <c r="AI525" s="29"/>
      <c r="AJ525" s="29"/>
      <c r="AK525" s="30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0">
        <f t="shared" si="60"/>
        <v>0</v>
      </c>
      <c r="BO525" s="20">
        <f t="shared" si="61"/>
        <v>0</v>
      </c>
      <c r="BP525" s="20">
        <f t="shared" si="62"/>
        <v>115</v>
      </c>
      <c r="BQ525" s="51">
        <f t="shared" si="65"/>
        <v>11.5</v>
      </c>
      <c r="BR525" s="56" t="s">
        <v>983</v>
      </c>
      <c r="BS525" s="121" t="s">
        <v>573</v>
      </c>
      <c r="BT525" s="78"/>
      <c r="BU525" s="35" t="s">
        <v>964</v>
      </c>
    </row>
    <row r="526" s="1" customFormat="1" customHeight="1" spans="1:73">
      <c r="A526" s="15" t="s">
        <v>982</v>
      </c>
      <c r="B526" s="15">
        <v>155</v>
      </c>
      <c r="C526" s="16">
        <v>125</v>
      </c>
      <c r="D526" s="29"/>
      <c r="E526" s="30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30"/>
      <c r="AH526" s="29"/>
      <c r="AI526" s="29"/>
      <c r="AJ526" s="29"/>
      <c r="AK526" s="30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0">
        <f t="shared" si="60"/>
        <v>0</v>
      </c>
      <c r="BO526" s="20">
        <f t="shared" si="61"/>
        <v>0</v>
      </c>
      <c r="BP526" s="20">
        <f t="shared" si="62"/>
        <v>125</v>
      </c>
      <c r="BQ526" s="51">
        <f t="shared" si="65"/>
        <v>19.375</v>
      </c>
      <c r="BR526" s="56" t="s">
        <v>984</v>
      </c>
      <c r="BS526" s="91" t="s">
        <v>985</v>
      </c>
      <c r="BT526" s="36" t="s">
        <v>986</v>
      </c>
      <c r="BU526" s="98" t="s">
        <v>964</v>
      </c>
    </row>
    <row r="527" s="1" customFormat="1" customHeight="1" spans="1:73">
      <c r="A527" s="15" t="s">
        <v>982</v>
      </c>
      <c r="B527" s="15">
        <v>355</v>
      </c>
      <c r="C527" s="16">
        <v>130</v>
      </c>
      <c r="D527" s="29"/>
      <c r="E527" s="30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30"/>
      <c r="AH527" s="29"/>
      <c r="AI527" s="29"/>
      <c r="AJ527" s="29"/>
      <c r="AK527" s="30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0">
        <f t="shared" si="60"/>
        <v>0</v>
      </c>
      <c r="BO527" s="20">
        <f t="shared" si="61"/>
        <v>0</v>
      </c>
      <c r="BP527" s="20">
        <f t="shared" si="62"/>
        <v>130</v>
      </c>
      <c r="BQ527" s="51">
        <f t="shared" si="65"/>
        <v>46.15</v>
      </c>
      <c r="BR527" s="56" t="s">
        <v>975</v>
      </c>
      <c r="BS527" s="91" t="s">
        <v>976</v>
      </c>
      <c r="BT527" s="36"/>
      <c r="BU527" s="98" t="s">
        <v>964</v>
      </c>
    </row>
    <row r="528" s="1" customFormat="1" customHeight="1" spans="1:73">
      <c r="A528" s="53" t="s">
        <v>987</v>
      </c>
      <c r="B528" s="15">
        <v>1218</v>
      </c>
      <c r="C528" s="16">
        <v>215</v>
      </c>
      <c r="D528" s="29"/>
      <c r="E528" s="30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30"/>
      <c r="AH528" s="29"/>
      <c r="AI528" s="29"/>
      <c r="AJ528" s="29"/>
      <c r="AK528" s="30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0">
        <f t="shared" si="60"/>
        <v>0</v>
      </c>
      <c r="BO528" s="20">
        <f t="shared" si="61"/>
        <v>0</v>
      </c>
      <c r="BP528" s="20">
        <f t="shared" si="62"/>
        <v>215</v>
      </c>
      <c r="BQ528" s="51">
        <f t="shared" si="65"/>
        <v>261.87</v>
      </c>
      <c r="BR528" s="56" t="s">
        <v>984</v>
      </c>
      <c r="BS528" s="91" t="s">
        <v>985</v>
      </c>
      <c r="BT528" s="36" t="s">
        <v>988</v>
      </c>
      <c r="BU528" s="98" t="s">
        <v>964</v>
      </c>
    </row>
    <row r="529" s="1" customFormat="1" customHeight="1" spans="1:73">
      <c r="A529" s="53" t="s">
        <v>989</v>
      </c>
      <c r="B529" s="15"/>
      <c r="C529" s="16"/>
      <c r="D529" s="29"/>
      <c r="E529" s="30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30"/>
      <c r="AH529" s="29"/>
      <c r="AI529" s="29"/>
      <c r="AJ529" s="29"/>
      <c r="AK529" s="30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0">
        <f t="shared" si="60"/>
        <v>0</v>
      </c>
      <c r="BO529" s="20">
        <f t="shared" si="61"/>
        <v>0</v>
      </c>
      <c r="BP529" s="20">
        <f t="shared" si="62"/>
        <v>0</v>
      </c>
      <c r="BQ529" s="51"/>
      <c r="BR529" s="56"/>
      <c r="BS529" s="111"/>
      <c r="BT529" s="36"/>
      <c r="BU529" s="112"/>
    </row>
    <row r="530" s="1" customFormat="1" customHeight="1" spans="1:73">
      <c r="A530" s="15" t="s">
        <v>990</v>
      </c>
      <c r="B530" s="15">
        <v>100</v>
      </c>
      <c r="C530" s="16">
        <v>36</v>
      </c>
      <c r="D530" s="29"/>
      <c r="E530" s="30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30"/>
      <c r="AH530" s="29"/>
      <c r="AI530" s="29"/>
      <c r="AJ530" s="29"/>
      <c r="AK530" s="30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0">
        <f t="shared" si="60"/>
        <v>0</v>
      </c>
      <c r="BO530" s="20">
        <f t="shared" si="61"/>
        <v>0</v>
      </c>
      <c r="BP530" s="20">
        <f t="shared" si="62"/>
        <v>36</v>
      </c>
      <c r="BQ530" s="51">
        <f t="shared" ref="BQ530:BQ534" si="66">B530*BP530/1000</f>
        <v>3.6</v>
      </c>
      <c r="BR530" s="56" t="s">
        <v>991</v>
      </c>
      <c r="BS530" s="91" t="s">
        <v>573</v>
      </c>
      <c r="BT530" s="36"/>
      <c r="BU530" s="98" t="s">
        <v>964</v>
      </c>
    </row>
    <row r="531" s="1" customFormat="1" customHeight="1" spans="1:73">
      <c r="A531" s="15" t="s">
        <v>990</v>
      </c>
      <c r="B531" s="15">
        <v>135</v>
      </c>
      <c r="C531" s="16">
        <v>23</v>
      </c>
      <c r="D531" s="29"/>
      <c r="E531" s="30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30"/>
      <c r="AH531" s="29"/>
      <c r="AI531" s="29"/>
      <c r="AJ531" s="29"/>
      <c r="AK531" s="30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0">
        <f t="shared" si="60"/>
        <v>0</v>
      </c>
      <c r="BO531" s="20">
        <f t="shared" si="61"/>
        <v>0</v>
      </c>
      <c r="BP531" s="20">
        <f t="shared" si="62"/>
        <v>23</v>
      </c>
      <c r="BQ531" s="51">
        <f t="shared" si="66"/>
        <v>3.105</v>
      </c>
      <c r="BR531" s="56" t="s">
        <v>991</v>
      </c>
      <c r="BS531" s="91" t="s">
        <v>573</v>
      </c>
      <c r="BT531" s="36"/>
      <c r="BU531" s="98" t="s">
        <v>964</v>
      </c>
    </row>
    <row r="532" s="1" customFormat="1" customHeight="1" spans="1:73">
      <c r="A532" s="15" t="s">
        <v>990</v>
      </c>
      <c r="B532" s="15">
        <v>210</v>
      </c>
      <c r="C532" s="16">
        <v>120</v>
      </c>
      <c r="D532" s="29"/>
      <c r="E532" s="30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30"/>
      <c r="AH532" s="29"/>
      <c r="AI532" s="29"/>
      <c r="AJ532" s="29"/>
      <c r="AK532" s="30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0">
        <f t="shared" si="60"/>
        <v>0</v>
      </c>
      <c r="BO532" s="20">
        <f t="shared" si="61"/>
        <v>0</v>
      </c>
      <c r="BP532" s="20">
        <f t="shared" si="62"/>
        <v>120</v>
      </c>
      <c r="BQ532" s="51">
        <f t="shared" si="66"/>
        <v>25.2</v>
      </c>
      <c r="BR532" s="56" t="s">
        <v>991</v>
      </c>
      <c r="BS532" s="91" t="s">
        <v>573</v>
      </c>
      <c r="BT532" s="36"/>
      <c r="BU532" s="98" t="s">
        <v>964</v>
      </c>
    </row>
    <row r="533" s="1" customFormat="1" customHeight="1" spans="1:73">
      <c r="A533" s="15" t="s">
        <v>990</v>
      </c>
      <c r="B533" s="15">
        <v>260</v>
      </c>
      <c r="C533" s="16">
        <v>148</v>
      </c>
      <c r="D533" s="29"/>
      <c r="E533" s="30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30"/>
      <c r="AH533" s="29"/>
      <c r="AI533" s="29"/>
      <c r="AJ533" s="29"/>
      <c r="AK533" s="30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0">
        <f t="shared" si="60"/>
        <v>0</v>
      </c>
      <c r="BO533" s="20">
        <f t="shared" si="61"/>
        <v>0</v>
      </c>
      <c r="BP533" s="20">
        <f t="shared" si="62"/>
        <v>148</v>
      </c>
      <c r="BQ533" s="51">
        <f t="shared" si="66"/>
        <v>38.48</v>
      </c>
      <c r="BR533" s="56" t="s">
        <v>991</v>
      </c>
      <c r="BS533" s="91" t="s">
        <v>573</v>
      </c>
      <c r="BT533" s="36"/>
      <c r="BU533" s="98" t="s">
        <v>964</v>
      </c>
    </row>
    <row r="534" s="1" customFormat="1" customHeight="1" spans="1:73">
      <c r="A534" s="15" t="s">
        <v>990</v>
      </c>
      <c r="B534" s="15">
        <v>330</v>
      </c>
      <c r="C534" s="16">
        <v>10</v>
      </c>
      <c r="D534" s="29"/>
      <c r="E534" s="30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30"/>
      <c r="AH534" s="29"/>
      <c r="AI534" s="29"/>
      <c r="AJ534" s="29"/>
      <c r="AK534" s="30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0">
        <f t="shared" si="60"/>
        <v>0</v>
      </c>
      <c r="BO534" s="20">
        <f t="shared" si="61"/>
        <v>0</v>
      </c>
      <c r="BP534" s="20">
        <f t="shared" si="62"/>
        <v>10</v>
      </c>
      <c r="BQ534" s="51">
        <f t="shared" si="66"/>
        <v>3.3</v>
      </c>
      <c r="BR534" s="56" t="s">
        <v>991</v>
      </c>
      <c r="BS534" s="91" t="s">
        <v>573</v>
      </c>
      <c r="BT534" s="36"/>
      <c r="BU534" s="98" t="s">
        <v>964</v>
      </c>
    </row>
    <row r="535" s="1" customFormat="1" customHeight="1" spans="1:73">
      <c r="A535" s="53" t="s">
        <v>992</v>
      </c>
      <c r="B535" s="15"/>
      <c r="C535" s="16"/>
      <c r="D535" s="29"/>
      <c r="E535" s="30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30"/>
      <c r="AH535" s="29"/>
      <c r="AI535" s="29"/>
      <c r="AJ535" s="29"/>
      <c r="AK535" s="30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0">
        <f t="shared" si="60"/>
        <v>0</v>
      </c>
      <c r="BO535" s="20">
        <f t="shared" si="61"/>
        <v>0</v>
      </c>
      <c r="BP535" s="20">
        <f t="shared" si="62"/>
        <v>0</v>
      </c>
      <c r="BQ535" s="51"/>
      <c r="BR535" s="56"/>
      <c r="BS535" s="91"/>
      <c r="BT535" s="36"/>
      <c r="BU535" s="98"/>
    </row>
    <row r="536" s="1" customFormat="1" customHeight="1" spans="1:73">
      <c r="A536" s="37" t="s">
        <v>993</v>
      </c>
      <c r="B536" s="15">
        <v>68</v>
      </c>
      <c r="C536" s="16">
        <v>200</v>
      </c>
      <c r="D536" s="29"/>
      <c r="E536" s="30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30"/>
      <c r="AH536" s="29"/>
      <c r="AI536" s="29"/>
      <c r="AJ536" s="29"/>
      <c r="AK536" s="30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0">
        <f t="shared" si="60"/>
        <v>0</v>
      </c>
      <c r="BO536" s="20">
        <f t="shared" si="61"/>
        <v>0</v>
      </c>
      <c r="BP536" s="20">
        <f t="shared" si="62"/>
        <v>200</v>
      </c>
      <c r="BQ536" s="51">
        <f t="shared" ref="BQ536:BQ541" si="67">B536*BP536/1000</f>
        <v>13.6</v>
      </c>
      <c r="BR536" s="56" t="s">
        <v>994</v>
      </c>
      <c r="BS536" s="91" t="s">
        <v>995</v>
      </c>
      <c r="BT536" s="36"/>
      <c r="BU536" s="98" t="s">
        <v>996</v>
      </c>
    </row>
    <row r="537" s="1" customFormat="1" customHeight="1" spans="1:73">
      <c r="A537" s="37" t="s">
        <v>993</v>
      </c>
      <c r="B537" s="15">
        <v>74</v>
      </c>
      <c r="C537" s="16">
        <v>80</v>
      </c>
      <c r="D537" s="29"/>
      <c r="E537" s="30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30"/>
      <c r="AH537" s="29"/>
      <c r="AI537" s="29"/>
      <c r="AJ537" s="29"/>
      <c r="AK537" s="30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0">
        <f t="shared" si="60"/>
        <v>0</v>
      </c>
      <c r="BO537" s="20">
        <f t="shared" si="61"/>
        <v>0</v>
      </c>
      <c r="BP537" s="20">
        <f t="shared" si="62"/>
        <v>80</v>
      </c>
      <c r="BQ537" s="51">
        <f t="shared" si="67"/>
        <v>5.92</v>
      </c>
      <c r="BR537" s="56" t="s">
        <v>997</v>
      </c>
      <c r="BS537" s="91" t="s">
        <v>848</v>
      </c>
      <c r="BT537" s="36"/>
      <c r="BU537" s="98" t="s">
        <v>996</v>
      </c>
    </row>
    <row r="538" s="1" customFormat="1" customHeight="1" spans="1:73">
      <c r="A538" s="37" t="s">
        <v>993</v>
      </c>
      <c r="B538" s="15">
        <v>90</v>
      </c>
      <c r="C538" s="16">
        <v>155</v>
      </c>
      <c r="D538" s="29"/>
      <c r="E538" s="30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30"/>
      <c r="AH538" s="29"/>
      <c r="AI538" s="29"/>
      <c r="AJ538" s="29"/>
      <c r="AK538" s="30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0">
        <f t="shared" si="60"/>
        <v>0</v>
      </c>
      <c r="BO538" s="20">
        <f t="shared" si="61"/>
        <v>0</v>
      </c>
      <c r="BP538" s="20">
        <f t="shared" si="62"/>
        <v>155</v>
      </c>
      <c r="BQ538" s="51">
        <f t="shared" si="67"/>
        <v>13.95</v>
      </c>
      <c r="BR538" s="56" t="s">
        <v>955</v>
      </c>
      <c r="BS538" s="91" t="s">
        <v>956</v>
      </c>
      <c r="BT538" s="36" t="s">
        <v>998</v>
      </c>
      <c r="BU538" s="98" t="s">
        <v>996</v>
      </c>
    </row>
    <row r="539" s="1" customFormat="1" customHeight="1" spans="1:73">
      <c r="A539" s="37" t="s">
        <v>993</v>
      </c>
      <c r="B539" s="15">
        <v>125</v>
      </c>
      <c r="C539" s="16">
        <v>265</v>
      </c>
      <c r="D539" s="29"/>
      <c r="E539" s="30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30"/>
      <c r="AH539" s="29"/>
      <c r="AI539" s="29"/>
      <c r="AJ539" s="29"/>
      <c r="AK539" s="30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0">
        <f t="shared" si="60"/>
        <v>0</v>
      </c>
      <c r="BO539" s="20">
        <f t="shared" si="61"/>
        <v>0</v>
      </c>
      <c r="BP539" s="20">
        <f t="shared" si="62"/>
        <v>265</v>
      </c>
      <c r="BQ539" s="51">
        <f t="shared" si="67"/>
        <v>33.125</v>
      </c>
      <c r="BR539" s="56" t="s">
        <v>903</v>
      </c>
      <c r="BS539" s="91" t="s">
        <v>914</v>
      </c>
      <c r="BT539" s="36"/>
      <c r="BU539" s="98" t="s">
        <v>996</v>
      </c>
    </row>
    <row r="540" s="1" customFormat="1" customHeight="1" spans="1:73">
      <c r="A540" s="37" t="s">
        <v>993</v>
      </c>
      <c r="B540" s="15">
        <v>140</v>
      </c>
      <c r="C540" s="16">
        <v>240</v>
      </c>
      <c r="D540" s="29"/>
      <c r="E540" s="30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30"/>
      <c r="AH540" s="29"/>
      <c r="AI540" s="29"/>
      <c r="AJ540" s="29"/>
      <c r="AK540" s="30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0">
        <f t="shared" si="60"/>
        <v>0</v>
      </c>
      <c r="BO540" s="20">
        <f t="shared" si="61"/>
        <v>0</v>
      </c>
      <c r="BP540" s="20">
        <f t="shared" si="62"/>
        <v>240</v>
      </c>
      <c r="BQ540" s="51">
        <f t="shared" si="67"/>
        <v>33.6</v>
      </c>
      <c r="BR540" s="56" t="s">
        <v>716</v>
      </c>
      <c r="BS540" s="91" t="s">
        <v>592</v>
      </c>
      <c r="BT540" s="36"/>
      <c r="BU540" s="98" t="s">
        <v>996</v>
      </c>
    </row>
    <row r="541" s="1" customFormat="1" customHeight="1" spans="1:73">
      <c r="A541" s="37" t="s">
        <v>993</v>
      </c>
      <c r="B541" s="15">
        <v>180</v>
      </c>
      <c r="C541" s="16">
        <v>55</v>
      </c>
      <c r="D541" s="29"/>
      <c r="E541" s="30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30"/>
      <c r="AH541" s="29"/>
      <c r="AI541" s="29"/>
      <c r="AJ541" s="29"/>
      <c r="AK541" s="30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0">
        <f t="shared" si="60"/>
        <v>0</v>
      </c>
      <c r="BO541" s="20">
        <f t="shared" si="61"/>
        <v>0</v>
      </c>
      <c r="BP541" s="20">
        <f t="shared" si="62"/>
        <v>55</v>
      </c>
      <c r="BQ541" s="51">
        <f t="shared" si="67"/>
        <v>9.9</v>
      </c>
      <c r="BR541" s="56" t="s">
        <v>591</v>
      </c>
      <c r="BS541" s="91" t="s">
        <v>592</v>
      </c>
      <c r="BT541" s="36"/>
      <c r="BU541" s="98" t="s">
        <v>996</v>
      </c>
    </row>
    <row r="542" s="1" customFormat="1" customHeight="1" spans="1:73">
      <c r="A542" s="53" t="s">
        <v>999</v>
      </c>
      <c r="B542" s="15"/>
      <c r="C542" s="16"/>
      <c r="D542" s="29"/>
      <c r="E542" s="30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30"/>
      <c r="AH542" s="29"/>
      <c r="AI542" s="29"/>
      <c r="AJ542" s="29"/>
      <c r="AK542" s="30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0">
        <f t="shared" si="60"/>
        <v>0</v>
      </c>
      <c r="BO542" s="20">
        <f t="shared" si="61"/>
        <v>0</v>
      </c>
      <c r="BP542" s="20">
        <f t="shared" si="62"/>
        <v>0</v>
      </c>
      <c r="BQ542" s="51"/>
      <c r="BR542" s="56"/>
      <c r="BS542" s="111"/>
      <c r="BT542" s="36"/>
      <c r="BU542" s="112"/>
    </row>
    <row r="543" s="1" customFormat="1" customHeight="1" spans="1:73">
      <c r="A543" s="15" t="s">
        <v>1000</v>
      </c>
      <c r="B543" s="15">
        <v>40</v>
      </c>
      <c r="C543" s="16">
        <v>200</v>
      </c>
      <c r="D543" s="29"/>
      <c r="E543" s="30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30"/>
      <c r="AH543" s="29"/>
      <c r="AI543" s="29"/>
      <c r="AJ543" s="29"/>
      <c r="AK543" s="30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0">
        <f t="shared" si="60"/>
        <v>0</v>
      </c>
      <c r="BO543" s="20">
        <f t="shared" si="61"/>
        <v>0</v>
      </c>
      <c r="BP543" s="20">
        <f t="shared" si="62"/>
        <v>200</v>
      </c>
      <c r="BQ543" s="51">
        <f t="shared" ref="BQ543:BQ545" si="68">B543*BP543/1000</f>
        <v>8</v>
      </c>
      <c r="BR543" s="56" t="s">
        <v>1001</v>
      </c>
      <c r="BS543" s="91" t="s">
        <v>1002</v>
      </c>
      <c r="BT543" s="36"/>
      <c r="BU543" s="98" t="s">
        <v>996</v>
      </c>
    </row>
    <row r="544" s="1" customFormat="1" customHeight="1" spans="1:73">
      <c r="A544" s="15" t="s">
        <v>1000</v>
      </c>
      <c r="B544" s="15">
        <v>190</v>
      </c>
      <c r="C544" s="16">
        <v>62</v>
      </c>
      <c r="D544" s="29"/>
      <c r="E544" s="30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30"/>
      <c r="AH544" s="29"/>
      <c r="AI544" s="29"/>
      <c r="AJ544" s="29"/>
      <c r="AK544" s="30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0">
        <f t="shared" si="60"/>
        <v>0</v>
      </c>
      <c r="BO544" s="20">
        <f t="shared" si="61"/>
        <v>0</v>
      </c>
      <c r="BP544" s="20">
        <f t="shared" si="62"/>
        <v>62</v>
      </c>
      <c r="BQ544" s="51">
        <f t="shared" si="68"/>
        <v>11.78</v>
      </c>
      <c r="BR544" s="56" t="s">
        <v>1003</v>
      </c>
      <c r="BS544" s="91" t="s">
        <v>573</v>
      </c>
      <c r="BT544" s="36" t="s">
        <v>1004</v>
      </c>
      <c r="BU544" s="98" t="s">
        <v>996</v>
      </c>
    </row>
    <row r="545" s="1" customFormat="1" customHeight="1" spans="1:73">
      <c r="A545" s="15" t="s">
        <v>1000</v>
      </c>
      <c r="B545" s="15">
        <v>330</v>
      </c>
      <c r="C545" s="16">
        <v>270</v>
      </c>
      <c r="D545" s="29"/>
      <c r="E545" s="30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30"/>
      <c r="AH545" s="29"/>
      <c r="AI545" s="29"/>
      <c r="AJ545" s="29"/>
      <c r="AK545" s="30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0">
        <f t="shared" si="60"/>
        <v>0</v>
      </c>
      <c r="BO545" s="20">
        <f t="shared" si="61"/>
        <v>0</v>
      </c>
      <c r="BP545" s="20">
        <f t="shared" si="62"/>
        <v>270</v>
      </c>
      <c r="BQ545" s="51">
        <f t="shared" si="68"/>
        <v>89.1</v>
      </c>
      <c r="BR545" s="56" t="s">
        <v>1005</v>
      </c>
      <c r="BS545" s="91" t="s">
        <v>1006</v>
      </c>
      <c r="BT545" s="36" t="s">
        <v>1007</v>
      </c>
      <c r="BU545" s="98" t="s">
        <v>996</v>
      </c>
    </row>
    <row r="546" s="1" customFormat="1" customHeight="1" spans="1:73">
      <c r="A546" s="53" t="s">
        <v>1008</v>
      </c>
      <c r="B546" s="15"/>
      <c r="C546" s="16"/>
      <c r="D546" s="29"/>
      <c r="E546" s="30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30"/>
      <c r="AH546" s="29"/>
      <c r="AI546" s="29"/>
      <c r="AJ546" s="29"/>
      <c r="AK546" s="30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0">
        <f t="shared" si="60"/>
        <v>0</v>
      </c>
      <c r="BO546" s="20">
        <f t="shared" si="61"/>
        <v>0</v>
      </c>
      <c r="BP546" s="20">
        <f t="shared" si="62"/>
        <v>0</v>
      </c>
      <c r="BQ546" s="51"/>
      <c r="BR546" s="56"/>
      <c r="BS546" s="91"/>
      <c r="BT546" s="36"/>
      <c r="BU546" s="44"/>
    </row>
    <row r="547" s="1" customFormat="1" customHeight="1" spans="1:73">
      <c r="A547" s="37" t="s">
        <v>1009</v>
      </c>
      <c r="B547" s="15">
        <v>265</v>
      </c>
      <c r="C547" s="16">
        <v>195</v>
      </c>
      <c r="D547" s="29"/>
      <c r="E547" s="30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30"/>
      <c r="AH547" s="29"/>
      <c r="AI547" s="29"/>
      <c r="AJ547" s="29"/>
      <c r="AK547" s="30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0">
        <f t="shared" si="60"/>
        <v>0</v>
      </c>
      <c r="BO547" s="20">
        <f t="shared" si="61"/>
        <v>0</v>
      </c>
      <c r="BP547" s="20">
        <f t="shared" si="62"/>
        <v>195</v>
      </c>
      <c r="BQ547" s="51">
        <f t="shared" ref="BQ547:BQ550" si="69">B547*BP547/1000</f>
        <v>51.675</v>
      </c>
      <c r="BR547" s="56" t="s">
        <v>1010</v>
      </c>
      <c r="BS547" s="91" t="s">
        <v>573</v>
      </c>
      <c r="BT547" s="36"/>
      <c r="BU547" s="98" t="s">
        <v>996</v>
      </c>
    </row>
    <row r="548" s="1" customFormat="1" customHeight="1" spans="1:73">
      <c r="A548" s="53" t="s">
        <v>1011</v>
      </c>
      <c r="B548" s="15"/>
      <c r="C548" s="16"/>
      <c r="D548" s="29"/>
      <c r="E548" s="30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30"/>
      <c r="AH548" s="29"/>
      <c r="AI548" s="29"/>
      <c r="AJ548" s="29"/>
      <c r="AK548" s="30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0">
        <f t="shared" si="60"/>
        <v>0</v>
      </c>
      <c r="BO548" s="20">
        <f t="shared" si="61"/>
        <v>0</v>
      </c>
      <c r="BP548" s="20">
        <f t="shared" si="62"/>
        <v>0</v>
      </c>
      <c r="BQ548" s="51"/>
      <c r="BR548" s="56"/>
      <c r="BS548" s="111"/>
      <c r="BT548" s="36"/>
      <c r="BU548" s="112"/>
    </row>
    <row r="549" s="1" customFormat="1" customHeight="1" spans="1:73">
      <c r="A549" s="15" t="s">
        <v>1012</v>
      </c>
      <c r="B549" s="15">
        <v>280</v>
      </c>
      <c r="C549" s="16">
        <v>400</v>
      </c>
      <c r="D549" s="29"/>
      <c r="E549" s="30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30"/>
      <c r="AH549" s="29"/>
      <c r="AI549" s="29"/>
      <c r="AJ549" s="29"/>
      <c r="AK549" s="30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0">
        <f t="shared" si="60"/>
        <v>0</v>
      </c>
      <c r="BO549" s="20">
        <f t="shared" si="61"/>
        <v>0</v>
      </c>
      <c r="BP549" s="20">
        <f t="shared" si="62"/>
        <v>400</v>
      </c>
      <c r="BQ549" s="51">
        <f t="shared" si="69"/>
        <v>112</v>
      </c>
      <c r="BR549" s="56" t="s">
        <v>991</v>
      </c>
      <c r="BS549" s="91" t="s">
        <v>573</v>
      </c>
      <c r="BT549" s="36"/>
      <c r="BU549" s="98" t="s">
        <v>996</v>
      </c>
    </row>
    <row r="550" s="1" customFormat="1" customHeight="1" spans="1:73">
      <c r="A550" s="37" t="s">
        <v>1013</v>
      </c>
      <c r="B550" s="15">
        <v>130</v>
      </c>
      <c r="C550" s="16">
        <v>100</v>
      </c>
      <c r="D550" s="29"/>
      <c r="E550" s="30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30"/>
      <c r="AH550" s="29"/>
      <c r="AI550" s="29"/>
      <c r="AJ550" s="29"/>
      <c r="AK550" s="30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0">
        <f t="shared" si="60"/>
        <v>0</v>
      </c>
      <c r="BO550" s="20">
        <f t="shared" si="61"/>
        <v>0</v>
      </c>
      <c r="BP550" s="20">
        <f t="shared" si="62"/>
        <v>100</v>
      </c>
      <c r="BQ550" s="51">
        <f t="shared" si="69"/>
        <v>13</v>
      </c>
      <c r="BR550" s="56" t="s">
        <v>991</v>
      </c>
      <c r="BS550" s="91" t="s">
        <v>573</v>
      </c>
      <c r="BT550" s="36"/>
      <c r="BU550" s="98" t="s">
        <v>996</v>
      </c>
    </row>
    <row r="551" s="1" customFormat="1" customHeight="1" spans="1:73">
      <c r="A551" s="53" t="s">
        <v>1014</v>
      </c>
      <c r="B551" s="15"/>
      <c r="C551" s="16"/>
      <c r="D551" s="29"/>
      <c r="E551" s="30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30"/>
      <c r="AH551" s="29"/>
      <c r="AI551" s="29"/>
      <c r="AJ551" s="29"/>
      <c r="AK551" s="30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0">
        <f t="shared" si="60"/>
        <v>0</v>
      </c>
      <c r="BO551" s="20">
        <f t="shared" si="61"/>
        <v>0</v>
      </c>
      <c r="BP551" s="20">
        <f t="shared" si="62"/>
        <v>0</v>
      </c>
      <c r="BQ551" s="51"/>
      <c r="BR551" s="56"/>
      <c r="BS551" s="91"/>
      <c r="BT551" s="36"/>
      <c r="BU551" s="44"/>
    </row>
    <row r="552" s="1" customFormat="1" customHeight="1" spans="1:73">
      <c r="A552" s="37" t="s">
        <v>1015</v>
      </c>
      <c r="B552" s="15">
        <v>295</v>
      </c>
      <c r="C552" s="16">
        <v>145</v>
      </c>
      <c r="D552" s="29"/>
      <c r="E552" s="30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30"/>
      <c r="AH552" s="29"/>
      <c r="AI552" s="29"/>
      <c r="AJ552" s="29"/>
      <c r="AK552" s="30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0">
        <f t="shared" si="60"/>
        <v>0</v>
      </c>
      <c r="BO552" s="20">
        <f t="shared" si="61"/>
        <v>0</v>
      </c>
      <c r="BP552" s="20">
        <f t="shared" si="62"/>
        <v>145</v>
      </c>
      <c r="BQ552" s="51">
        <f t="shared" ref="BQ552:BQ557" si="70">B552*BP552/1000</f>
        <v>42.775</v>
      </c>
      <c r="BR552" s="56" t="s">
        <v>1016</v>
      </c>
      <c r="BS552" s="91" t="s">
        <v>573</v>
      </c>
      <c r="BT552" s="36" t="s">
        <v>1017</v>
      </c>
      <c r="BU552" s="98" t="s">
        <v>996</v>
      </c>
    </row>
    <row r="553" s="1" customFormat="1" customHeight="1" spans="1:73">
      <c r="A553" s="53" t="s">
        <v>1018</v>
      </c>
      <c r="B553" s="15"/>
      <c r="C553" s="16"/>
      <c r="D553" s="29"/>
      <c r="E553" s="30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30"/>
      <c r="AH553" s="29"/>
      <c r="AI553" s="29"/>
      <c r="AJ553" s="29"/>
      <c r="AK553" s="30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0">
        <f t="shared" ref="BN553:BN616" si="71">D553+F553+H553+J553+L553+N553+P553+R553+T553+V553+X553+Z553+AB553+AD553+AF553+AH553+AJ553+AL553+AN553+AP553+AR553+AT553+AV553+AX553+AZ553+BB553+BD553+BF553+BH553+BJ553+BL553</f>
        <v>0</v>
      </c>
      <c r="BO553" s="20">
        <f t="shared" ref="BO553:BO616" si="72">E553+G553+I553+K553+M553+O553+Q553+S553+U553+W553+Y553+AA553+AC553+AE553+AG553+AI553+AK553+AM553+AO553+AQ553+AS553+AU553+AW553+AY553+BA553+BC553+BE553+BG553+BI553+BK553+BM553</f>
        <v>0</v>
      </c>
      <c r="BP553" s="20">
        <f t="shared" ref="BP553:BP616" si="73">C553+BN553-BO553</f>
        <v>0</v>
      </c>
      <c r="BQ553" s="51"/>
      <c r="BR553" s="56"/>
      <c r="BS553" s="111"/>
      <c r="BT553" s="36"/>
      <c r="BU553" s="44"/>
    </row>
    <row r="554" s="1" customFormat="1" customHeight="1" spans="1:73">
      <c r="A554" s="39" t="s">
        <v>1019</v>
      </c>
      <c r="B554" s="15">
        <v>145</v>
      </c>
      <c r="C554" s="16">
        <v>200</v>
      </c>
      <c r="D554" s="29"/>
      <c r="E554" s="30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30"/>
      <c r="AH554" s="29"/>
      <c r="AI554" s="29"/>
      <c r="AJ554" s="29"/>
      <c r="AK554" s="30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0">
        <f t="shared" si="71"/>
        <v>0</v>
      </c>
      <c r="BO554" s="20">
        <f t="shared" si="72"/>
        <v>0</v>
      </c>
      <c r="BP554" s="20">
        <f t="shared" si="73"/>
        <v>200</v>
      </c>
      <c r="BQ554" s="51">
        <f t="shared" si="70"/>
        <v>29</v>
      </c>
      <c r="BR554" s="56" t="s">
        <v>1020</v>
      </c>
      <c r="BS554" s="91" t="s">
        <v>573</v>
      </c>
      <c r="BT554" s="36"/>
      <c r="BU554" s="98" t="s">
        <v>996</v>
      </c>
    </row>
    <row r="555" s="1" customFormat="1" customHeight="1" spans="1:73">
      <c r="A555" s="39" t="s">
        <v>1021</v>
      </c>
      <c r="B555" s="15">
        <v>280</v>
      </c>
      <c r="C555" s="16">
        <v>60</v>
      </c>
      <c r="D555" s="29"/>
      <c r="E555" s="30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30"/>
      <c r="AH555" s="29"/>
      <c r="AI555" s="29"/>
      <c r="AJ555" s="29"/>
      <c r="AK555" s="30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0">
        <f t="shared" si="71"/>
        <v>0</v>
      </c>
      <c r="BO555" s="20">
        <f t="shared" si="72"/>
        <v>0</v>
      </c>
      <c r="BP555" s="20">
        <f t="shared" si="73"/>
        <v>60</v>
      </c>
      <c r="BQ555" s="51">
        <f t="shared" si="70"/>
        <v>16.8</v>
      </c>
      <c r="BR555" s="56" t="s">
        <v>1022</v>
      </c>
      <c r="BS555" s="91" t="s">
        <v>573</v>
      </c>
      <c r="BT555" s="36"/>
      <c r="BU555" s="98" t="s">
        <v>996</v>
      </c>
    </row>
    <row r="556" s="1" customFormat="1" customHeight="1" spans="1:73">
      <c r="A556" s="39" t="s">
        <v>1021</v>
      </c>
      <c r="B556" s="15">
        <v>210</v>
      </c>
      <c r="C556" s="16">
        <v>269</v>
      </c>
      <c r="D556" s="29"/>
      <c r="E556" s="30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30"/>
      <c r="AH556" s="29"/>
      <c r="AI556" s="29"/>
      <c r="AJ556" s="29"/>
      <c r="AK556" s="30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0">
        <f t="shared" si="71"/>
        <v>0</v>
      </c>
      <c r="BO556" s="20">
        <f t="shared" si="72"/>
        <v>0</v>
      </c>
      <c r="BP556" s="20">
        <f t="shared" si="73"/>
        <v>269</v>
      </c>
      <c r="BQ556" s="51">
        <f t="shared" si="70"/>
        <v>56.49</v>
      </c>
      <c r="BR556" s="56" t="s">
        <v>1023</v>
      </c>
      <c r="BS556" s="91" t="s">
        <v>1024</v>
      </c>
      <c r="BT556" s="36" t="s">
        <v>1025</v>
      </c>
      <c r="BU556" s="98" t="s">
        <v>996</v>
      </c>
    </row>
    <row r="557" s="1" customFormat="1" customHeight="1" spans="1:73">
      <c r="A557" s="66" t="s">
        <v>1026</v>
      </c>
      <c r="B557" s="15">
        <v>285</v>
      </c>
      <c r="C557" s="16">
        <v>200</v>
      </c>
      <c r="D557" s="29"/>
      <c r="E557" s="30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30"/>
      <c r="AH557" s="29"/>
      <c r="AI557" s="29"/>
      <c r="AJ557" s="29"/>
      <c r="AK557" s="30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0">
        <f t="shared" si="71"/>
        <v>0</v>
      </c>
      <c r="BO557" s="20">
        <f t="shared" si="72"/>
        <v>0</v>
      </c>
      <c r="BP557" s="20">
        <f t="shared" si="73"/>
        <v>200</v>
      </c>
      <c r="BQ557" s="51">
        <f t="shared" si="70"/>
        <v>57</v>
      </c>
      <c r="BR557" s="56" t="s">
        <v>1027</v>
      </c>
      <c r="BS557" s="91" t="s">
        <v>573</v>
      </c>
      <c r="BT557" s="36" t="s">
        <v>1028</v>
      </c>
      <c r="BU557" s="98" t="s">
        <v>996</v>
      </c>
    </row>
    <row r="558" s="1" customFormat="1" customHeight="1" spans="1:73">
      <c r="A558" s="53" t="s">
        <v>1029</v>
      </c>
      <c r="B558" s="15"/>
      <c r="C558" s="16"/>
      <c r="D558" s="29"/>
      <c r="E558" s="30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30"/>
      <c r="AH558" s="29"/>
      <c r="AI558" s="29"/>
      <c r="AJ558" s="29"/>
      <c r="AK558" s="30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0">
        <f t="shared" si="71"/>
        <v>0</v>
      </c>
      <c r="BO558" s="20">
        <f t="shared" si="72"/>
        <v>0</v>
      </c>
      <c r="BP558" s="20">
        <f t="shared" si="73"/>
        <v>0</v>
      </c>
      <c r="BQ558" s="51"/>
      <c r="BR558" s="56"/>
      <c r="BS558" s="111"/>
      <c r="BT558" s="36"/>
      <c r="BU558" s="112"/>
    </row>
    <row r="559" s="1" customFormat="1" customHeight="1" spans="1:73">
      <c r="A559" s="28" t="s">
        <v>1030</v>
      </c>
      <c r="B559" s="15">
        <v>25</v>
      </c>
      <c r="C559" s="16">
        <v>183</v>
      </c>
      <c r="D559" s="29"/>
      <c r="E559" s="30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30"/>
      <c r="AH559" s="29"/>
      <c r="AI559" s="29"/>
      <c r="AJ559" s="29"/>
      <c r="AK559" s="30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0">
        <f t="shared" si="71"/>
        <v>0</v>
      </c>
      <c r="BO559" s="20">
        <f t="shared" si="72"/>
        <v>0</v>
      </c>
      <c r="BP559" s="20">
        <f t="shared" si="73"/>
        <v>183</v>
      </c>
      <c r="BQ559" s="51">
        <f t="shared" ref="BQ559:BQ575" si="74">B559*BP559/1000</f>
        <v>4.575</v>
      </c>
      <c r="BR559" s="56" t="s">
        <v>219</v>
      </c>
      <c r="BS559" s="91" t="s">
        <v>1031</v>
      </c>
      <c r="BT559" s="36"/>
      <c r="BU559" s="98" t="s">
        <v>996</v>
      </c>
    </row>
    <row r="560" s="1" customFormat="1" customHeight="1" spans="1:73">
      <c r="A560" s="28" t="s">
        <v>1030</v>
      </c>
      <c r="B560" s="15">
        <v>35</v>
      </c>
      <c r="C560" s="16">
        <v>56</v>
      </c>
      <c r="D560" s="29"/>
      <c r="E560" s="30"/>
      <c r="F560" s="29"/>
      <c r="G560" s="29"/>
      <c r="H560" s="29"/>
      <c r="I560" s="29"/>
      <c r="J560" s="29"/>
      <c r="K560" s="29">
        <v>56</v>
      </c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30"/>
      <c r="AH560" s="29"/>
      <c r="AI560" s="29"/>
      <c r="AJ560" s="29"/>
      <c r="AK560" s="30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0">
        <f t="shared" si="71"/>
        <v>0</v>
      </c>
      <c r="BO560" s="20">
        <f t="shared" si="72"/>
        <v>56</v>
      </c>
      <c r="BP560" s="20">
        <f t="shared" si="73"/>
        <v>0</v>
      </c>
      <c r="BQ560" s="51">
        <f t="shared" si="74"/>
        <v>0</v>
      </c>
      <c r="BR560" s="56" t="s">
        <v>1032</v>
      </c>
      <c r="BS560" s="91" t="s">
        <v>586</v>
      </c>
      <c r="BT560" s="36"/>
      <c r="BU560" s="98" t="s">
        <v>996</v>
      </c>
    </row>
    <row r="561" s="1" customFormat="1" customHeight="1" spans="1:73">
      <c r="A561" s="28" t="s">
        <v>1030</v>
      </c>
      <c r="B561" s="15">
        <v>40</v>
      </c>
      <c r="C561" s="16">
        <v>380</v>
      </c>
      <c r="D561" s="29"/>
      <c r="E561" s="30"/>
      <c r="F561" s="29"/>
      <c r="G561" s="29"/>
      <c r="H561" s="29"/>
      <c r="I561" s="29"/>
      <c r="J561" s="29"/>
      <c r="K561" s="29">
        <v>45</v>
      </c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30"/>
      <c r="AH561" s="29"/>
      <c r="AI561" s="29"/>
      <c r="AJ561" s="29"/>
      <c r="AK561" s="30"/>
      <c r="AL561" s="29"/>
      <c r="AM561" s="29"/>
      <c r="AN561" s="29"/>
      <c r="AO561" s="88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0">
        <f t="shared" si="71"/>
        <v>0</v>
      </c>
      <c r="BO561" s="20">
        <f t="shared" si="72"/>
        <v>45</v>
      </c>
      <c r="BP561" s="20">
        <f t="shared" si="73"/>
        <v>335</v>
      </c>
      <c r="BQ561" s="51">
        <f t="shared" si="74"/>
        <v>13.4</v>
      </c>
      <c r="BR561" s="56" t="s">
        <v>170</v>
      </c>
      <c r="BS561" s="91" t="s">
        <v>570</v>
      </c>
      <c r="BT561" s="36"/>
      <c r="BU561" s="98" t="s">
        <v>996</v>
      </c>
    </row>
    <row r="562" s="1" customFormat="1" customHeight="1" spans="1:73">
      <c r="A562" s="28" t="s">
        <v>1030</v>
      </c>
      <c r="B562" s="15">
        <v>52</v>
      </c>
      <c r="C562" s="16">
        <v>232</v>
      </c>
      <c r="D562" s="29"/>
      <c r="E562" s="30"/>
      <c r="F562" s="29"/>
      <c r="G562" s="29"/>
      <c r="H562" s="29"/>
      <c r="I562" s="29"/>
      <c r="J562" s="29"/>
      <c r="K562" s="29"/>
      <c r="L562" s="29"/>
      <c r="M562" s="29">
        <v>45</v>
      </c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30"/>
      <c r="AG562" s="30"/>
      <c r="AH562" s="29"/>
      <c r="AI562" s="29"/>
      <c r="AJ562" s="29"/>
      <c r="AK562" s="29"/>
      <c r="AL562" s="29"/>
      <c r="AM562" s="29"/>
      <c r="AN562" s="29"/>
      <c r="AO562" s="88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0">
        <f t="shared" si="71"/>
        <v>0</v>
      </c>
      <c r="BO562" s="20">
        <f t="shared" si="72"/>
        <v>45</v>
      </c>
      <c r="BP562" s="20">
        <f t="shared" si="73"/>
        <v>187</v>
      </c>
      <c r="BQ562" s="51">
        <f t="shared" si="74"/>
        <v>9.724</v>
      </c>
      <c r="BR562" s="56" t="s">
        <v>105</v>
      </c>
      <c r="BS562" s="91" t="s">
        <v>1033</v>
      </c>
      <c r="BT562" s="36"/>
      <c r="BU562" s="98" t="s">
        <v>996</v>
      </c>
    </row>
    <row r="563" s="1" customFormat="1" customHeight="1" spans="1:73">
      <c r="A563" s="28" t="s">
        <v>1030</v>
      </c>
      <c r="B563" s="15">
        <v>65</v>
      </c>
      <c r="C563" s="16">
        <v>135</v>
      </c>
      <c r="D563" s="29"/>
      <c r="E563" s="30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30"/>
      <c r="AG563" s="30"/>
      <c r="AH563" s="29"/>
      <c r="AI563" s="29"/>
      <c r="AJ563" s="29"/>
      <c r="AK563" s="29"/>
      <c r="AL563" s="29"/>
      <c r="AM563" s="29"/>
      <c r="AN563" s="29"/>
      <c r="AO563" s="88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0">
        <f t="shared" si="71"/>
        <v>0</v>
      </c>
      <c r="BO563" s="20">
        <f t="shared" si="72"/>
        <v>0</v>
      </c>
      <c r="BP563" s="20">
        <f t="shared" si="73"/>
        <v>135</v>
      </c>
      <c r="BQ563" s="51">
        <f t="shared" si="74"/>
        <v>8.775</v>
      </c>
      <c r="BR563" s="56" t="s">
        <v>170</v>
      </c>
      <c r="BS563" s="91" t="s">
        <v>570</v>
      </c>
      <c r="BT563" s="36"/>
      <c r="BU563" s="98" t="s">
        <v>996</v>
      </c>
    </row>
    <row r="564" s="1" customFormat="1" customHeight="1" spans="1:73">
      <c r="A564" s="28" t="s">
        <v>1030</v>
      </c>
      <c r="B564" s="15">
        <v>70</v>
      </c>
      <c r="C564" s="16">
        <v>340</v>
      </c>
      <c r="D564" s="29"/>
      <c r="E564" s="30"/>
      <c r="F564" s="29"/>
      <c r="G564" s="29"/>
      <c r="H564" s="29"/>
      <c r="I564" s="29"/>
      <c r="J564" s="29"/>
      <c r="K564" s="29"/>
      <c r="L564" s="29"/>
      <c r="M564" s="29"/>
      <c r="N564" s="29"/>
      <c r="O564" s="29">
        <v>5</v>
      </c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30"/>
      <c r="AG564" s="30"/>
      <c r="AH564" s="29"/>
      <c r="AI564" s="29"/>
      <c r="AJ564" s="29"/>
      <c r="AK564" s="29"/>
      <c r="AL564" s="29"/>
      <c r="AM564" s="29"/>
      <c r="AN564" s="29"/>
      <c r="AO564" s="88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0">
        <f t="shared" si="71"/>
        <v>0</v>
      </c>
      <c r="BO564" s="20">
        <f t="shared" si="72"/>
        <v>5</v>
      </c>
      <c r="BP564" s="20">
        <f t="shared" si="73"/>
        <v>335</v>
      </c>
      <c r="BQ564" s="51">
        <f t="shared" si="74"/>
        <v>23.45</v>
      </c>
      <c r="BR564" s="56" t="s">
        <v>170</v>
      </c>
      <c r="BS564" s="91" t="s">
        <v>1034</v>
      </c>
      <c r="BT564" s="36"/>
      <c r="BU564" s="98" t="s">
        <v>996</v>
      </c>
    </row>
    <row r="565" s="1" customFormat="1" customHeight="1" spans="1:73">
      <c r="A565" s="28" t="s">
        <v>1030</v>
      </c>
      <c r="B565" s="15">
        <v>75</v>
      </c>
      <c r="C565" s="16">
        <v>28</v>
      </c>
      <c r="D565" s="29"/>
      <c r="E565" s="30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30"/>
      <c r="AG565" s="30"/>
      <c r="AH565" s="29"/>
      <c r="AI565" s="29"/>
      <c r="AJ565" s="29"/>
      <c r="AK565" s="30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0">
        <f t="shared" si="71"/>
        <v>0</v>
      </c>
      <c r="BO565" s="20">
        <f t="shared" si="72"/>
        <v>0</v>
      </c>
      <c r="BP565" s="20">
        <f t="shared" si="73"/>
        <v>28</v>
      </c>
      <c r="BQ565" s="51">
        <f t="shared" si="74"/>
        <v>2.1</v>
      </c>
      <c r="BR565" s="56" t="s">
        <v>1035</v>
      </c>
      <c r="BS565" s="91" t="s">
        <v>1033</v>
      </c>
      <c r="BT565" s="36"/>
      <c r="BU565" s="98" t="s">
        <v>996</v>
      </c>
    </row>
    <row r="566" s="1" customFormat="1" customHeight="1" spans="1:73">
      <c r="A566" s="28" t="s">
        <v>1030</v>
      </c>
      <c r="B566" s="15">
        <v>80</v>
      </c>
      <c r="C566" s="16">
        <v>243</v>
      </c>
      <c r="D566" s="29"/>
      <c r="E566" s="30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30"/>
      <c r="AH566" s="29"/>
      <c r="AI566" s="29"/>
      <c r="AJ566" s="29"/>
      <c r="AK566" s="30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0">
        <f t="shared" si="71"/>
        <v>0</v>
      </c>
      <c r="BO566" s="20">
        <f t="shared" si="72"/>
        <v>0</v>
      </c>
      <c r="BP566" s="20">
        <f t="shared" si="73"/>
        <v>243</v>
      </c>
      <c r="BQ566" s="51">
        <f t="shared" si="74"/>
        <v>19.44</v>
      </c>
      <c r="BR566" s="56" t="s">
        <v>105</v>
      </c>
      <c r="BS566" s="91" t="s">
        <v>586</v>
      </c>
      <c r="BT566" s="36"/>
      <c r="BU566" s="98" t="s">
        <v>996</v>
      </c>
    </row>
    <row r="567" s="1" customFormat="1" customHeight="1" spans="1:73">
      <c r="A567" s="28" t="s">
        <v>1030</v>
      </c>
      <c r="B567" s="15">
        <v>115</v>
      </c>
      <c r="C567" s="16">
        <v>227</v>
      </c>
      <c r="D567" s="29"/>
      <c r="E567" s="30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30"/>
      <c r="AH567" s="29"/>
      <c r="AI567" s="29"/>
      <c r="AJ567" s="29"/>
      <c r="AK567" s="30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0">
        <f t="shared" si="71"/>
        <v>0</v>
      </c>
      <c r="BO567" s="20">
        <f t="shared" si="72"/>
        <v>0</v>
      </c>
      <c r="BP567" s="20">
        <f t="shared" si="73"/>
        <v>227</v>
      </c>
      <c r="BQ567" s="51">
        <f t="shared" si="74"/>
        <v>26.105</v>
      </c>
      <c r="BR567" s="56" t="s">
        <v>1036</v>
      </c>
      <c r="BS567" s="91" t="s">
        <v>192</v>
      </c>
      <c r="BT567" s="36"/>
      <c r="BU567" s="98" t="s">
        <v>996</v>
      </c>
    </row>
    <row r="568" s="1" customFormat="1" customHeight="1" spans="1:73">
      <c r="A568" s="28" t="s">
        <v>1030</v>
      </c>
      <c r="B568" s="15">
        <v>145</v>
      </c>
      <c r="C568" s="16">
        <v>12</v>
      </c>
      <c r="D568" s="29"/>
      <c r="E568" s="30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30"/>
      <c r="AH568" s="29"/>
      <c r="AI568" s="29"/>
      <c r="AJ568" s="29"/>
      <c r="AK568" s="30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0">
        <f t="shared" si="71"/>
        <v>0</v>
      </c>
      <c r="BO568" s="20">
        <f t="shared" si="72"/>
        <v>0</v>
      </c>
      <c r="BP568" s="20">
        <f t="shared" si="73"/>
        <v>12</v>
      </c>
      <c r="BQ568" s="51">
        <f t="shared" si="74"/>
        <v>1.74</v>
      </c>
      <c r="BR568" s="56" t="s">
        <v>1037</v>
      </c>
      <c r="BS568" s="91" t="s">
        <v>572</v>
      </c>
      <c r="BT568" s="36"/>
      <c r="BU568" s="98" t="s">
        <v>996</v>
      </c>
    </row>
    <row r="569" s="1" customFormat="1" customHeight="1" spans="1:73">
      <c r="A569" s="28" t="s">
        <v>1030</v>
      </c>
      <c r="B569" s="15">
        <v>170</v>
      </c>
      <c r="C569" s="16">
        <v>550</v>
      </c>
      <c r="D569" s="29"/>
      <c r="E569" s="30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30"/>
      <c r="AH569" s="29"/>
      <c r="AI569" s="29"/>
      <c r="AJ569" s="29"/>
      <c r="AK569" s="30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0">
        <f t="shared" si="71"/>
        <v>0</v>
      </c>
      <c r="BO569" s="20">
        <f t="shared" si="72"/>
        <v>0</v>
      </c>
      <c r="BP569" s="20">
        <f t="shared" si="73"/>
        <v>550</v>
      </c>
      <c r="BQ569" s="51">
        <f t="shared" si="74"/>
        <v>93.5</v>
      </c>
      <c r="BR569" s="56" t="s">
        <v>170</v>
      </c>
      <c r="BS569" s="91" t="s">
        <v>570</v>
      </c>
      <c r="BT569" s="36"/>
      <c r="BU569" s="98" t="s">
        <v>996</v>
      </c>
    </row>
    <row r="570" s="1" customFormat="1" customHeight="1" spans="1:73">
      <c r="A570" s="28" t="s">
        <v>1030</v>
      </c>
      <c r="B570" s="15">
        <v>200</v>
      </c>
      <c r="C570" s="16">
        <v>228</v>
      </c>
      <c r="D570" s="29"/>
      <c r="E570" s="30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30"/>
      <c r="AH570" s="29"/>
      <c r="AI570" s="29"/>
      <c r="AJ570" s="29"/>
      <c r="AK570" s="30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0">
        <f t="shared" si="71"/>
        <v>0</v>
      </c>
      <c r="BO570" s="20">
        <f t="shared" si="72"/>
        <v>0</v>
      </c>
      <c r="BP570" s="20">
        <f t="shared" si="73"/>
        <v>228</v>
      </c>
      <c r="BQ570" s="51">
        <f t="shared" si="74"/>
        <v>45.6</v>
      </c>
      <c r="BR570" s="56" t="s">
        <v>508</v>
      </c>
      <c r="BS570" s="91" t="s">
        <v>853</v>
      </c>
      <c r="BT570" s="36"/>
      <c r="BU570" s="98" t="s">
        <v>996</v>
      </c>
    </row>
    <row r="571" s="1" customFormat="1" customHeight="1" spans="1:73">
      <c r="A571" s="28" t="s">
        <v>1030</v>
      </c>
      <c r="B571" s="15">
        <v>220</v>
      </c>
      <c r="C571" s="16">
        <v>280</v>
      </c>
      <c r="D571" s="29"/>
      <c r="E571" s="30"/>
      <c r="F571" s="29"/>
      <c r="G571" s="29"/>
      <c r="H571" s="29"/>
      <c r="I571" s="29"/>
      <c r="J571" s="29"/>
      <c r="K571" s="29"/>
      <c r="L571" s="29"/>
      <c r="M571" s="29"/>
      <c r="N571" s="29">
        <v>320</v>
      </c>
      <c r="O571" s="29">
        <v>600</v>
      </c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30"/>
      <c r="AH571" s="29"/>
      <c r="AI571" s="29"/>
      <c r="AJ571" s="29"/>
      <c r="AK571" s="30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0">
        <f t="shared" si="71"/>
        <v>320</v>
      </c>
      <c r="BO571" s="20">
        <f t="shared" si="72"/>
        <v>600</v>
      </c>
      <c r="BP571" s="20">
        <f t="shared" si="73"/>
        <v>0</v>
      </c>
      <c r="BQ571" s="51">
        <f t="shared" si="74"/>
        <v>0</v>
      </c>
      <c r="BR571" s="56" t="s">
        <v>1005</v>
      </c>
      <c r="BS571" s="91" t="s">
        <v>570</v>
      </c>
      <c r="BT571" s="36" t="s">
        <v>1038</v>
      </c>
      <c r="BU571" s="98" t="s">
        <v>996</v>
      </c>
    </row>
    <row r="572" s="1" customFormat="1" customHeight="1" spans="1:73">
      <c r="A572" s="28" t="s">
        <v>1030</v>
      </c>
      <c r="B572" s="15">
        <v>235</v>
      </c>
      <c r="C572" s="16">
        <v>134</v>
      </c>
      <c r="D572" s="29"/>
      <c r="E572" s="30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30"/>
      <c r="AH572" s="29"/>
      <c r="AI572" s="29"/>
      <c r="AJ572" s="29"/>
      <c r="AK572" s="30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0">
        <f t="shared" si="71"/>
        <v>0</v>
      </c>
      <c r="BO572" s="20">
        <f t="shared" si="72"/>
        <v>0</v>
      </c>
      <c r="BP572" s="20">
        <f t="shared" si="73"/>
        <v>134</v>
      </c>
      <c r="BQ572" s="51">
        <f t="shared" si="74"/>
        <v>31.49</v>
      </c>
      <c r="BR572" s="56" t="s">
        <v>903</v>
      </c>
      <c r="BS572" s="91" t="s">
        <v>914</v>
      </c>
      <c r="BT572" s="36"/>
      <c r="BU572" s="98" t="s">
        <v>996</v>
      </c>
    </row>
    <row r="573" s="1" customFormat="1" customHeight="1" spans="1:73">
      <c r="A573" s="28" t="s">
        <v>1030</v>
      </c>
      <c r="B573" s="15">
        <v>255</v>
      </c>
      <c r="C573" s="16">
        <v>100</v>
      </c>
      <c r="D573" s="29"/>
      <c r="E573" s="30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30"/>
      <c r="AH573" s="29"/>
      <c r="AI573" s="29"/>
      <c r="AJ573" s="29"/>
      <c r="AK573" s="30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0">
        <f t="shared" si="71"/>
        <v>0</v>
      </c>
      <c r="BO573" s="20">
        <f t="shared" si="72"/>
        <v>0</v>
      </c>
      <c r="BP573" s="20">
        <f t="shared" si="73"/>
        <v>100</v>
      </c>
      <c r="BQ573" s="51">
        <f t="shared" si="74"/>
        <v>25.5</v>
      </c>
      <c r="BR573" s="56" t="s">
        <v>1039</v>
      </c>
      <c r="BS573" s="91" t="s">
        <v>1040</v>
      </c>
      <c r="BT573" s="36"/>
      <c r="BU573" s="98" t="s">
        <v>996</v>
      </c>
    </row>
    <row r="574" s="1" customFormat="1" customHeight="1" spans="1:73">
      <c r="A574" s="28" t="s">
        <v>1030</v>
      </c>
      <c r="B574" s="15">
        <v>295</v>
      </c>
      <c r="C574" s="16">
        <v>155</v>
      </c>
      <c r="D574" s="29"/>
      <c r="E574" s="30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30"/>
      <c r="AH574" s="29"/>
      <c r="AI574" s="29"/>
      <c r="AJ574" s="29"/>
      <c r="AK574" s="30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0">
        <f t="shared" si="71"/>
        <v>0</v>
      </c>
      <c r="BO574" s="20">
        <f t="shared" si="72"/>
        <v>0</v>
      </c>
      <c r="BP574" s="20">
        <f t="shared" si="73"/>
        <v>155</v>
      </c>
      <c r="BQ574" s="51">
        <f t="shared" si="74"/>
        <v>45.725</v>
      </c>
      <c r="BR574" s="56" t="s">
        <v>138</v>
      </c>
      <c r="BS574" s="91" t="s">
        <v>586</v>
      </c>
      <c r="BT574" s="36"/>
      <c r="BU574" s="98" t="s">
        <v>996</v>
      </c>
    </row>
    <row r="575" s="1" customFormat="1" customHeight="1" spans="1:73">
      <c r="A575" s="60" t="s">
        <v>1030</v>
      </c>
      <c r="B575" s="15">
        <v>350</v>
      </c>
      <c r="C575" s="29">
        <v>100</v>
      </c>
      <c r="D575" s="29"/>
      <c r="E575" s="30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30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0">
        <f t="shared" si="71"/>
        <v>0</v>
      </c>
      <c r="BO575" s="20">
        <f t="shared" si="72"/>
        <v>0</v>
      </c>
      <c r="BP575" s="20">
        <f t="shared" si="73"/>
        <v>100</v>
      </c>
      <c r="BQ575" s="51">
        <f t="shared" si="74"/>
        <v>35</v>
      </c>
      <c r="BR575" s="68" t="s">
        <v>1003</v>
      </c>
      <c r="BS575" s="91" t="s">
        <v>573</v>
      </c>
      <c r="BT575" s="36"/>
      <c r="BU575" s="98" t="s">
        <v>996</v>
      </c>
    </row>
    <row r="576" s="1" customFormat="1" customHeight="1" spans="1:73">
      <c r="A576" s="53" t="s">
        <v>1041</v>
      </c>
      <c r="B576" s="15"/>
      <c r="C576" s="16"/>
      <c r="D576" s="29"/>
      <c r="E576" s="30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30"/>
      <c r="AH576" s="29"/>
      <c r="AI576" s="29"/>
      <c r="AJ576" s="29"/>
      <c r="AK576" s="30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0">
        <f t="shared" si="71"/>
        <v>0</v>
      </c>
      <c r="BO576" s="20">
        <f t="shared" si="72"/>
        <v>0</v>
      </c>
      <c r="BP576" s="20">
        <f t="shared" si="73"/>
        <v>0</v>
      </c>
      <c r="BQ576" s="51"/>
      <c r="BR576" s="56"/>
      <c r="BS576" s="111"/>
      <c r="BT576" s="36"/>
      <c r="BU576" s="112"/>
    </row>
    <row r="577" s="2" customFormat="1" customHeight="1" spans="1:73">
      <c r="A577" s="15" t="s">
        <v>1042</v>
      </c>
      <c r="B577" s="15">
        <v>270</v>
      </c>
      <c r="C577" s="16">
        <v>0</v>
      </c>
      <c r="D577" s="29"/>
      <c r="E577" s="30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30"/>
      <c r="AH577" s="29"/>
      <c r="AI577" s="29"/>
      <c r="AJ577" s="29"/>
      <c r="AK577" s="30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0">
        <f t="shared" si="71"/>
        <v>0</v>
      </c>
      <c r="BO577" s="20">
        <f t="shared" si="72"/>
        <v>0</v>
      </c>
      <c r="BP577" s="20">
        <f t="shared" si="73"/>
        <v>0</v>
      </c>
      <c r="BQ577" s="135">
        <f t="shared" ref="BQ577:BQ588" si="75">B577*BP577/1000</f>
        <v>0</v>
      </c>
      <c r="BR577" s="56" t="s">
        <v>1043</v>
      </c>
      <c r="BS577" s="121" t="s">
        <v>1034</v>
      </c>
      <c r="BT577" s="78" t="s">
        <v>1044</v>
      </c>
      <c r="BU577" s="35" t="s">
        <v>1045</v>
      </c>
    </row>
    <row r="578" s="1" customFormat="1" customHeight="1" spans="1:73">
      <c r="A578" s="28" t="s">
        <v>1046</v>
      </c>
      <c r="B578" s="15">
        <v>420</v>
      </c>
      <c r="C578" s="16">
        <v>140</v>
      </c>
      <c r="D578" s="29"/>
      <c r="E578" s="30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30"/>
      <c r="AH578" s="29"/>
      <c r="AI578" s="29"/>
      <c r="AJ578" s="29"/>
      <c r="AK578" s="30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0">
        <f t="shared" si="71"/>
        <v>0</v>
      </c>
      <c r="BO578" s="20">
        <f t="shared" si="72"/>
        <v>0</v>
      </c>
      <c r="BP578" s="20">
        <f t="shared" si="73"/>
        <v>140</v>
      </c>
      <c r="BQ578" s="51">
        <f t="shared" si="75"/>
        <v>58.8</v>
      </c>
      <c r="BR578" s="56" t="s">
        <v>1047</v>
      </c>
      <c r="BS578" s="91" t="s">
        <v>573</v>
      </c>
      <c r="BT578" s="36" t="s">
        <v>1048</v>
      </c>
      <c r="BU578" s="98" t="s">
        <v>1045</v>
      </c>
    </row>
    <row r="579" s="1" customFormat="1" customHeight="1" spans="1:73">
      <c r="A579" s="53" t="s">
        <v>1049</v>
      </c>
      <c r="B579" s="15"/>
      <c r="C579" s="16"/>
      <c r="D579" s="29"/>
      <c r="E579" s="30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30"/>
      <c r="AH579" s="29"/>
      <c r="AI579" s="29"/>
      <c r="AJ579" s="29"/>
      <c r="AK579" s="30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0">
        <f t="shared" si="71"/>
        <v>0</v>
      </c>
      <c r="BO579" s="20">
        <f t="shared" si="72"/>
        <v>0</v>
      </c>
      <c r="BP579" s="20">
        <f t="shared" si="73"/>
        <v>0</v>
      </c>
      <c r="BQ579" s="51"/>
      <c r="BR579" s="56"/>
      <c r="BS579" s="111"/>
      <c r="BT579" s="36"/>
      <c r="BU579" s="44"/>
    </row>
    <row r="580" s="1" customFormat="1" customHeight="1" spans="1:73">
      <c r="A580" s="15" t="s">
        <v>1050</v>
      </c>
      <c r="B580" s="15">
        <v>90</v>
      </c>
      <c r="C580" s="16">
        <v>400</v>
      </c>
      <c r="D580" s="29"/>
      <c r="E580" s="30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30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30"/>
      <c r="AH580" s="29"/>
      <c r="AI580" s="29"/>
      <c r="AJ580" s="29"/>
      <c r="AK580" s="30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0">
        <f t="shared" si="71"/>
        <v>0</v>
      </c>
      <c r="BO580" s="20">
        <f t="shared" si="72"/>
        <v>0</v>
      </c>
      <c r="BP580" s="20">
        <f t="shared" si="73"/>
        <v>400</v>
      </c>
      <c r="BQ580" s="51">
        <f t="shared" si="75"/>
        <v>36</v>
      </c>
      <c r="BR580" s="56" t="s">
        <v>522</v>
      </c>
      <c r="BS580" s="91" t="s">
        <v>632</v>
      </c>
      <c r="BT580" s="57"/>
      <c r="BU580" s="98" t="s">
        <v>1045</v>
      </c>
    </row>
    <row r="581" s="1" customFormat="1" customHeight="1" spans="1:73">
      <c r="A581" s="15" t="s">
        <v>1050</v>
      </c>
      <c r="B581" s="15">
        <v>150</v>
      </c>
      <c r="C581" s="16">
        <v>80</v>
      </c>
      <c r="D581" s="29"/>
      <c r="E581" s="30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30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30"/>
      <c r="AH581" s="29"/>
      <c r="AI581" s="29"/>
      <c r="AJ581" s="29"/>
      <c r="AK581" s="30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0">
        <f t="shared" si="71"/>
        <v>0</v>
      </c>
      <c r="BO581" s="20">
        <f t="shared" si="72"/>
        <v>0</v>
      </c>
      <c r="BP581" s="20">
        <f t="shared" si="73"/>
        <v>80</v>
      </c>
      <c r="BQ581" s="51">
        <f t="shared" si="75"/>
        <v>12</v>
      </c>
      <c r="BR581" s="56" t="s">
        <v>522</v>
      </c>
      <c r="BS581" s="91" t="s">
        <v>632</v>
      </c>
      <c r="BT581" s="57"/>
      <c r="BU581" s="98" t="s">
        <v>1045</v>
      </c>
    </row>
    <row r="582" s="1" customFormat="1" customHeight="1" spans="1:73">
      <c r="A582" s="15" t="s">
        <v>1050</v>
      </c>
      <c r="B582" s="15">
        <v>167</v>
      </c>
      <c r="C582" s="16">
        <v>835</v>
      </c>
      <c r="D582" s="29"/>
      <c r="E582" s="30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30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30"/>
      <c r="AH582" s="29"/>
      <c r="AI582" s="29"/>
      <c r="AJ582" s="29"/>
      <c r="AK582" s="30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0">
        <f t="shared" si="71"/>
        <v>0</v>
      </c>
      <c r="BO582" s="20">
        <f t="shared" si="72"/>
        <v>0</v>
      </c>
      <c r="BP582" s="20">
        <f t="shared" si="73"/>
        <v>835</v>
      </c>
      <c r="BQ582" s="51">
        <f t="shared" si="75"/>
        <v>139.445</v>
      </c>
      <c r="BR582" s="56" t="s">
        <v>1051</v>
      </c>
      <c r="BS582" s="91" t="s">
        <v>1052</v>
      </c>
      <c r="BT582" s="57" t="s">
        <v>1053</v>
      </c>
      <c r="BU582" s="98" t="s">
        <v>1045</v>
      </c>
    </row>
    <row r="583" s="1" customFormat="1" customHeight="1" spans="1:73">
      <c r="A583" s="15" t="s">
        <v>1050</v>
      </c>
      <c r="B583" s="15">
        <v>189</v>
      </c>
      <c r="C583" s="16">
        <v>265</v>
      </c>
      <c r="D583" s="29"/>
      <c r="E583" s="30"/>
      <c r="F583" s="29"/>
      <c r="G583" s="29"/>
      <c r="H583" s="29"/>
      <c r="I583" s="29">
        <v>52</v>
      </c>
      <c r="J583" s="29"/>
      <c r="K583" s="29"/>
      <c r="L583" s="29"/>
      <c r="M583" s="29"/>
      <c r="N583" s="29"/>
      <c r="O583" s="29"/>
      <c r="P583" s="29"/>
      <c r="Q583" s="29"/>
      <c r="R583" s="29"/>
      <c r="S583" s="30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30"/>
      <c r="AH583" s="29"/>
      <c r="AI583" s="29"/>
      <c r="AJ583" s="29"/>
      <c r="AK583" s="30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0">
        <f t="shared" si="71"/>
        <v>0</v>
      </c>
      <c r="BO583" s="20">
        <f t="shared" si="72"/>
        <v>52</v>
      </c>
      <c r="BP583" s="20">
        <f t="shared" si="73"/>
        <v>213</v>
      </c>
      <c r="BQ583" s="51">
        <f t="shared" si="75"/>
        <v>40.257</v>
      </c>
      <c r="BR583" s="56" t="s">
        <v>298</v>
      </c>
      <c r="BS583" s="91" t="s">
        <v>1054</v>
      </c>
      <c r="BT583" s="57" t="s">
        <v>1055</v>
      </c>
      <c r="BU583" s="98" t="s">
        <v>1045</v>
      </c>
    </row>
    <row r="584" s="1" customFormat="1" customHeight="1" spans="1:73">
      <c r="A584" s="15" t="s">
        <v>1050</v>
      </c>
      <c r="B584" s="15">
        <v>205</v>
      </c>
      <c r="C584" s="16">
        <v>190</v>
      </c>
      <c r="D584" s="29"/>
      <c r="E584" s="30"/>
      <c r="F584" s="29"/>
      <c r="G584" s="29"/>
      <c r="H584" s="29"/>
      <c r="I584" s="29"/>
      <c r="J584" s="29"/>
      <c r="K584" s="29"/>
      <c r="L584" s="29"/>
      <c r="M584" s="29">
        <v>50</v>
      </c>
      <c r="N584" s="29"/>
      <c r="O584" s="29"/>
      <c r="P584" s="29"/>
      <c r="Q584" s="29"/>
      <c r="R584" s="29"/>
      <c r="S584" s="30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30"/>
      <c r="AH584" s="29"/>
      <c r="AI584" s="29"/>
      <c r="AJ584" s="29"/>
      <c r="AK584" s="30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0">
        <f t="shared" si="71"/>
        <v>0</v>
      </c>
      <c r="BO584" s="20">
        <f t="shared" si="72"/>
        <v>50</v>
      </c>
      <c r="BP584" s="20">
        <f t="shared" si="73"/>
        <v>140</v>
      </c>
      <c r="BQ584" s="51">
        <f t="shared" si="75"/>
        <v>28.7</v>
      </c>
      <c r="BR584" s="56" t="s">
        <v>298</v>
      </c>
      <c r="BS584" s="91" t="s">
        <v>1054</v>
      </c>
      <c r="BT584" s="57"/>
      <c r="BU584" s="98" t="s">
        <v>1045</v>
      </c>
    </row>
    <row r="585" s="1" customFormat="1" customHeight="1" spans="1:73">
      <c r="A585" s="15" t="s">
        <v>1050</v>
      </c>
      <c r="B585" s="15">
        <v>215</v>
      </c>
      <c r="C585" s="16">
        <v>251</v>
      </c>
      <c r="D585" s="29"/>
      <c r="E585" s="30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30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30"/>
      <c r="AH585" s="29"/>
      <c r="AI585" s="29"/>
      <c r="AJ585" s="29"/>
      <c r="AK585" s="30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0">
        <f t="shared" si="71"/>
        <v>0</v>
      </c>
      <c r="BO585" s="20">
        <f t="shared" si="72"/>
        <v>0</v>
      </c>
      <c r="BP585" s="20">
        <f t="shared" si="73"/>
        <v>251</v>
      </c>
      <c r="BQ585" s="51">
        <f t="shared" si="75"/>
        <v>53.965</v>
      </c>
      <c r="BR585" s="56" t="s">
        <v>1036</v>
      </c>
      <c r="BS585" s="91" t="s">
        <v>632</v>
      </c>
      <c r="BT585" s="57" t="s">
        <v>1056</v>
      </c>
      <c r="BU585" s="98" t="s">
        <v>1045</v>
      </c>
    </row>
    <row r="586" s="1" customFormat="1" customHeight="1" spans="1:73">
      <c r="A586" s="15" t="s">
        <v>1050</v>
      </c>
      <c r="B586" s="15">
        <v>220</v>
      </c>
      <c r="C586" s="16">
        <v>151</v>
      </c>
      <c r="D586" s="29"/>
      <c r="E586" s="30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30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30"/>
      <c r="AH586" s="29"/>
      <c r="AI586" s="29"/>
      <c r="AJ586" s="29"/>
      <c r="AK586" s="30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0">
        <f t="shared" si="71"/>
        <v>0</v>
      </c>
      <c r="BO586" s="20">
        <f t="shared" si="72"/>
        <v>0</v>
      </c>
      <c r="BP586" s="20">
        <f t="shared" si="73"/>
        <v>151</v>
      </c>
      <c r="BQ586" s="51">
        <f t="shared" si="75"/>
        <v>33.22</v>
      </c>
      <c r="BR586" s="56" t="s">
        <v>298</v>
      </c>
      <c r="BS586" s="91" t="s">
        <v>1054</v>
      </c>
      <c r="BT586" s="57"/>
      <c r="BU586" s="98" t="s">
        <v>1045</v>
      </c>
    </row>
    <row r="587" s="1" customFormat="1" customHeight="1" spans="1:73">
      <c r="A587" s="15" t="s">
        <v>1050</v>
      </c>
      <c r="B587" s="15">
        <v>270</v>
      </c>
      <c r="C587" s="16">
        <v>508</v>
      </c>
      <c r="D587" s="29"/>
      <c r="E587" s="30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30"/>
      <c r="AH587" s="29"/>
      <c r="AI587" s="29"/>
      <c r="AJ587" s="29"/>
      <c r="AK587" s="30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0">
        <f t="shared" si="71"/>
        <v>0</v>
      </c>
      <c r="BO587" s="20">
        <f t="shared" si="72"/>
        <v>0</v>
      </c>
      <c r="BP587" s="20">
        <f t="shared" si="73"/>
        <v>508</v>
      </c>
      <c r="BQ587" s="51">
        <f t="shared" si="75"/>
        <v>137.16</v>
      </c>
      <c r="BR587" s="56" t="s">
        <v>522</v>
      </c>
      <c r="BS587" s="91" t="s">
        <v>1054</v>
      </c>
      <c r="BT587" s="57"/>
      <c r="BU587" s="98" t="s">
        <v>1045</v>
      </c>
    </row>
    <row r="588" s="1" customFormat="1" customHeight="1" spans="1:73">
      <c r="A588" s="15" t="s">
        <v>1050</v>
      </c>
      <c r="B588" s="15">
        <v>315</v>
      </c>
      <c r="C588" s="16">
        <v>103</v>
      </c>
      <c r="D588" s="29"/>
      <c r="E588" s="30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30"/>
      <c r="AH588" s="29"/>
      <c r="AI588" s="29"/>
      <c r="AJ588" s="29"/>
      <c r="AK588" s="30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0">
        <f t="shared" si="71"/>
        <v>0</v>
      </c>
      <c r="BO588" s="20">
        <f t="shared" si="72"/>
        <v>0</v>
      </c>
      <c r="BP588" s="20">
        <f t="shared" si="73"/>
        <v>103</v>
      </c>
      <c r="BQ588" s="51">
        <f t="shared" si="75"/>
        <v>32.445</v>
      </c>
      <c r="BR588" s="56" t="s">
        <v>951</v>
      </c>
      <c r="BS588" s="91" t="s">
        <v>1057</v>
      </c>
      <c r="BT588" s="57" t="s">
        <v>1058</v>
      </c>
      <c r="BU588" s="98" t="s">
        <v>1045</v>
      </c>
    </row>
    <row r="589" s="1" customFormat="1" customHeight="1" spans="1:73">
      <c r="A589" s="53" t="s">
        <v>1059</v>
      </c>
      <c r="B589" s="15"/>
      <c r="C589" s="16"/>
      <c r="D589" s="29"/>
      <c r="E589" s="30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30"/>
      <c r="AH589" s="29"/>
      <c r="AI589" s="29"/>
      <c r="AJ589" s="29"/>
      <c r="AK589" s="30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0">
        <f t="shared" si="71"/>
        <v>0</v>
      </c>
      <c r="BO589" s="20">
        <f t="shared" si="72"/>
        <v>0</v>
      </c>
      <c r="BP589" s="20">
        <f t="shared" si="73"/>
        <v>0</v>
      </c>
      <c r="BQ589" s="51"/>
      <c r="BR589" s="56"/>
      <c r="BS589" s="111"/>
      <c r="BT589" s="36"/>
      <c r="BU589" s="112"/>
    </row>
    <row r="590" s="1" customFormat="1" customHeight="1" spans="1:73">
      <c r="A590" s="15" t="s">
        <v>1060</v>
      </c>
      <c r="B590" s="15">
        <v>180</v>
      </c>
      <c r="C590" s="16">
        <v>76</v>
      </c>
      <c r="D590" s="29"/>
      <c r="E590" s="30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30"/>
      <c r="AH590" s="29"/>
      <c r="AI590" s="29"/>
      <c r="AJ590" s="29"/>
      <c r="AK590" s="30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0">
        <f t="shared" si="71"/>
        <v>0</v>
      </c>
      <c r="BO590" s="20">
        <f t="shared" si="72"/>
        <v>0</v>
      </c>
      <c r="BP590" s="20">
        <f t="shared" si="73"/>
        <v>76</v>
      </c>
      <c r="BQ590" s="51">
        <f t="shared" ref="BQ590:BQ594" si="76">B590*BP590/1000</f>
        <v>13.68</v>
      </c>
      <c r="BR590" s="56" t="s">
        <v>1001</v>
      </c>
      <c r="BS590" s="91" t="s">
        <v>1002</v>
      </c>
      <c r="BT590" s="36"/>
      <c r="BU590" s="98" t="s">
        <v>1045</v>
      </c>
    </row>
    <row r="591" s="1" customFormat="1" customHeight="1" spans="1:73">
      <c r="A591" s="15" t="s">
        <v>1060</v>
      </c>
      <c r="B591" s="15">
        <v>215</v>
      </c>
      <c r="C591" s="16">
        <v>355</v>
      </c>
      <c r="D591" s="29"/>
      <c r="E591" s="30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30"/>
      <c r="AH591" s="29"/>
      <c r="AI591" s="29"/>
      <c r="AJ591" s="29"/>
      <c r="AK591" s="30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0">
        <f t="shared" si="71"/>
        <v>0</v>
      </c>
      <c r="BO591" s="20">
        <f t="shared" si="72"/>
        <v>0</v>
      </c>
      <c r="BP591" s="20">
        <f t="shared" si="73"/>
        <v>355</v>
      </c>
      <c r="BQ591" s="51">
        <f t="shared" si="76"/>
        <v>76.325</v>
      </c>
      <c r="BR591" s="56" t="s">
        <v>533</v>
      </c>
      <c r="BS591" s="91" t="s">
        <v>853</v>
      </c>
      <c r="BT591" s="36"/>
      <c r="BU591" s="98" t="s">
        <v>1045</v>
      </c>
    </row>
    <row r="592" s="1" customFormat="1" customHeight="1" spans="1:73">
      <c r="A592" s="15" t="s">
        <v>1060</v>
      </c>
      <c r="B592" s="15">
        <v>245</v>
      </c>
      <c r="C592" s="16">
        <v>196</v>
      </c>
      <c r="D592" s="29"/>
      <c r="E592" s="30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30"/>
      <c r="AH592" s="29"/>
      <c r="AI592" s="29"/>
      <c r="AJ592" s="29"/>
      <c r="AK592" s="30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0">
        <f t="shared" si="71"/>
        <v>0</v>
      </c>
      <c r="BO592" s="20">
        <f t="shared" si="72"/>
        <v>0</v>
      </c>
      <c r="BP592" s="20">
        <f t="shared" si="73"/>
        <v>196</v>
      </c>
      <c r="BQ592" s="51">
        <f t="shared" si="76"/>
        <v>48.02</v>
      </c>
      <c r="BR592" s="56" t="s">
        <v>265</v>
      </c>
      <c r="BS592" s="91" t="s">
        <v>853</v>
      </c>
      <c r="BT592" s="36"/>
      <c r="BU592" s="98" t="s">
        <v>1045</v>
      </c>
    </row>
    <row r="593" s="1" customFormat="1" customHeight="1" spans="1:73">
      <c r="A593" s="15" t="s">
        <v>1060</v>
      </c>
      <c r="B593" s="15">
        <v>260</v>
      </c>
      <c r="C593" s="16">
        <v>755</v>
      </c>
      <c r="D593" s="29"/>
      <c r="E593" s="30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30"/>
      <c r="AH593" s="29"/>
      <c r="AI593" s="29"/>
      <c r="AJ593" s="29"/>
      <c r="AK593" s="30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0">
        <f t="shared" si="71"/>
        <v>0</v>
      </c>
      <c r="BO593" s="20">
        <f t="shared" si="72"/>
        <v>0</v>
      </c>
      <c r="BP593" s="20">
        <f t="shared" si="73"/>
        <v>755</v>
      </c>
      <c r="BQ593" s="51">
        <f t="shared" si="76"/>
        <v>196.3</v>
      </c>
      <c r="BR593" s="56" t="s">
        <v>1061</v>
      </c>
      <c r="BS593" s="91" t="s">
        <v>573</v>
      </c>
      <c r="BT593" s="36"/>
      <c r="BU593" s="98" t="s">
        <v>1045</v>
      </c>
    </row>
    <row r="594" s="1" customFormat="1" customHeight="1" spans="1:73">
      <c r="A594" s="15" t="s">
        <v>1060</v>
      </c>
      <c r="B594" s="15">
        <v>290</v>
      </c>
      <c r="C594" s="16">
        <v>5</v>
      </c>
      <c r="D594" s="29"/>
      <c r="E594" s="30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30"/>
      <c r="AH594" s="29"/>
      <c r="AI594" s="29"/>
      <c r="AJ594" s="29"/>
      <c r="AK594" s="30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0">
        <f t="shared" si="71"/>
        <v>0</v>
      </c>
      <c r="BO594" s="20">
        <f t="shared" si="72"/>
        <v>0</v>
      </c>
      <c r="BP594" s="20">
        <f t="shared" si="73"/>
        <v>5</v>
      </c>
      <c r="BQ594" s="51">
        <f t="shared" si="76"/>
        <v>1.45</v>
      </c>
      <c r="BR594" s="56" t="s">
        <v>953</v>
      </c>
      <c r="BS594" s="91" t="s">
        <v>1062</v>
      </c>
      <c r="BT594" s="36"/>
      <c r="BU594" s="98" t="s">
        <v>1045</v>
      </c>
    </row>
    <row r="595" s="1" customFormat="1" customHeight="1" spans="1:73">
      <c r="A595" s="53" t="s">
        <v>1063</v>
      </c>
      <c r="B595" s="15"/>
      <c r="C595" s="16"/>
      <c r="D595" s="29"/>
      <c r="E595" s="30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30"/>
      <c r="AH595" s="29"/>
      <c r="AI595" s="29"/>
      <c r="AJ595" s="29"/>
      <c r="AK595" s="30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0">
        <f t="shared" si="71"/>
        <v>0</v>
      </c>
      <c r="BO595" s="20">
        <f t="shared" si="72"/>
        <v>0</v>
      </c>
      <c r="BP595" s="20">
        <f t="shared" si="73"/>
        <v>0</v>
      </c>
      <c r="BQ595" s="51"/>
      <c r="BR595" s="56"/>
      <c r="BS595" s="111"/>
      <c r="BT595" s="36"/>
      <c r="BU595" s="112"/>
    </row>
    <row r="596" s="1" customFormat="1" customHeight="1" spans="1:73">
      <c r="A596" s="15" t="s">
        <v>1064</v>
      </c>
      <c r="B596" s="15">
        <v>145</v>
      </c>
      <c r="C596" s="16">
        <v>85</v>
      </c>
      <c r="D596" s="29"/>
      <c r="E596" s="30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30"/>
      <c r="AH596" s="29"/>
      <c r="AI596" s="29"/>
      <c r="AJ596" s="29"/>
      <c r="AK596" s="30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88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0">
        <f t="shared" si="71"/>
        <v>0</v>
      </c>
      <c r="BO596" s="20">
        <f t="shared" si="72"/>
        <v>0</v>
      </c>
      <c r="BP596" s="20">
        <f t="shared" si="73"/>
        <v>85</v>
      </c>
      <c r="BQ596" s="51">
        <f t="shared" ref="BQ596:BQ600" si="77">B596*BP596/1000</f>
        <v>12.325</v>
      </c>
      <c r="BR596" s="56" t="s">
        <v>971</v>
      </c>
      <c r="BS596" s="91" t="s">
        <v>972</v>
      </c>
      <c r="BT596" s="36"/>
      <c r="BU596" s="98" t="s">
        <v>1045</v>
      </c>
    </row>
    <row r="597" s="1" customFormat="1" customHeight="1" spans="1:73">
      <c r="A597" s="15" t="s">
        <v>1064</v>
      </c>
      <c r="B597" s="15">
        <v>195</v>
      </c>
      <c r="C597" s="16">
        <v>85</v>
      </c>
      <c r="D597" s="29"/>
      <c r="E597" s="30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30"/>
      <c r="AH597" s="29"/>
      <c r="AI597" s="29"/>
      <c r="AJ597" s="29"/>
      <c r="AK597" s="30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88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0">
        <f t="shared" si="71"/>
        <v>0</v>
      </c>
      <c r="BO597" s="20">
        <f t="shared" si="72"/>
        <v>0</v>
      </c>
      <c r="BP597" s="20">
        <f t="shared" si="73"/>
        <v>85</v>
      </c>
      <c r="BQ597" s="51">
        <f t="shared" si="77"/>
        <v>16.575</v>
      </c>
      <c r="BR597" s="56" t="s">
        <v>971</v>
      </c>
      <c r="BS597" s="91" t="s">
        <v>972</v>
      </c>
      <c r="BT597" s="36"/>
      <c r="BU597" s="98" t="s">
        <v>1045</v>
      </c>
    </row>
    <row r="598" s="1" customFormat="1" customHeight="1" spans="1:73">
      <c r="A598" s="15" t="s">
        <v>1064</v>
      </c>
      <c r="B598" s="15">
        <v>210</v>
      </c>
      <c r="C598" s="16">
        <v>162</v>
      </c>
      <c r="D598" s="29"/>
      <c r="E598" s="30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30"/>
      <c r="AH598" s="29"/>
      <c r="AI598" s="29"/>
      <c r="AJ598" s="29"/>
      <c r="AK598" s="30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88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0">
        <f t="shared" si="71"/>
        <v>0</v>
      </c>
      <c r="BO598" s="20">
        <f t="shared" si="72"/>
        <v>0</v>
      </c>
      <c r="BP598" s="20">
        <f t="shared" si="73"/>
        <v>162</v>
      </c>
      <c r="BQ598" s="51">
        <f t="shared" si="77"/>
        <v>34.02</v>
      </c>
      <c r="BR598" s="56" t="s">
        <v>196</v>
      </c>
      <c r="BS598" s="91" t="s">
        <v>968</v>
      </c>
      <c r="BT598" s="36"/>
      <c r="BU598" s="98" t="s">
        <v>1045</v>
      </c>
    </row>
    <row r="599" s="1" customFormat="1" customHeight="1" spans="1:73">
      <c r="A599" s="15" t="s">
        <v>1064</v>
      </c>
      <c r="B599" s="15">
        <v>240</v>
      </c>
      <c r="C599" s="16">
        <v>4</v>
      </c>
      <c r="D599" s="29"/>
      <c r="E599" s="30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30"/>
      <c r="AH599" s="29"/>
      <c r="AI599" s="29"/>
      <c r="AJ599" s="29"/>
      <c r="AK599" s="30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105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0">
        <f t="shared" si="71"/>
        <v>0</v>
      </c>
      <c r="BO599" s="20">
        <f t="shared" si="72"/>
        <v>0</v>
      </c>
      <c r="BP599" s="20">
        <f t="shared" si="73"/>
        <v>4</v>
      </c>
      <c r="BQ599" s="51">
        <f t="shared" si="77"/>
        <v>0.96</v>
      </c>
      <c r="BR599" s="56" t="s">
        <v>673</v>
      </c>
      <c r="BS599" s="91" t="s">
        <v>686</v>
      </c>
      <c r="BT599" s="50" t="s">
        <v>1065</v>
      </c>
      <c r="BU599" s="98" t="s">
        <v>1045</v>
      </c>
    </row>
    <row r="600" s="1" customFormat="1" customHeight="1" spans="1:73">
      <c r="A600" s="15" t="s">
        <v>1064</v>
      </c>
      <c r="B600" s="15">
        <v>295</v>
      </c>
      <c r="C600" s="16">
        <v>135</v>
      </c>
      <c r="D600" s="29"/>
      <c r="E600" s="30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30"/>
      <c r="AH600" s="29"/>
      <c r="AI600" s="29"/>
      <c r="AJ600" s="29"/>
      <c r="AK600" s="30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105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0">
        <f t="shared" si="71"/>
        <v>0</v>
      </c>
      <c r="BO600" s="20">
        <f t="shared" si="72"/>
        <v>0</v>
      </c>
      <c r="BP600" s="20">
        <f t="shared" si="73"/>
        <v>135</v>
      </c>
      <c r="BQ600" s="51">
        <f t="shared" si="77"/>
        <v>39.825</v>
      </c>
      <c r="BR600" s="56" t="s">
        <v>99</v>
      </c>
      <c r="BS600" s="91" t="s">
        <v>976</v>
      </c>
      <c r="BT600" s="36"/>
      <c r="BU600" s="98" t="s">
        <v>1045</v>
      </c>
    </row>
    <row r="601" s="1" customFormat="1" customHeight="1" spans="1:73">
      <c r="A601" s="53" t="s">
        <v>1066</v>
      </c>
      <c r="B601" s="15"/>
      <c r="C601" s="16"/>
      <c r="D601" s="29"/>
      <c r="E601" s="30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30"/>
      <c r="AH601" s="29"/>
      <c r="AI601" s="29"/>
      <c r="AJ601" s="29"/>
      <c r="AK601" s="30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0">
        <f t="shared" si="71"/>
        <v>0</v>
      </c>
      <c r="BO601" s="20">
        <f t="shared" si="72"/>
        <v>0</v>
      </c>
      <c r="BP601" s="20">
        <f t="shared" si="73"/>
        <v>0</v>
      </c>
      <c r="BQ601" s="51"/>
      <c r="BR601" s="56"/>
      <c r="BS601" s="91"/>
      <c r="BT601" s="36"/>
      <c r="BU601" s="112"/>
    </row>
    <row r="602" s="1" customFormat="1" customHeight="1" spans="1:73">
      <c r="A602" s="37" t="s">
        <v>1067</v>
      </c>
      <c r="B602" s="15">
        <v>170</v>
      </c>
      <c r="C602" s="16">
        <v>310</v>
      </c>
      <c r="D602" s="29"/>
      <c r="E602" s="30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30"/>
      <c r="AH602" s="29"/>
      <c r="AI602" s="29"/>
      <c r="AJ602" s="29"/>
      <c r="AK602" s="30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0">
        <f t="shared" si="71"/>
        <v>0</v>
      </c>
      <c r="BO602" s="20">
        <f t="shared" si="72"/>
        <v>0</v>
      </c>
      <c r="BP602" s="20">
        <f t="shared" si="73"/>
        <v>310</v>
      </c>
      <c r="BQ602" s="51">
        <f t="shared" ref="BQ602:BQ608" si="78">B602*BP602/1000</f>
        <v>52.7</v>
      </c>
      <c r="BR602" s="56" t="s">
        <v>1022</v>
      </c>
      <c r="BS602" s="91" t="s">
        <v>573</v>
      </c>
      <c r="BT602" s="36"/>
      <c r="BU602" s="98" t="s">
        <v>1045</v>
      </c>
    </row>
    <row r="603" s="1" customFormat="1" customHeight="1" spans="1:73">
      <c r="A603" s="37" t="s">
        <v>1067</v>
      </c>
      <c r="B603" s="15">
        <v>215</v>
      </c>
      <c r="C603" s="16">
        <v>400</v>
      </c>
      <c r="D603" s="29"/>
      <c r="E603" s="30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30"/>
      <c r="AH603" s="29"/>
      <c r="AI603" s="29"/>
      <c r="AJ603" s="29"/>
      <c r="AK603" s="30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0">
        <f t="shared" si="71"/>
        <v>0</v>
      </c>
      <c r="BO603" s="20">
        <f t="shared" si="72"/>
        <v>0</v>
      </c>
      <c r="BP603" s="20">
        <f t="shared" si="73"/>
        <v>400</v>
      </c>
      <c r="BQ603" s="51">
        <f t="shared" si="78"/>
        <v>86</v>
      </c>
      <c r="BR603" s="56" t="s">
        <v>1022</v>
      </c>
      <c r="BS603" s="91" t="s">
        <v>573</v>
      </c>
      <c r="BT603" s="36"/>
      <c r="BU603" s="98" t="s">
        <v>1045</v>
      </c>
    </row>
    <row r="604" s="1" customFormat="1" customHeight="1" spans="1:73">
      <c r="A604" s="37" t="s">
        <v>1067</v>
      </c>
      <c r="B604" s="15">
        <v>260</v>
      </c>
      <c r="C604" s="16">
        <v>158</v>
      </c>
      <c r="D604" s="29"/>
      <c r="E604" s="30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30"/>
      <c r="AH604" s="29"/>
      <c r="AI604" s="29"/>
      <c r="AJ604" s="29"/>
      <c r="AK604" s="30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0">
        <f t="shared" si="71"/>
        <v>0</v>
      </c>
      <c r="BO604" s="20">
        <f t="shared" si="72"/>
        <v>0</v>
      </c>
      <c r="BP604" s="20">
        <f t="shared" si="73"/>
        <v>158</v>
      </c>
      <c r="BQ604" s="51">
        <f t="shared" si="78"/>
        <v>41.08</v>
      </c>
      <c r="BR604" s="56" t="s">
        <v>1020</v>
      </c>
      <c r="BS604" s="91" t="s">
        <v>573</v>
      </c>
      <c r="BT604" s="36"/>
      <c r="BU604" s="98" t="s">
        <v>1045</v>
      </c>
    </row>
    <row r="605" s="1" customFormat="1" customHeight="1" spans="1:73">
      <c r="A605" s="37" t="s">
        <v>1068</v>
      </c>
      <c r="B605" s="15">
        <v>240</v>
      </c>
      <c r="C605" s="16">
        <v>26</v>
      </c>
      <c r="D605" s="29"/>
      <c r="E605" s="30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30"/>
      <c r="AH605" s="29"/>
      <c r="AI605" s="29"/>
      <c r="AJ605" s="29"/>
      <c r="AK605" s="30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0">
        <f t="shared" si="71"/>
        <v>0</v>
      </c>
      <c r="BO605" s="20">
        <f t="shared" si="72"/>
        <v>0</v>
      </c>
      <c r="BP605" s="20">
        <f t="shared" si="73"/>
        <v>26</v>
      </c>
      <c r="BQ605" s="51">
        <f t="shared" si="78"/>
        <v>6.24</v>
      </c>
      <c r="BR605" s="56" t="s">
        <v>1069</v>
      </c>
      <c r="BS605" s="91" t="s">
        <v>1070</v>
      </c>
      <c r="BT605" s="36" t="s">
        <v>1071</v>
      </c>
      <c r="BU605" s="98" t="s">
        <v>1045</v>
      </c>
    </row>
    <row r="606" s="1" customFormat="1" customHeight="1" spans="1:73">
      <c r="A606" s="37" t="s">
        <v>1072</v>
      </c>
      <c r="B606" s="15">
        <v>255</v>
      </c>
      <c r="C606" s="16">
        <v>70</v>
      </c>
      <c r="D606" s="29"/>
      <c r="E606" s="30"/>
      <c r="F606" s="29"/>
      <c r="G606" s="29"/>
      <c r="H606" s="29"/>
      <c r="I606" s="29"/>
      <c r="J606" s="29"/>
      <c r="K606" s="29"/>
      <c r="L606" s="29"/>
      <c r="M606" s="29">
        <v>3</v>
      </c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30"/>
      <c r="AH606" s="29"/>
      <c r="AI606" s="29"/>
      <c r="AJ606" s="29"/>
      <c r="AK606" s="30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0">
        <f t="shared" si="71"/>
        <v>0</v>
      </c>
      <c r="BO606" s="20">
        <f t="shared" si="72"/>
        <v>3</v>
      </c>
      <c r="BP606" s="20">
        <f t="shared" si="73"/>
        <v>67</v>
      </c>
      <c r="BQ606" s="51">
        <f t="shared" si="78"/>
        <v>17.085</v>
      </c>
      <c r="BR606" s="56" t="s">
        <v>796</v>
      </c>
      <c r="BS606" s="91" t="s">
        <v>797</v>
      </c>
      <c r="BT606" s="36"/>
      <c r="BU606" s="98" t="s">
        <v>1045</v>
      </c>
    </row>
    <row r="607" s="1" customFormat="1" customHeight="1" spans="1:73">
      <c r="A607" s="136" t="s">
        <v>1073</v>
      </c>
      <c r="B607" s="15">
        <v>310</v>
      </c>
      <c r="C607" s="16">
        <v>66</v>
      </c>
      <c r="D607" s="29"/>
      <c r="E607" s="30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30"/>
      <c r="AH607" s="29"/>
      <c r="AI607" s="29"/>
      <c r="AJ607" s="29"/>
      <c r="AK607" s="30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0">
        <f t="shared" si="71"/>
        <v>0</v>
      </c>
      <c r="BO607" s="20">
        <f t="shared" si="72"/>
        <v>0</v>
      </c>
      <c r="BP607" s="20">
        <f t="shared" si="73"/>
        <v>66</v>
      </c>
      <c r="BQ607" s="51">
        <f t="shared" si="78"/>
        <v>20.46</v>
      </c>
      <c r="BR607" s="56" t="s">
        <v>533</v>
      </c>
      <c r="BS607" s="91" t="s">
        <v>534</v>
      </c>
      <c r="BT607" s="36"/>
      <c r="BU607" s="98" t="s">
        <v>1045</v>
      </c>
    </row>
    <row r="608" s="1" customFormat="1" customHeight="1" spans="1:73">
      <c r="A608" s="37" t="s">
        <v>1074</v>
      </c>
      <c r="B608" s="15">
        <v>40</v>
      </c>
      <c r="C608" s="16">
        <v>660</v>
      </c>
      <c r="D608" s="29"/>
      <c r="E608" s="30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30"/>
      <c r="AH608" s="29"/>
      <c r="AI608" s="29"/>
      <c r="AJ608" s="29"/>
      <c r="AK608" s="30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0">
        <f t="shared" si="71"/>
        <v>0</v>
      </c>
      <c r="BO608" s="20">
        <f t="shared" si="72"/>
        <v>0</v>
      </c>
      <c r="BP608" s="20">
        <f t="shared" si="73"/>
        <v>660</v>
      </c>
      <c r="BQ608" s="51">
        <f t="shared" si="78"/>
        <v>26.4</v>
      </c>
      <c r="BR608" s="56" t="s">
        <v>251</v>
      </c>
      <c r="BS608" s="91" t="s">
        <v>1075</v>
      </c>
      <c r="BT608" s="36" t="s">
        <v>1076</v>
      </c>
      <c r="BU608" s="98" t="s">
        <v>1045</v>
      </c>
    </row>
    <row r="609" s="1" customFormat="1" customHeight="1" spans="1:73">
      <c r="A609" s="53" t="s">
        <v>1077</v>
      </c>
      <c r="B609" s="15"/>
      <c r="C609" s="16"/>
      <c r="D609" s="29"/>
      <c r="E609" s="30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30"/>
      <c r="AH609" s="29"/>
      <c r="AI609" s="29"/>
      <c r="AJ609" s="29"/>
      <c r="AK609" s="30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0">
        <f t="shared" si="71"/>
        <v>0</v>
      </c>
      <c r="BO609" s="20">
        <f t="shared" si="72"/>
        <v>0</v>
      </c>
      <c r="BP609" s="20">
        <f t="shared" si="73"/>
        <v>0</v>
      </c>
      <c r="BQ609" s="51"/>
      <c r="BR609" s="56"/>
      <c r="BS609" s="91"/>
      <c r="BT609" s="36"/>
      <c r="BU609" s="44"/>
    </row>
    <row r="610" s="1" customFormat="1" customHeight="1" spans="1:73">
      <c r="A610" s="37" t="s">
        <v>1078</v>
      </c>
      <c r="B610" s="15">
        <v>165</v>
      </c>
      <c r="C610" s="16">
        <v>80</v>
      </c>
      <c r="D610" s="29"/>
      <c r="E610" s="30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30"/>
      <c r="AH610" s="29"/>
      <c r="AI610" s="29"/>
      <c r="AJ610" s="29"/>
      <c r="AK610" s="30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0">
        <f t="shared" si="71"/>
        <v>0</v>
      </c>
      <c r="BO610" s="20">
        <f t="shared" si="72"/>
        <v>0</v>
      </c>
      <c r="BP610" s="20">
        <f t="shared" si="73"/>
        <v>80</v>
      </c>
      <c r="BQ610" s="51">
        <f t="shared" ref="BQ610:BQ618" si="79">B610*BP610/1000</f>
        <v>13.2</v>
      </c>
      <c r="BR610" s="56" t="s">
        <v>484</v>
      </c>
      <c r="BS610" s="91" t="s">
        <v>1079</v>
      </c>
      <c r="BT610" s="36"/>
      <c r="BU610" s="98" t="s">
        <v>1080</v>
      </c>
    </row>
    <row r="611" s="1" customFormat="1" customHeight="1" spans="1:73">
      <c r="A611" s="37" t="s">
        <v>1078</v>
      </c>
      <c r="B611" s="15">
        <v>290</v>
      </c>
      <c r="C611" s="16">
        <v>135</v>
      </c>
      <c r="D611" s="29"/>
      <c r="E611" s="30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30"/>
      <c r="AH611" s="29"/>
      <c r="AI611" s="29"/>
      <c r="AJ611" s="29"/>
      <c r="AK611" s="30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0">
        <f t="shared" si="71"/>
        <v>0</v>
      </c>
      <c r="BO611" s="20">
        <f t="shared" si="72"/>
        <v>0</v>
      </c>
      <c r="BP611" s="20">
        <f t="shared" si="73"/>
        <v>135</v>
      </c>
      <c r="BQ611" s="51">
        <f t="shared" si="79"/>
        <v>39.15</v>
      </c>
      <c r="BR611" s="56" t="s">
        <v>820</v>
      </c>
      <c r="BS611" s="91" t="s">
        <v>1081</v>
      </c>
      <c r="BT611" s="36"/>
      <c r="BU611" s="98" t="s">
        <v>1080</v>
      </c>
    </row>
    <row r="612" s="1" customFormat="1" customHeight="1" spans="1:73">
      <c r="A612" s="37" t="s">
        <v>1082</v>
      </c>
      <c r="B612" s="15">
        <v>170</v>
      </c>
      <c r="C612" s="16">
        <v>599</v>
      </c>
      <c r="D612" s="29"/>
      <c r="E612" s="30"/>
      <c r="F612" s="29"/>
      <c r="G612" s="29"/>
      <c r="H612" s="29"/>
      <c r="I612" s="29"/>
      <c r="J612" s="29"/>
      <c r="K612" s="29"/>
      <c r="L612" s="29"/>
      <c r="M612" s="29">
        <v>99</v>
      </c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30"/>
      <c r="AH612" s="29"/>
      <c r="AI612" s="29"/>
      <c r="AJ612" s="29"/>
      <c r="AK612" s="30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0">
        <f t="shared" si="71"/>
        <v>0</v>
      </c>
      <c r="BO612" s="20">
        <f t="shared" si="72"/>
        <v>99</v>
      </c>
      <c r="BP612" s="20">
        <f t="shared" si="73"/>
        <v>500</v>
      </c>
      <c r="BQ612" s="51">
        <f t="shared" si="79"/>
        <v>85</v>
      </c>
      <c r="BR612" s="56" t="s">
        <v>170</v>
      </c>
      <c r="BS612" s="91" t="s">
        <v>1083</v>
      </c>
      <c r="BT612" s="36" t="s">
        <v>660</v>
      </c>
      <c r="BU612" s="98" t="s">
        <v>1080</v>
      </c>
    </row>
    <row r="613" s="1" customFormat="1" customHeight="1" spans="1:73">
      <c r="A613" s="37" t="s">
        <v>1082</v>
      </c>
      <c r="B613" s="15">
        <v>280</v>
      </c>
      <c r="C613" s="16">
        <v>400</v>
      </c>
      <c r="D613" s="29"/>
      <c r="E613" s="30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30"/>
      <c r="AH613" s="29"/>
      <c r="AI613" s="29"/>
      <c r="AJ613" s="29"/>
      <c r="AK613" s="30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0">
        <f t="shared" si="71"/>
        <v>0</v>
      </c>
      <c r="BO613" s="20">
        <f t="shared" si="72"/>
        <v>0</v>
      </c>
      <c r="BP613" s="20">
        <f t="shared" si="73"/>
        <v>400</v>
      </c>
      <c r="BQ613" s="51">
        <f t="shared" si="79"/>
        <v>112</v>
      </c>
      <c r="BR613" s="56" t="s">
        <v>1084</v>
      </c>
      <c r="BS613" s="91" t="s">
        <v>1085</v>
      </c>
      <c r="BT613" s="36"/>
      <c r="BU613" s="98" t="s">
        <v>1080</v>
      </c>
    </row>
    <row r="614" s="1" customFormat="1" customHeight="1" spans="1:73">
      <c r="A614" s="37" t="s">
        <v>1082</v>
      </c>
      <c r="B614" s="15">
        <v>295</v>
      </c>
      <c r="C614" s="16">
        <v>140</v>
      </c>
      <c r="D614" s="29"/>
      <c r="E614" s="30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30"/>
      <c r="AH614" s="29"/>
      <c r="AI614" s="29"/>
      <c r="AJ614" s="29"/>
      <c r="AK614" s="30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0">
        <f t="shared" si="71"/>
        <v>0</v>
      </c>
      <c r="BO614" s="20">
        <f t="shared" si="72"/>
        <v>0</v>
      </c>
      <c r="BP614" s="20">
        <f t="shared" si="73"/>
        <v>140</v>
      </c>
      <c r="BQ614" s="51">
        <f t="shared" si="79"/>
        <v>41.3</v>
      </c>
      <c r="BR614" s="56" t="s">
        <v>192</v>
      </c>
      <c r="BS614" s="91" t="s">
        <v>1086</v>
      </c>
      <c r="BT614" s="36"/>
      <c r="BU614" s="98" t="s">
        <v>1080</v>
      </c>
    </row>
    <row r="615" s="1" customFormat="1" customHeight="1" spans="1:73">
      <c r="A615" s="37" t="s">
        <v>1082</v>
      </c>
      <c r="B615" s="15">
        <v>315</v>
      </c>
      <c r="C615" s="16">
        <v>210</v>
      </c>
      <c r="D615" s="29"/>
      <c r="E615" s="30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30"/>
      <c r="AH615" s="29"/>
      <c r="AI615" s="29"/>
      <c r="AJ615" s="29"/>
      <c r="AK615" s="30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0">
        <f t="shared" si="71"/>
        <v>0</v>
      </c>
      <c r="BO615" s="20">
        <f t="shared" si="72"/>
        <v>0</v>
      </c>
      <c r="BP615" s="20">
        <f t="shared" si="73"/>
        <v>210</v>
      </c>
      <c r="BQ615" s="51">
        <f t="shared" si="79"/>
        <v>66.15</v>
      </c>
      <c r="BR615" s="56" t="s">
        <v>138</v>
      </c>
      <c r="BS615" s="91" t="s">
        <v>1087</v>
      </c>
      <c r="BT615" s="36"/>
      <c r="BU615" s="98" t="s">
        <v>1080</v>
      </c>
    </row>
    <row r="616" s="1" customFormat="1" customHeight="1" spans="1:73">
      <c r="A616" s="37" t="s">
        <v>1088</v>
      </c>
      <c r="B616" s="15">
        <v>320</v>
      </c>
      <c r="C616" s="16">
        <v>395</v>
      </c>
      <c r="D616" s="29"/>
      <c r="E616" s="30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30"/>
      <c r="AH616" s="29"/>
      <c r="AI616" s="29"/>
      <c r="AJ616" s="29"/>
      <c r="AK616" s="30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0">
        <f t="shared" si="71"/>
        <v>0</v>
      </c>
      <c r="BO616" s="20">
        <f t="shared" si="72"/>
        <v>0</v>
      </c>
      <c r="BP616" s="20">
        <f t="shared" si="73"/>
        <v>395</v>
      </c>
      <c r="BQ616" s="51">
        <f t="shared" si="79"/>
        <v>126.4</v>
      </c>
      <c r="BR616" s="56" t="s">
        <v>907</v>
      </c>
      <c r="BS616" s="91" t="s">
        <v>1089</v>
      </c>
      <c r="BT616" s="36" t="s">
        <v>1090</v>
      </c>
      <c r="BU616" s="98" t="s">
        <v>1080</v>
      </c>
    </row>
    <row r="617" s="1" customFormat="1" customHeight="1" spans="1:73">
      <c r="A617" s="37" t="s">
        <v>1088</v>
      </c>
      <c r="B617" s="15">
        <v>390</v>
      </c>
      <c r="C617" s="16">
        <v>357</v>
      </c>
      <c r="D617" s="29"/>
      <c r="E617" s="30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30"/>
      <c r="AH617" s="29"/>
      <c r="AI617" s="29"/>
      <c r="AJ617" s="29"/>
      <c r="AK617" s="30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0">
        <f t="shared" ref="BN617:BN680" si="80">D617+F617+H617+J617+L617+N617+P617+R617+T617+V617+X617+Z617+AB617+AD617+AF617+AH617+AJ617+AL617+AN617+AP617+AR617+AT617+AV617+AX617+AZ617+BB617+BD617+BF617+BH617+BJ617+BL617</f>
        <v>0</v>
      </c>
      <c r="BO617" s="20">
        <f t="shared" ref="BO617:BO680" si="81">E617+G617+I617+K617+M617+O617+Q617+S617+U617+W617+Y617+AA617+AC617+AE617+AG617+AI617+AK617+AM617+AO617+AQ617+AS617+AU617+AW617+AY617+BA617+BC617+BE617+BG617+BI617+BK617+BM617</f>
        <v>0</v>
      </c>
      <c r="BP617" s="20">
        <f t="shared" ref="BP617:BP680" si="82">C617+BN617-BO617</f>
        <v>357</v>
      </c>
      <c r="BQ617" s="51">
        <f t="shared" si="79"/>
        <v>139.23</v>
      </c>
      <c r="BR617" s="56" t="s">
        <v>683</v>
      </c>
      <c r="BS617" s="91" t="s">
        <v>684</v>
      </c>
      <c r="BT617" s="36"/>
      <c r="BU617" s="98" t="s">
        <v>1080</v>
      </c>
    </row>
    <row r="618" s="1" customFormat="1" customHeight="1" spans="1:73">
      <c r="A618" s="37" t="s">
        <v>1088</v>
      </c>
      <c r="B618" s="15">
        <v>493</v>
      </c>
      <c r="C618" s="16">
        <v>405</v>
      </c>
      <c r="D618" s="29"/>
      <c r="E618" s="30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30"/>
      <c r="AH618" s="29"/>
      <c r="AI618" s="29"/>
      <c r="AJ618" s="29"/>
      <c r="AK618" s="30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0">
        <f t="shared" si="80"/>
        <v>0</v>
      </c>
      <c r="BO618" s="20">
        <f t="shared" si="81"/>
        <v>0</v>
      </c>
      <c r="BP618" s="20">
        <f t="shared" si="82"/>
        <v>405</v>
      </c>
      <c r="BQ618" s="51">
        <f t="shared" si="79"/>
        <v>199.665</v>
      </c>
      <c r="BR618" s="56" t="s">
        <v>683</v>
      </c>
      <c r="BS618" s="91" t="s">
        <v>684</v>
      </c>
      <c r="BT618" s="36"/>
      <c r="BU618" s="98" t="s">
        <v>1080</v>
      </c>
    </row>
    <row r="619" s="1" customFormat="1" ht="37.5" customHeight="1" spans="1:73">
      <c r="A619" s="53" t="s">
        <v>1091</v>
      </c>
      <c r="B619" s="15"/>
      <c r="C619" s="16"/>
      <c r="D619" s="29"/>
      <c r="E619" s="30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30"/>
      <c r="AH619" s="29"/>
      <c r="AI619" s="29"/>
      <c r="AJ619" s="29"/>
      <c r="AK619" s="30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0">
        <f t="shared" si="80"/>
        <v>0</v>
      </c>
      <c r="BO619" s="20">
        <f t="shared" si="81"/>
        <v>0</v>
      </c>
      <c r="BP619" s="20">
        <f t="shared" si="82"/>
        <v>0</v>
      </c>
      <c r="BQ619" s="51"/>
      <c r="BR619" s="56"/>
      <c r="BS619" s="111"/>
      <c r="BT619" s="36"/>
      <c r="BU619" s="112"/>
    </row>
    <row r="620" s="1" customFormat="1" customHeight="1" spans="1:73">
      <c r="A620" s="53" t="s">
        <v>1092</v>
      </c>
      <c r="B620" s="15"/>
      <c r="C620" s="16"/>
      <c r="D620" s="29"/>
      <c r="E620" s="30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30"/>
      <c r="X620" s="29"/>
      <c r="Y620" s="29"/>
      <c r="Z620" s="29"/>
      <c r="AA620" s="29"/>
      <c r="AB620" s="29"/>
      <c r="AC620" s="29"/>
      <c r="AD620" s="29"/>
      <c r="AE620" s="29"/>
      <c r="AF620" s="29"/>
      <c r="AG620" s="30"/>
      <c r="AH620" s="29"/>
      <c r="AI620" s="29"/>
      <c r="AJ620" s="29"/>
      <c r="AK620" s="30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0">
        <f t="shared" si="80"/>
        <v>0</v>
      </c>
      <c r="BO620" s="20">
        <f t="shared" si="81"/>
        <v>0</v>
      </c>
      <c r="BP620" s="20">
        <f t="shared" si="82"/>
        <v>0</v>
      </c>
      <c r="BQ620" s="51"/>
      <c r="BR620" s="56"/>
      <c r="BS620" s="111"/>
      <c r="BT620" s="36"/>
      <c r="BU620" s="112"/>
    </row>
    <row r="621" s="1" customFormat="1" customHeight="1" spans="1:73">
      <c r="A621" s="137" t="s">
        <v>1093</v>
      </c>
      <c r="B621" s="15">
        <v>260</v>
      </c>
      <c r="C621" s="29">
        <v>2.5</v>
      </c>
      <c r="D621" s="29"/>
      <c r="E621" s="30"/>
      <c r="F621" s="39"/>
      <c r="G621" s="29"/>
      <c r="H621" s="29"/>
      <c r="I621" s="3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30"/>
      <c r="AH621" s="29"/>
      <c r="AI621" s="29"/>
      <c r="AJ621" s="29"/>
      <c r="AK621" s="30"/>
      <c r="AL621" s="29"/>
      <c r="AM621" s="29"/>
      <c r="AN621" s="29"/>
      <c r="AO621" s="29"/>
      <c r="AP621" s="29"/>
      <c r="AQ621" s="29"/>
      <c r="AR621" s="29"/>
      <c r="AS621" s="30"/>
      <c r="AT621" s="29"/>
      <c r="AU621" s="29"/>
      <c r="AV621" s="29"/>
      <c r="AW621" s="29"/>
      <c r="AX621" s="29"/>
      <c r="AY621" s="29"/>
      <c r="AZ621" s="29"/>
      <c r="BA621" s="82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0">
        <f t="shared" si="80"/>
        <v>0</v>
      </c>
      <c r="BO621" s="20">
        <f t="shared" si="81"/>
        <v>0</v>
      </c>
      <c r="BP621" s="20">
        <f t="shared" si="82"/>
        <v>2.5</v>
      </c>
      <c r="BQ621" s="55">
        <f t="shared" ref="BQ621:BQ629" si="83">B621*BP621/1000</f>
        <v>0.65</v>
      </c>
      <c r="BR621" s="68" t="s">
        <v>1094</v>
      </c>
      <c r="BS621" s="91" t="s">
        <v>1095</v>
      </c>
      <c r="BT621" s="36" t="s">
        <v>1096</v>
      </c>
      <c r="BU621" s="35" t="s">
        <v>1097</v>
      </c>
    </row>
    <row r="622" s="1" customFormat="1" customHeight="1" spans="1:73">
      <c r="A622" s="138" t="s">
        <v>1098</v>
      </c>
      <c r="B622" s="15">
        <v>265</v>
      </c>
      <c r="C622" s="29">
        <v>18.5</v>
      </c>
      <c r="D622" s="29"/>
      <c r="E622" s="30"/>
      <c r="F622" s="39"/>
      <c r="G622" s="29"/>
      <c r="H622" s="29"/>
      <c r="I622" s="3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30"/>
      <c r="AH622" s="29"/>
      <c r="AI622" s="29"/>
      <c r="AJ622" s="29"/>
      <c r="AK622" s="30"/>
      <c r="AL622" s="29"/>
      <c r="AM622" s="29"/>
      <c r="AN622" s="29"/>
      <c r="AO622" s="29"/>
      <c r="AP622" s="29"/>
      <c r="AQ622" s="29"/>
      <c r="AR622" s="29"/>
      <c r="AS622" s="30"/>
      <c r="AT622" s="29"/>
      <c r="AU622" s="29"/>
      <c r="AV622" s="29"/>
      <c r="AW622" s="29"/>
      <c r="AX622" s="29"/>
      <c r="AY622" s="29"/>
      <c r="AZ622" s="29"/>
      <c r="BA622" s="82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0">
        <f t="shared" si="80"/>
        <v>0</v>
      </c>
      <c r="BO622" s="20">
        <f t="shared" si="81"/>
        <v>0</v>
      </c>
      <c r="BP622" s="20">
        <f t="shared" si="82"/>
        <v>18.5</v>
      </c>
      <c r="BQ622" s="55">
        <f t="shared" si="83"/>
        <v>4.9025</v>
      </c>
      <c r="BR622" s="68" t="s">
        <v>716</v>
      </c>
      <c r="BS622" s="91" t="s">
        <v>717</v>
      </c>
      <c r="BT622" s="36" t="s">
        <v>1096</v>
      </c>
      <c r="BU622" s="35" t="s">
        <v>1097</v>
      </c>
    </row>
    <row r="623" s="1" customFormat="1" customHeight="1" spans="1:73">
      <c r="A623" s="139" t="s">
        <v>1099</v>
      </c>
      <c r="B623" s="15">
        <v>235</v>
      </c>
      <c r="C623" s="29">
        <v>15</v>
      </c>
      <c r="D623" s="29"/>
      <c r="E623" s="30"/>
      <c r="F623" s="39"/>
      <c r="G623" s="29"/>
      <c r="H623" s="29"/>
      <c r="I623" s="3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30"/>
      <c r="AH623" s="29"/>
      <c r="AI623" s="29"/>
      <c r="AJ623" s="29"/>
      <c r="AK623" s="30"/>
      <c r="AL623" s="29"/>
      <c r="AM623" s="29"/>
      <c r="AN623" s="29"/>
      <c r="AO623" s="29"/>
      <c r="AP623" s="29"/>
      <c r="AQ623" s="29"/>
      <c r="AR623" s="29"/>
      <c r="AS623" s="30"/>
      <c r="AT623" s="29"/>
      <c r="AU623" s="29"/>
      <c r="AV623" s="29"/>
      <c r="AW623" s="29"/>
      <c r="AX623" s="29"/>
      <c r="AY623" s="29"/>
      <c r="AZ623" s="29"/>
      <c r="BA623" s="82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0">
        <f t="shared" si="80"/>
        <v>0</v>
      </c>
      <c r="BO623" s="20">
        <f t="shared" si="81"/>
        <v>0</v>
      </c>
      <c r="BP623" s="20">
        <f t="shared" si="82"/>
        <v>15</v>
      </c>
      <c r="BQ623" s="55">
        <f t="shared" si="83"/>
        <v>3.525</v>
      </c>
      <c r="BR623" s="68" t="s">
        <v>1039</v>
      </c>
      <c r="BS623" s="91" t="s">
        <v>1100</v>
      </c>
      <c r="BT623" s="36" t="s">
        <v>798</v>
      </c>
      <c r="BU623" s="35" t="s">
        <v>1097</v>
      </c>
    </row>
    <row r="624" s="1" customFormat="1" customHeight="1" spans="1:73">
      <c r="A624" s="15" t="s">
        <v>1101</v>
      </c>
      <c r="B624" s="15">
        <v>110</v>
      </c>
      <c r="C624" s="16">
        <v>29</v>
      </c>
      <c r="D624" s="29"/>
      <c r="E624" s="30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30"/>
      <c r="AH624" s="29"/>
      <c r="AI624" s="29"/>
      <c r="AJ624" s="29"/>
      <c r="AK624" s="30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0">
        <f t="shared" si="80"/>
        <v>0</v>
      </c>
      <c r="BO624" s="20">
        <f t="shared" si="81"/>
        <v>0</v>
      </c>
      <c r="BP624" s="20">
        <f t="shared" si="82"/>
        <v>29</v>
      </c>
      <c r="BQ624" s="55">
        <f t="shared" si="83"/>
        <v>3.19</v>
      </c>
      <c r="BR624" s="68" t="s">
        <v>618</v>
      </c>
      <c r="BS624" s="91" t="s">
        <v>1102</v>
      </c>
      <c r="BT624" s="75" t="s">
        <v>1103</v>
      </c>
      <c r="BU624" s="35" t="s">
        <v>1097</v>
      </c>
    </row>
    <row r="625" s="1" customFormat="1" customHeight="1" spans="1:73">
      <c r="A625" s="15" t="s">
        <v>1104</v>
      </c>
      <c r="B625" s="15">
        <v>200</v>
      </c>
      <c r="C625" s="16">
        <v>33</v>
      </c>
      <c r="D625" s="29"/>
      <c r="E625" s="30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30"/>
      <c r="AH625" s="29"/>
      <c r="AI625" s="29"/>
      <c r="AJ625" s="29"/>
      <c r="AK625" s="30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0">
        <f t="shared" si="80"/>
        <v>0</v>
      </c>
      <c r="BO625" s="20">
        <f t="shared" si="81"/>
        <v>0</v>
      </c>
      <c r="BP625" s="20">
        <f t="shared" si="82"/>
        <v>33</v>
      </c>
      <c r="BQ625" s="55">
        <f t="shared" si="83"/>
        <v>6.6</v>
      </c>
      <c r="BR625" s="68" t="s">
        <v>1105</v>
      </c>
      <c r="BS625" s="91" t="s">
        <v>1106</v>
      </c>
      <c r="BT625" s="36"/>
      <c r="BU625" s="35" t="s">
        <v>1097</v>
      </c>
    </row>
    <row r="626" s="1" customFormat="1" customHeight="1" spans="1:73">
      <c r="A626" s="60" t="s">
        <v>1107</v>
      </c>
      <c r="B626" s="15">
        <v>100</v>
      </c>
      <c r="C626" s="16">
        <v>20</v>
      </c>
      <c r="D626" s="29"/>
      <c r="E626" s="30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30"/>
      <c r="AH626" s="29"/>
      <c r="AI626" s="29"/>
      <c r="AJ626" s="29"/>
      <c r="AK626" s="30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0">
        <f t="shared" si="80"/>
        <v>0</v>
      </c>
      <c r="BO626" s="20">
        <f t="shared" si="81"/>
        <v>0</v>
      </c>
      <c r="BP626" s="20">
        <f t="shared" si="82"/>
        <v>20</v>
      </c>
      <c r="BQ626" s="55">
        <f t="shared" si="83"/>
        <v>2</v>
      </c>
      <c r="BR626" s="56" t="s">
        <v>1108</v>
      </c>
      <c r="BS626" s="91" t="s">
        <v>1109</v>
      </c>
      <c r="BT626" s="36"/>
      <c r="BU626" s="35" t="s">
        <v>1097</v>
      </c>
    </row>
    <row r="627" s="1" customFormat="1" customHeight="1" spans="1:73">
      <c r="A627" s="60" t="s">
        <v>1110</v>
      </c>
      <c r="B627" s="15">
        <v>15</v>
      </c>
      <c r="C627" s="16">
        <v>0</v>
      </c>
      <c r="D627" s="29"/>
      <c r="E627" s="30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30"/>
      <c r="AH627" s="29"/>
      <c r="AI627" s="29"/>
      <c r="AJ627" s="29"/>
      <c r="AK627" s="30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0">
        <f t="shared" si="80"/>
        <v>0</v>
      </c>
      <c r="BO627" s="20">
        <f t="shared" si="81"/>
        <v>0</v>
      </c>
      <c r="BP627" s="20">
        <f t="shared" si="82"/>
        <v>0</v>
      </c>
      <c r="BQ627" s="135">
        <f t="shared" si="83"/>
        <v>0</v>
      </c>
      <c r="BR627" s="56" t="s">
        <v>807</v>
      </c>
      <c r="BS627" s="91" t="s">
        <v>808</v>
      </c>
      <c r="BT627" s="36" t="s">
        <v>1111</v>
      </c>
      <c r="BU627" s="35" t="s">
        <v>1097</v>
      </c>
    </row>
    <row r="628" s="1" customFormat="1" customHeight="1" spans="1:73">
      <c r="A628" s="15" t="s">
        <v>1112</v>
      </c>
      <c r="B628" s="15">
        <v>85</v>
      </c>
      <c r="C628" s="16">
        <v>0</v>
      </c>
      <c r="D628" s="29"/>
      <c r="E628" s="30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30"/>
      <c r="AH628" s="29"/>
      <c r="AI628" s="29"/>
      <c r="AJ628" s="29"/>
      <c r="AK628" s="30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0">
        <f t="shared" si="80"/>
        <v>0</v>
      </c>
      <c r="BO628" s="20">
        <f t="shared" si="81"/>
        <v>0</v>
      </c>
      <c r="BP628" s="20">
        <f t="shared" si="82"/>
        <v>0</v>
      </c>
      <c r="BQ628" s="135">
        <f t="shared" si="83"/>
        <v>0</v>
      </c>
      <c r="BR628" s="56" t="s">
        <v>1113</v>
      </c>
      <c r="BS628" s="91" t="s">
        <v>1095</v>
      </c>
      <c r="BT628" s="36" t="s">
        <v>1114</v>
      </c>
      <c r="BU628" s="35" t="s">
        <v>1097</v>
      </c>
    </row>
    <row r="629" s="1" customFormat="1" customHeight="1" spans="1:73">
      <c r="A629" s="15" t="s">
        <v>1115</v>
      </c>
      <c r="B629" s="15">
        <v>134</v>
      </c>
      <c r="C629" s="16">
        <v>20</v>
      </c>
      <c r="D629" s="29"/>
      <c r="E629" s="30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30"/>
      <c r="AH629" s="29"/>
      <c r="AI629" s="29"/>
      <c r="AJ629" s="29"/>
      <c r="AK629" s="30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0">
        <f t="shared" si="80"/>
        <v>0</v>
      </c>
      <c r="BO629" s="20">
        <f t="shared" si="81"/>
        <v>0</v>
      </c>
      <c r="BP629" s="20">
        <f t="shared" si="82"/>
        <v>20</v>
      </c>
      <c r="BQ629" s="55">
        <f t="shared" si="83"/>
        <v>2.68</v>
      </c>
      <c r="BR629" s="56" t="s">
        <v>1116</v>
      </c>
      <c r="BS629" s="91" t="s">
        <v>1095</v>
      </c>
      <c r="BT629" s="36"/>
      <c r="BU629" s="35" t="s">
        <v>1097</v>
      </c>
    </row>
    <row r="630" s="1" customFormat="1" customHeight="1" spans="1:73">
      <c r="A630" s="53" t="s">
        <v>1117</v>
      </c>
      <c r="B630" s="15"/>
      <c r="C630" s="16"/>
      <c r="D630" s="29"/>
      <c r="E630" s="30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30"/>
      <c r="X630" s="29"/>
      <c r="Y630" s="29"/>
      <c r="Z630" s="29"/>
      <c r="AA630" s="29"/>
      <c r="AB630" s="29"/>
      <c r="AC630" s="29"/>
      <c r="AD630" s="29"/>
      <c r="AE630" s="29"/>
      <c r="AF630" s="29"/>
      <c r="AG630" s="30"/>
      <c r="AH630" s="29"/>
      <c r="AI630" s="29"/>
      <c r="AJ630" s="29"/>
      <c r="AK630" s="30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0">
        <f t="shared" si="80"/>
        <v>0</v>
      </c>
      <c r="BO630" s="20">
        <f t="shared" si="81"/>
        <v>0</v>
      </c>
      <c r="BP630" s="20">
        <f t="shared" si="82"/>
        <v>0</v>
      </c>
      <c r="BQ630" s="51"/>
      <c r="BR630" s="56"/>
      <c r="BS630" s="111"/>
      <c r="BT630" s="36"/>
      <c r="BU630" s="112"/>
    </row>
    <row r="631" s="1" customFormat="1" customHeight="1" spans="1:73">
      <c r="A631" s="37" t="s">
        <v>1118</v>
      </c>
      <c r="B631" s="15">
        <v>280</v>
      </c>
      <c r="C631" s="16">
        <v>25</v>
      </c>
      <c r="D631" s="29"/>
      <c r="E631" s="30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30"/>
      <c r="AH631" s="29"/>
      <c r="AI631" s="29"/>
      <c r="AJ631" s="29"/>
      <c r="AK631" s="30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0">
        <f t="shared" si="80"/>
        <v>0</v>
      </c>
      <c r="BO631" s="20">
        <f t="shared" si="81"/>
        <v>0</v>
      </c>
      <c r="BP631" s="20">
        <f t="shared" si="82"/>
        <v>25</v>
      </c>
      <c r="BQ631" s="51">
        <f t="shared" ref="BQ631:BQ637" si="84">B631*BP631/1000</f>
        <v>7</v>
      </c>
      <c r="BR631" s="56" t="s">
        <v>1119</v>
      </c>
      <c r="BS631" s="91" t="s">
        <v>1095</v>
      </c>
      <c r="BT631" s="36"/>
      <c r="BU631" s="35" t="s">
        <v>1120</v>
      </c>
    </row>
    <row r="632" s="1" customFormat="1" customHeight="1" spans="1:73">
      <c r="A632" s="37" t="s">
        <v>1118</v>
      </c>
      <c r="B632" s="15">
        <v>170</v>
      </c>
      <c r="C632" s="16">
        <v>75</v>
      </c>
      <c r="D632" s="29"/>
      <c r="E632" s="30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30"/>
      <c r="AH632" s="29"/>
      <c r="AI632" s="29"/>
      <c r="AJ632" s="29"/>
      <c r="AK632" s="30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0">
        <f t="shared" si="80"/>
        <v>0</v>
      </c>
      <c r="BO632" s="20">
        <f t="shared" si="81"/>
        <v>0</v>
      </c>
      <c r="BP632" s="20">
        <f t="shared" si="82"/>
        <v>75</v>
      </c>
      <c r="BQ632" s="51">
        <f t="shared" si="84"/>
        <v>12.75</v>
      </c>
      <c r="BR632" s="56" t="s">
        <v>1119</v>
      </c>
      <c r="BS632" s="91" t="s">
        <v>1095</v>
      </c>
      <c r="BT632" s="36"/>
      <c r="BU632" s="35" t="s">
        <v>1120</v>
      </c>
    </row>
    <row r="633" s="1" customFormat="1" customHeight="1" spans="1:73">
      <c r="A633" s="53" t="s">
        <v>1121</v>
      </c>
      <c r="B633" s="15"/>
      <c r="C633" s="16"/>
      <c r="D633" s="29"/>
      <c r="E633" s="30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30"/>
      <c r="X633" s="29"/>
      <c r="Y633" s="29"/>
      <c r="Z633" s="29"/>
      <c r="AA633" s="29"/>
      <c r="AB633" s="29"/>
      <c r="AC633" s="29"/>
      <c r="AD633" s="29"/>
      <c r="AE633" s="29"/>
      <c r="AF633" s="29"/>
      <c r="AG633" s="30"/>
      <c r="AH633" s="29"/>
      <c r="AI633" s="29"/>
      <c r="AJ633" s="29"/>
      <c r="AK633" s="30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0">
        <f t="shared" si="80"/>
        <v>0</v>
      </c>
      <c r="BO633" s="20">
        <f t="shared" si="81"/>
        <v>0</v>
      </c>
      <c r="BP633" s="20">
        <f t="shared" si="82"/>
        <v>0</v>
      </c>
      <c r="BQ633" s="51"/>
      <c r="BR633" s="56"/>
      <c r="BS633" s="111"/>
      <c r="BT633" s="36"/>
      <c r="BU633" s="112"/>
    </row>
    <row r="634" s="1" customFormat="1" customHeight="1" spans="1:73">
      <c r="A634" s="137" t="s">
        <v>1122</v>
      </c>
      <c r="B634" s="15" t="s">
        <v>1123</v>
      </c>
      <c r="C634" s="16">
        <v>343</v>
      </c>
      <c r="D634" s="29"/>
      <c r="E634" s="30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30"/>
      <c r="AH634" s="29"/>
      <c r="AI634" s="29"/>
      <c r="AJ634" s="29"/>
      <c r="AK634" s="30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0">
        <f t="shared" si="80"/>
        <v>0</v>
      </c>
      <c r="BO634" s="20">
        <f t="shared" si="81"/>
        <v>0</v>
      </c>
      <c r="BP634" s="20">
        <f t="shared" si="82"/>
        <v>343</v>
      </c>
      <c r="BQ634" s="51">
        <f>0.17*0.12*BP634</f>
        <v>6.9972</v>
      </c>
      <c r="BR634" s="56" t="s">
        <v>1124</v>
      </c>
      <c r="BS634" s="91" t="s">
        <v>1095</v>
      </c>
      <c r="BT634" s="140" t="s">
        <v>1125</v>
      </c>
      <c r="BU634" s="35" t="s">
        <v>1126</v>
      </c>
    </row>
    <row r="635" s="1" customFormat="1" customHeight="1" spans="1:73">
      <c r="A635" s="137" t="s">
        <v>1122</v>
      </c>
      <c r="B635" s="15" t="s">
        <v>1127</v>
      </c>
      <c r="C635" s="16">
        <v>962</v>
      </c>
      <c r="D635" s="29"/>
      <c r="E635" s="30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30"/>
      <c r="AH635" s="29"/>
      <c r="AI635" s="29"/>
      <c r="AJ635" s="29"/>
      <c r="AK635" s="30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0">
        <f t="shared" si="80"/>
        <v>0</v>
      </c>
      <c r="BO635" s="20">
        <f t="shared" si="81"/>
        <v>0</v>
      </c>
      <c r="BP635" s="20">
        <f t="shared" si="82"/>
        <v>962</v>
      </c>
      <c r="BQ635" s="51">
        <f>0.17*0.104*BP635</f>
        <v>17.00816</v>
      </c>
      <c r="BR635" s="56" t="s">
        <v>1128</v>
      </c>
      <c r="BS635" s="91" t="s">
        <v>1129</v>
      </c>
      <c r="BT635" s="140" t="s">
        <v>1125</v>
      </c>
      <c r="BU635" s="35" t="s">
        <v>1126</v>
      </c>
    </row>
    <row r="636" s="1" customFormat="1" customHeight="1" spans="1:73">
      <c r="A636" s="137" t="s">
        <v>1122</v>
      </c>
      <c r="B636" s="15">
        <v>155</v>
      </c>
      <c r="C636" s="16">
        <v>6</v>
      </c>
      <c r="D636" s="29"/>
      <c r="E636" s="30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30"/>
      <c r="AH636" s="29"/>
      <c r="AI636" s="29"/>
      <c r="AJ636" s="29"/>
      <c r="AK636" s="30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0">
        <f t="shared" si="80"/>
        <v>0</v>
      </c>
      <c r="BO636" s="20">
        <f t="shared" si="81"/>
        <v>0</v>
      </c>
      <c r="BP636" s="20">
        <f t="shared" si="82"/>
        <v>6</v>
      </c>
      <c r="BQ636" s="51">
        <f t="shared" si="84"/>
        <v>0.93</v>
      </c>
      <c r="BR636" s="56" t="s">
        <v>1124</v>
      </c>
      <c r="BS636" s="91" t="s">
        <v>1095</v>
      </c>
      <c r="BT636" s="36"/>
      <c r="BU636" s="35" t="s">
        <v>1126</v>
      </c>
    </row>
    <row r="637" s="1" customFormat="1" customHeight="1" spans="1:73">
      <c r="A637" s="137" t="s">
        <v>1122</v>
      </c>
      <c r="B637" s="15">
        <v>260</v>
      </c>
      <c r="C637" s="16">
        <v>13</v>
      </c>
      <c r="D637" s="29"/>
      <c r="E637" s="30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30"/>
      <c r="AH637" s="29"/>
      <c r="AI637" s="29"/>
      <c r="AJ637" s="29"/>
      <c r="AK637" s="30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0">
        <f t="shared" si="80"/>
        <v>0</v>
      </c>
      <c r="BO637" s="20">
        <f t="shared" si="81"/>
        <v>0</v>
      </c>
      <c r="BP637" s="20">
        <f t="shared" si="82"/>
        <v>13</v>
      </c>
      <c r="BQ637" s="51">
        <f t="shared" si="84"/>
        <v>3.38</v>
      </c>
      <c r="BR637" s="56" t="s">
        <v>692</v>
      </c>
      <c r="BS637" s="91" t="s">
        <v>720</v>
      </c>
      <c r="BT637" s="36" t="s">
        <v>1130</v>
      </c>
      <c r="BU637" s="35" t="s">
        <v>1126</v>
      </c>
    </row>
    <row r="638" s="1" customFormat="1" customHeight="1" spans="1:73">
      <c r="A638" s="53" t="s">
        <v>1131</v>
      </c>
      <c r="B638" s="15"/>
      <c r="C638" s="16"/>
      <c r="D638" s="29"/>
      <c r="E638" s="30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30"/>
      <c r="X638" s="29"/>
      <c r="Y638" s="29"/>
      <c r="Z638" s="29"/>
      <c r="AA638" s="29"/>
      <c r="AB638" s="29"/>
      <c r="AC638" s="29"/>
      <c r="AD638" s="29"/>
      <c r="AE638" s="29"/>
      <c r="AF638" s="29"/>
      <c r="AG638" s="30"/>
      <c r="AH638" s="29"/>
      <c r="AI638" s="29"/>
      <c r="AJ638" s="29"/>
      <c r="AK638" s="30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0">
        <f t="shared" si="80"/>
        <v>0</v>
      </c>
      <c r="BO638" s="20">
        <f t="shared" si="81"/>
        <v>0</v>
      </c>
      <c r="BP638" s="20">
        <f t="shared" si="82"/>
        <v>0</v>
      </c>
      <c r="BQ638" s="51"/>
      <c r="BR638" s="56"/>
      <c r="BS638" s="111"/>
      <c r="BT638" s="36"/>
      <c r="BU638" s="112"/>
    </row>
    <row r="639" s="1" customFormat="1" customHeight="1" spans="1:73">
      <c r="A639" s="37" t="s">
        <v>1132</v>
      </c>
      <c r="B639" s="15">
        <v>255</v>
      </c>
      <c r="C639" s="16">
        <v>22</v>
      </c>
      <c r="D639" s="29"/>
      <c r="E639" s="30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30"/>
      <c r="AH639" s="29"/>
      <c r="AI639" s="29"/>
      <c r="AJ639" s="29"/>
      <c r="AK639" s="30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0">
        <f t="shared" si="80"/>
        <v>0</v>
      </c>
      <c r="BO639" s="20">
        <f t="shared" si="81"/>
        <v>0</v>
      </c>
      <c r="BP639" s="20">
        <f t="shared" si="82"/>
        <v>22</v>
      </c>
      <c r="BQ639" s="51">
        <f t="shared" ref="BQ639:BQ647" si="85">B639*BP639/1000</f>
        <v>5.61</v>
      </c>
      <c r="BR639" s="56" t="s">
        <v>1133</v>
      </c>
      <c r="BS639" s="91" t="s">
        <v>1095</v>
      </c>
      <c r="BT639" s="36"/>
      <c r="BU639" s="35" t="s">
        <v>1134</v>
      </c>
    </row>
    <row r="640" s="1" customFormat="1" customHeight="1" spans="1:73">
      <c r="A640" s="37" t="s">
        <v>1135</v>
      </c>
      <c r="B640" s="15">
        <v>140</v>
      </c>
      <c r="C640" s="16">
        <v>27</v>
      </c>
      <c r="D640" s="29"/>
      <c r="E640" s="30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30"/>
      <c r="AH640" s="29"/>
      <c r="AI640" s="29"/>
      <c r="AJ640" s="29"/>
      <c r="AK640" s="30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0">
        <f t="shared" si="80"/>
        <v>0</v>
      </c>
      <c r="BO640" s="20">
        <f t="shared" si="81"/>
        <v>0</v>
      </c>
      <c r="BP640" s="20">
        <f t="shared" si="82"/>
        <v>27</v>
      </c>
      <c r="BQ640" s="51">
        <f t="shared" si="85"/>
        <v>3.78</v>
      </c>
      <c r="BR640" s="56" t="s">
        <v>1136</v>
      </c>
      <c r="BS640" s="91" t="s">
        <v>1095</v>
      </c>
      <c r="BT640" s="36" t="s">
        <v>1137</v>
      </c>
      <c r="BU640" s="35" t="s">
        <v>1134</v>
      </c>
    </row>
    <row r="641" s="1" customFormat="1" customHeight="1" spans="1:73">
      <c r="A641" s="37" t="s">
        <v>1135</v>
      </c>
      <c r="B641" s="15">
        <v>384</v>
      </c>
      <c r="C641" s="16">
        <v>52</v>
      </c>
      <c r="D641" s="29"/>
      <c r="E641" s="30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30"/>
      <c r="AH641" s="29"/>
      <c r="AI641" s="29"/>
      <c r="AJ641" s="29"/>
      <c r="AK641" s="30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0">
        <f t="shared" si="80"/>
        <v>0</v>
      </c>
      <c r="BO641" s="20">
        <f t="shared" si="81"/>
        <v>0</v>
      </c>
      <c r="BP641" s="20">
        <f t="shared" si="82"/>
        <v>52</v>
      </c>
      <c r="BQ641" s="51">
        <f t="shared" si="85"/>
        <v>19.968</v>
      </c>
      <c r="BR641" s="56" t="s">
        <v>1138</v>
      </c>
      <c r="BS641" s="91" t="s">
        <v>1139</v>
      </c>
      <c r="BT641" s="36" t="s">
        <v>1140</v>
      </c>
      <c r="BU641" s="35" t="s">
        <v>1134</v>
      </c>
    </row>
    <row r="642" s="1" customFormat="1" customHeight="1" spans="1:73">
      <c r="A642" s="66" t="s">
        <v>1141</v>
      </c>
      <c r="B642" s="15">
        <v>270</v>
      </c>
      <c r="C642" s="16">
        <v>10</v>
      </c>
      <c r="D642" s="29"/>
      <c r="E642" s="30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30"/>
      <c r="R642" s="29"/>
      <c r="S642" s="29"/>
      <c r="T642" s="29"/>
      <c r="U642" s="29"/>
      <c r="V642" s="29"/>
      <c r="W642" s="29"/>
      <c r="X642" s="29"/>
      <c r="Y642" s="30"/>
      <c r="Z642" s="29"/>
      <c r="AA642" s="29"/>
      <c r="AB642" s="29"/>
      <c r="AC642" s="29"/>
      <c r="AD642" s="29"/>
      <c r="AE642" s="29"/>
      <c r="AF642" s="29"/>
      <c r="AG642" s="30"/>
      <c r="AH642" s="29"/>
      <c r="AI642" s="29"/>
      <c r="AJ642" s="29"/>
      <c r="AK642" s="30"/>
      <c r="AL642" s="29"/>
      <c r="AM642" s="30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30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0">
        <f t="shared" si="80"/>
        <v>0</v>
      </c>
      <c r="BO642" s="20">
        <f t="shared" si="81"/>
        <v>0</v>
      </c>
      <c r="BP642" s="20">
        <f t="shared" si="82"/>
        <v>10</v>
      </c>
      <c r="BQ642" s="51">
        <f t="shared" si="85"/>
        <v>2.7</v>
      </c>
      <c r="BR642" s="56" t="s">
        <v>1142</v>
      </c>
      <c r="BS642" s="91" t="s">
        <v>1143</v>
      </c>
      <c r="BT642" s="36" t="s">
        <v>1144</v>
      </c>
      <c r="BU642" s="35" t="s">
        <v>1134</v>
      </c>
    </row>
    <row r="643" s="1" customFormat="1" customHeight="1" spans="1:73">
      <c r="A643" s="66" t="s">
        <v>1141</v>
      </c>
      <c r="B643" s="15">
        <v>189</v>
      </c>
      <c r="C643" s="16">
        <v>56</v>
      </c>
      <c r="D643" s="29"/>
      <c r="E643" s="30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30"/>
      <c r="R643" s="29"/>
      <c r="S643" s="29"/>
      <c r="T643" s="29"/>
      <c r="U643" s="29"/>
      <c r="V643" s="29"/>
      <c r="W643" s="29"/>
      <c r="X643" s="29"/>
      <c r="Y643" s="30"/>
      <c r="Z643" s="29"/>
      <c r="AA643" s="29"/>
      <c r="AB643" s="29"/>
      <c r="AC643" s="29"/>
      <c r="AD643" s="29"/>
      <c r="AE643" s="29"/>
      <c r="AF643" s="29"/>
      <c r="AG643" s="30"/>
      <c r="AH643" s="29"/>
      <c r="AI643" s="29"/>
      <c r="AJ643" s="29"/>
      <c r="AK643" s="30"/>
      <c r="AL643" s="29"/>
      <c r="AM643" s="30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30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0">
        <f t="shared" si="80"/>
        <v>0</v>
      </c>
      <c r="BO643" s="20">
        <f t="shared" si="81"/>
        <v>0</v>
      </c>
      <c r="BP643" s="20">
        <f t="shared" si="82"/>
        <v>56</v>
      </c>
      <c r="BQ643" s="51">
        <f t="shared" si="85"/>
        <v>10.584</v>
      </c>
      <c r="BR643" s="56" t="s">
        <v>667</v>
      </c>
      <c r="BS643" s="91" t="s">
        <v>795</v>
      </c>
      <c r="BT643" s="36" t="s">
        <v>1144</v>
      </c>
      <c r="BU643" s="35" t="s">
        <v>1134</v>
      </c>
    </row>
    <row r="644" s="1" customFormat="1" customHeight="1" spans="1:73">
      <c r="A644" s="66" t="s">
        <v>1141</v>
      </c>
      <c r="B644" s="15">
        <v>274</v>
      </c>
      <c r="C644" s="16">
        <v>55</v>
      </c>
      <c r="D644" s="29"/>
      <c r="E644" s="30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30"/>
      <c r="R644" s="29"/>
      <c r="S644" s="29"/>
      <c r="T644" s="29"/>
      <c r="U644" s="29"/>
      <c r="V644" s="29"/>
      <c r="W644" s="29"/>
      <c r="X644" s="29"/>
      <c r="Y644" s="30"/>
      <c r="Z644" s="29"/>
      <c r="AA644" s="29"/>
      <c r="AB644" s="29"/>
      <c r="AC644" s="29"/>
      <c r="AD644" s="29"/>
      <c r="AE644" s="29"/>
      <c r="AF644" s="29"/>
      <c r="AG644" s="30"/>
      <c r="AH644" s="29"/>
      <c r="AI644" s="29"/>
      <c r="AJ644" s="29"/>
      <c r="AK644" s="30"/>
      <c r="AL644" s="29"/>
      <c r="AM644" s="30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30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0">
        <f t="shared" si="80"/>
        <v>0</v>
      </c>
      <c r="BO644" s="20">
        <f t="shared" si="81"/>
        <v>0</v>
      </c>
      <c r="BP644" s="20">
        <f t="shared" si="82"/>
        <v>55</v>
      </c>
      <c r="BQ644" s="51">
        <f t="shared" si="85"/>
        <v>15.07</v>
      </c>
      <c r="BR644" s="56" t="s">
        <v>667</v>
      </c>
      <c r="BS644" s="91" t="s">
        <v>668</v>
      </c>
      <c r="BT644" s="36" t="s">
        <v>1144</v>
      </c>
      <c r="BU644" s="35" t="s">
        <v>1134</v>
      </c>
    </row>
    <row r="645" s="1" customFormat="1" customHeight="1" spans="1:73">
      <c r="A645" s="66" t="s">
        <v>1141</v>
      </c>
      <c r="B645" s="15">
        <v>652</v>
      </c>
      <c r="C645" s="16">
        <v>55</v>
      </c>
      <c r="D645" s="29"/>
      <c r="E645" s="30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30"/>
      <c r="R645" s="29"/>
      <c r="S645" s="29"/>
      <c r="T645" s="29"/>
      <c r="U645" s="29"/>
      <c r="V645" s="29"/>
      <c r="W645" s="29"/>
      <c r="X645" s="29"/>
      <c r="Y645" s="30"/>
      <c r="Z645" s="29"/>
      <c r="AA645" s="29"/>
      <c r="AB645" s="29"/>
      <c r="AC645" s="29"/>
      <c r="AD645" s="29"/>
      <c r="AE645" s="29"/>
      <c r="AF645" s="29"/>
      <c r="AG645" s="30"/>
      <c r="AH645" s="29"/>
      <c r="AI645" s="29"/>
      <c r="AJ645" s="29"/>
      <c r="AK645" s="30"/>
      <c r="AL645" s="29"/>
      <c r="AM645" s="30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30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0">
        <f t="shared" si="80"/>
        <v>0</v>
      </c>
      <c r="BO645" s="20">
        <f t="shared" si="81"/>
        <v>0</v>
      </c>
      <c r="BP645" s="20">
        <f t="shared" si="82"/>
        <v>55</v>
      </c>
      <c r="BQ645" s="51">
        <f t="shared" si="85"/>
        <v>35.86</v>
      </c>
      <c r="BR645" s="56" t="s">
        <v>213</v>
      </c>
      <c r="BS645" s="91" t="s">
        <v>795</v>
      </c>
      <c r="BT645" s="36" t="s">
        <v>1144</v>
      </c>
      <c r="BU645" s="35" t="s">
        <v>1134</v>
      </c>
    </row>
    <row r="646" s="1" customFormat="1" customHeight="1" spans="1:73">
      <c r="A646" s="66" t="s">
        <v>1145</v>
      </c>
      <c r="B646" s="15">
        <v>90</v>
      </c>
      <c r="C646" s="16">
        <v>27</v>
      </c>
      <c r="D646" s="29"/>
      <c r="E646" s="30"/>
      <c r="F646" s="29"/>
      <c r="G646" s="29"/>
      <c r="H646" s="29"/>
      <c r="I646" s="29"/>
      <c r="J646" s="29"/>
      <c r="K646" s="29"/>
      <c r="L646" s="29"/>
      <c r="M646" s="29">
        <v>4</v>
      </c>
      <c r="N646" s="29"/>
      <c r="O646" s="29"/>
      <c r="P646" s="29"/>
      <c r="Q646" s="30"/>
      <c r="R646" s="29"/>
      <c r="S646" s="29"/>
      <c r="T646" s="29"/>
      <c r="U646" s="29"/>
      <c r="V646" s="29"/>
      <c r="W646" s="29"/>
      <c r="X646" s="29"/>
      <c r="Y646" s="30"/>
      <c r="Z646" s="29"/>
      <c r="AA646" s="29"/>
      <c r="AB646" s="29"/>
      <c r="AC646" s="29"/>
      <c r="AD646" s="29"/>
      <c r="AE646" s="29"/>
      <c r="AF646" s="29"/>
      <c r="AG646" s="30"/>
      <c r="AH646" s="29"/>
      <c r="AI646" s="29"/>
      <c r="AJ646" s="29"/>
      <c r="AK646" s="30"/>
      <c r="AL646" s="29"/>
      <c r="AM646" s="30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30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0">
        <f t="shared" si="80"/>
        <v>0</v>
      </c>
      <c r="BO646" s="20">
        <f t="shared" si="81"/>
        <v>4</v>
      </c>
      <c r="BP646" s="20">
        <f t="shared" si="82"/>
        <v>23</v>
      </c>
      <c r="BQ646" s="51">
        <f t="shared" si="85"/>
        <v>2.07</v>
      </c>
      <c r="BR646" s="56" t="s">
        <v>488</v>
      </c>
      <c r="BS646" s="91" t="s">
        <v>1146</v>
      </c>
      <c r="BT646" s="36" t="s">
        <v>1147</v>
      </c>
      <c r="BU646" s="35" t="s">
        <v>1134</v>
      </c>
    </row>
    <row r="647" s="1" customFormat="1" customHeight="1" spans="1:73">
      <c r="A647" s="66" t="s">
        <v>1148</v>
      </c>
      <c r="B647" s="15">
        <v>130</v>
      </c>
      <c r="C647" s="16">
        <v>33</v>
      </c>
      <c r="D647" s="29"/>
      <c r="E647" s="30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30"/>
      <c r="R647" s="29"/>
      <c r="S647" s="29"/>
      <c r="T647" s="29"/>
      <c r="U647" s="29"/>
      <c r="V647" s="29"/>
      <c r="W647" s="29"/>
      <c r="X647" s="29"/>
      <c r="Y647" s="30"/>
      <c r="Z647" s="29"/>
      <c r="AA647" s="29"/>
      <c r="AB647" s="29"/>
      <c r="AC647" s="29"/>
      <c r="AD647" s="29"/>
      <c r="AE647" s="29"/>
      <c r="AF647" s="29"/>
      <c r="AG647" s="30"/>
      <c r="AH647" s="29"/>
      <c r="AI647" s="29"/>
      <c r="AJ647" s="29"/>
      <c r="AK647" s="30"/>
      <c r="AL647" s="29"/>
      <c r="AM647" s="30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30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0">
        <f t="shared" si="80"/>
        <v>0</v>
      </c>
      <c r="BO647" s="20">
        <f t="shared" si="81"/>
        <v>0</v>
      </c>
      <c r="BP647" s="20">
        <f t="shared" si="82"/>
        <v>33</v>
      </c>
      <c r="BQ647" s="51">
        <f t="shared" si="85"/>
        <v>4.29</v>
      </c>
      <c r="BR647" s="56" t="s">
        <v>161</v>
      </c>
      <c r="BS647" s="91" t="s">
        <v>1149</v>
      </c>
      <c r="BT647" s="36"/>
      <c r="BU647" s="35" t="s">
        <v>1134</v>
      </c>
    </row>
    <row r="648" s="1" customFormat="1" customHeight="1" spans="1:73">
      <c r="A648" s="53" t="s">
        <v>1150</v>
      </c>
      <c r="B648" s="15"/>
      <c r="C648" s="16"/>
      <c r="D648" s="29"/>
      <c r="E648" s="30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30"/>
      <c r="X648" s="29"/>
      <c r="Y648" s="29"/>
      <c r="Z648" s="29"/>
      <c r="AA648" s="29"/>
      <c r="AB648" s="29"/>
      <c r="AC648" s="29"/>
      <c r="AD648" s="29"/>
      <c r="AE648" s="29"/>
      <c r="AF648" s="29"/>
      <c r="AG648" s="30"/>
      <c r="AH648" s="29"/>
      <c r="AI648" s="29"/>
      <c r="AJ648" s="29"/>
      <c r="AK648" s="30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0">
        <f t="shared" si="80"/>
        <v>0</v>
      </c>
      <c r="BO648" s="20">
        <f t="shared" si="81"/>
        <v>0</v>
      </c>
      <c r="BP648" s="20">
        <f t="shared" si="82"/>
        <v>0</v>
      </c>
      <c r="BQ648" s="51"/>
      <c r="BR648" s="56"/>
      <c r="BS648" s="111"/>
      <c r="BT648" s="36"/>
      <c r="BU648" s="35"/>
    </row>
    <row r="649" s="1" customFormat="1" customHeight="1" spans="1:73">
      <c r="A649" s="15" t="s">
        <v>1151</v>
      </c>
      <c r="B649" s="15">
        <v>170</v>
      </c>
      <c r="C649" s="16">
        <v>30</v>
      </c>
      <c r="D649" s="29"/>
      <c r="E649" s="30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30"/>
      <c r="AH649" s="29"/>
      <c r="AI649" s="29"/>
      <c r="AJ649" s="29"/>
      <c r="AK649" s="30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0">
        <f t="shared" si="80"/>
        <v>0</v>
      </c>
      <c r="BO649" s="20">
        <f t="shared" si="81"/>
        <v>0</v>
      </c>
      <c r="BP649" s="20">
        <f t="shared" si="82"/>
        <v>30</v>
      </c>
      <c r="BQ649" s="51">
        <f t="shared" ref="BQ649:BQ651" si="86">B649*BP649/1000</f>
        <v>5.1</v>
      </c>
      <c r="BR649" s="56" t="s">
        <v>1152</v>
      </c>
      <c r="BS649" s="91" t="s">
        <v>1095</v>
      </c>
      <c r="BT649" s="36"/>
      <c r="BU649" s="35" t="s">
        <v>1153</v>
      </c>
    </row>
    <row r="650" s="1" customFormat="1" customHeight="1" spans="1:73">
      <c r="A650" s="15" t="s">
        <v>1151</v>
      </c>
      <c r="B650" s="15">
        <v>295</v>
      </c>
      <c r="C650" s="16">
        <v>25</v>
      </c>
      <c r="D650" s="29"/>
      <c r="E650" s="30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30"/>
      <c r="AH650" s="29"/>
      <c r="AI650" s="29"/>
      <c r="AJ650" s="29"/>
      <c r="AK650" s="30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0">
        <f t="shared" si="80"/>
        <v>0</v>
      </c>
      <c r="BO650" s="20">
        <f t="shared" si="81"/>
        <v>0</v>
      </c>
      <c r="BP650" s="20">
        <f t="shared" si="82"/>
        <v>25</v>
      </c>
      <c r="BQ650" s="51">
        <f t="shared" si="86"/>
        <v>7.375</v>
      </c>
      <c r="BR650" s="56" t="s">
        <v>1154</v>
      </c>
      <c r="BS650" s="91" t="s">
        <v>1155</v>
      </c>
      <c r="BT650" s="36"/>
      <c r="BU650" s="35" t="s">
        <v>1153</v>
      </c>
    </row>
    <row r="651" s="1" customFormat="1" customHeight="1" spans="1:73">
      <c r="A651" s="15" t="s">
        <v>1151</v>
      </c>
      <c r="B651" s="15">
        <v>315</v>
      </c>
      <c r="C651" s="16">
        <v>100</v>
      </c>
      <c r="D651" s="29"/>
      <c r="E651" s="30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30"/>
      <c r="AH651" s="29"/>
      <c r="AI651" s="29"/>
      <c r="AJ651" s="29"/>
      <c r="AK651" s="30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0">
        <f t="shared" si="80"/>
        <v>0</v>
      </c>
      <c r="BO651" s="20">
        <f t="shared" si="81"/>
        <v>0</v>
      </c>
      <c r="BP651" s="20">
        <f t="shared" si="82"/>
        <v>100</v>
      </c>
      <c r="BQ651" s="51">
        <f t="shared" si="86"/>
        <v>31.5</v>
      </c>
      <c r="BR651" s="56" t="s">
        <v>1154</v>
      </c>
      <c r="BS651" s="91" t="s">
        <v>1155</v>
      </c>
      <c r="BT651" s="36"/>
      <c r="BU651" s="35" t="s">
        <v>1153</v>
      </c>
    </row>
    <row r="652" s="1" customFormat="1" customHeight="1" spans="1:73">
      <c r="A652" s="53" t="s">
        <v>1156</v>
      </c>
      <c r="B652" s="15"/>
      <c r="C652" s="16"/>
      <c r="D652" s="29"/>
      <c r="E652" s="30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30"/>
      <c r="X652" s="29"/>
      <c r="Y652" s="29"/>
      <c r="Z652" s="29"/>
      <c r="AA652" s="29"/>
      <c r="AB652" s="29"/>
      <c r="AC652" s="29"/>
      <c r="AD652" s="29"/>
      <c r="AE652" s="29"/>
      <c r="AF652" s="29"/>
      <c r="AG652" s="30"/>
      <c r="AH652" s="29"/>
      <c r="AI652" s="29"/>
      <c r="AJ652" s="29"/>
      <c r="AK652" s="30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0">
        <f t="shared" si="80"/>
        <v>0</v>
      </c>
      <c r="BO652" s="20">
        <f t="shared" si="81"/>
        <v>0</v>
      </c>
      <c r="BP652" s="20">
        <f t="shared" si="82"/>
        <v>0</v>
      </c>
      <c r="BQ652" s="51"/>
      <c r="BR652" s="56"/>
      <c r="BS652" s="111"/>
      <c r="BT652" s="36"/>
      <c r="BU652" s="112"/>
    </row>
    <row r="653" s="1" customFormat="1" customHeight="1" spans="1:73">
      <c r="A653" s="15" t="s">
        <v>1157</v>
      </c>
      <c r="B653" s="15">
        <v>60</v>
      </c>
      <c r="C653" s="16">
        <v>38.5</v>
      </c>
      <c r="D653" s="29"/>
      <c r="E653" s="30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30"/>
      <c r="AH653" s="29"/>
      <c r="AI653" s="29"/>
      <c r="AJ653" s="29"/>
      <c r="AK653" s="30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0">
        <f t="shared" si="80"/>
        <v>0</v>
      </c>
      <c r="BO653" s="20">
        <f t="shared" si="81"/>
        <v>0</v>
      </c>
      <c r="BP653" s="20">
        <f t="shared" si="82"/>
        <v>38.5</v>
      </c>
      <c r="BQ653" s="51">
        <f t="shared" ref="BQ653:BQ656" si="87">B653*BP653/1000</f>
        <v>2.31</v>
      </c>
      <c r="BR653" s="56" t="s">
        <v>1158</v>
      </c>
      <c r="BS653" s="91" t="s">
        <v>1095</v>
      </c>
      <c r="BT653" s="36" t="s">
        <v>71</v>
      </c>
      <c r="BU653" s="35" t="s">
        <v>1159</v>
      </c>
    </row>
    <row r="654" s="1" customFormat="1" customHeight="1" spans="1:73">
      <c r="A654" s="15" t="s">
        <v>1157</v>
      </c>
      <c r="B654" s="15">
        <v>70</v>
      </c>
      <c r="C654" s="16">
        <v>10</v>
      </c>
      <c r="D654" s="29"/>
      <c r="E654" s="30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30"/>
      <c r="AH654" s="29"/>
      <c r="AI654" s="29"/>
      <c r="AJ654" s="29"/>
      <c r="AK654" s="30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0">
        <f t="shared" si="80"/>
        <v>0</v>
      </c>
      <c r="BO654" s="20">
        <f t="shared" si="81"/>
        <v>0</v>
      </c>
      <c r="BP654" s="20">
        <f t="shared" si="82"/>
        <v>10</v>
      </c>
      <c r="BQ654" s="51">
        <f t="shared" si="87"/>
        <v>0.7</v>
      </c>
      <c r="BR654" s="56" t="s">
        <v>959</v>
      </c>
      <c r="BS654" s="91" t="s">
        <v>1095</v>
      </c>
      <c r="BT654" s="36"/>
      <c r="BU654" s="35" t="s">
        <v>1159</v>
      </c>
    </row>
    <row r="655" s="1" customFormat="1" customHeight="1" spans="1:73">
      <c r="A655" s="39" t="s">
        <v>1157</v>
      </c>
      <c r="B655" s="39">
        <v>280</v>
      </c>
      <c r="C655" s="29">
        <v>66</v>
      </c>
      <c r="D655" s="29"/>
      <c r="E655" s="30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30"/>
      <c r="AH655" s="29"/>
      <c r="AI655" s="29"/>
      <c r="AJ655" s="29"/>
      <c r="AK655" s="30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0">
        <f t="shared" si="80"/>
        <v>0</v>
      </c>
      <c r="BO655" s="20">
        <f t="shared" si="81"/>
        <v>0</v>
      </c>
      <c r="BP655" s="20">
        <f t="shared" si="82"/>
        <v>66</v>
      </c>
      <c r="BQ655" s="55">
        <f t="shared" si="87"/>
        <v>18.48</v>
      </c>
      <c r="BR655" s="68" t="s">
        <v>681</v>
      </c>
      <c r="BS655" s="91" t="s">
        <v>682</v>
      </c>
      <c r="BT655" s="36"/>
      <c r="BU655" s="44" t="s">
        <v>1159</v>
      </c>
    </row>
    <row r="656" s="1" customFormat="1" customHeight="1" spans="1:73">
      <c r="A656" s="39" t="s">
        <v>1157</v>
      </c>
      <c r="B656" s="39">
        <v>304</v>
      </c>
      <c r="C656" s="29">
        <v>44</v>
      </c>
      <c r="D656" s="29"/>
      <c r="E656" s="30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30"/>
      <c r="AH656" s="29"/>
      <c r="AI656" s="29"/>
      <c r="AJ656" s="29"/>
      <c r="AK656" s="30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0">
        <f t="shared" si="80"/>
        <v>0</v>
      </c>
      <c r="BO656" s="20">
        <f t="shared" si="81"/>
        <v>0</v>
      </c>
      <c r="BP656" s="20">
        <f t="shared" si="82"/>
        <v>44</v>
      </c>
      <c r="BQ656" s="55">
        <f t="shared" si="87"/>
        <v>13.376</v>
      </c>
      <c r="BR656" s="68" t="s">
        <v>681</v>
      </c>
      <c r="BS656" s="91" t="s">
        <v>682</v>
      </c>
      <c r="BT656" s="36"/>
      <c r="BU656" s="44" t="s">
        <v>1159</v>
      </c>
    </row>
    <row r="657" s="1" customFormat="1" customHeight="1" spans="1:73">
      <c r="A657" s="53" t="s">
        <v>1160</v>
      </c>
      <c r="B657" s="15"/>
      <c r="C657" s="16"/>
      <c r="D657" s="29"/>
      <c r="E657" s="30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30"/>
      <c r="AH657" s="29"/>
      <c r="AI657" s="29"/>
      <c r="AJ657" s="29"/>
      <c r="AK657" s="30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0">
        <f t="shared" si="80"/>
        <v>0</v>
      </c>
      <c r="BO657" s="20">
        <f t="shared" si="81"/>
        <v>0</v>
      </c>
      <c r="BP657" s="20">
        <f t="shared" si="82"/>
        <v>0</v>
      </c>
      <c r="BQ657" s="51"/>
      <c r="BR657" s="56"/>
      <c r="BS657" s="91"/>
      <c r="BT657" s="36"/>
      <c r="BU657" s="35"/>
    </row>
    <row r="658" s="1" customFormat="1" customHeight="1" spans="1:73">
      <c r="A658" s="15" t="s">
        <v>1161</v>
      </c>
      <c r="B658" s="15">
        <v>165</v>
      </c>
      <c r="C658" s="16">
        <v>60</v>
      </c>
      <c r="D658" s="29"/>
      <c r="E658" s="30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30"/>
      <c r="AH658" s="29"/>
      <c r="AI658" s="29"/>
      <c r="AJ658" s="29"/>
      <c r="AK658" s="30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0">
        <f t="shared" si="80"/>
        <v>0</v>
      </c>
      <c r="BO658" s="20">
        <f t="shared" si="81"/>
        <v>0</v>
      </c>
      <c r="BP658" s="20">
        <f t="shared" si="82"/>
        <v>60</v>
      </c>
      <c r="BQ658" s="51">
        <f t="shared" ref="BQ658:BQ661" si="88">B658*BP658/1000</f>
        <v>9.9</v>
      </c>
      <c r="BR658" s="56" t="s">
        <v>1162</v>
      </c>
      <c r="BS658" s="91" t="s">
        <v>1095</v>
      </c>
      <c r="BT658" s="36"/>
      <c r="BU658" s="35" t="s">
        <v>1159</v>
      </c>
    </row>
    <row r="659" s="1" customFormat="1" customHeight="1" spans="1:73">
      <c r="A659" s="37" t="s">
        <v>1163</v>
      </c>
      <c r="B659" s="15">
        <v>100</v>
      </c>
      <c r="C659" s="16">
        <v>50</v>
      </c>
      <c r="D659" s="29"/>
      <c r="E659" s="30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30"/>
      <c r="AH659" s="29"/>
      <c r="AI659" s="29"/>
      <c r="AJ659" s="29"/>
      <c r="AK659" s="30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0">
        <f t="shared" si="80"/>
        <v>0</v>
      </c>
      <c r="BO659" s="20">
        <f t="shared" si="81"/>
        <v>0</v>
      </c>
      <c r="BP659" s="20">
        <f t="shared" si="82"/>
        <v>50</v>
      </c>
      <c r="BQ659" s="51">
        <f t="shared" si="88"/>
        <v>5</v>
      </c>
      <c r="BR659" s="56" t="s">
        <v>1164</v>
      </c>
      <c r="BS659" s="91" t="s">
        <v>1165</v>
      </c>
      <c r="BT659" s="36"/>
      <c r="BU659" s="35" t="s">
        <v>1159</v>
      </c>
    </row>
    <row r="660" s="1" customFormat="1" customHeight="1" spans="1:73">
      <c r="A660" s="37" t="s">
        <v>1166</v>
      </c>
      <c r="B660" s="15">
        <v>170</v>
      </c>
      <c r="C660" s="16">
        <v>2</v>
      </c>
      <c r="D660" s="29"/>
      <c r="E660" s="30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30"/>
      <c r="AH660" s="29"/>
      <c r="AI660" s="29"/>
      <c r="AJ660" s="29"/>
      <c r="AK660" s="30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0">
        <f t="shared" si="80"/>
        <v>0</v>
      </c>
      <c r="BO660" s="20">
        <f t="shared" si="81"/>
        <v>0</v>
      </c>
      <c r="BP660" s="20">
        <f t="shared" si="82"/>
        <v>2</v>
      </c>
      <c r="BQ660" s="51">
        <f t="shared" si="88"/>
        <v>0.34</v>
      </c>
      <c r="BR660" s="56" t="s">
        <v>1167</v>
      </c>
      <c r="BS660" s="91" t="s">
        <v>1095</v>
      </c>
      <c r="BT660" s="36"/>
      <c r="BU660" s="35" t="s">
        <v>1159</v>
      </c>
    </row>
    <row r="661" s="1" customFormat="1" customHeight="1" spans="1:73">
      <c r="A661" s="37" t="s">
        <v>1168</v>
      </c>
      <c r="B661" s="15">
        <v>250</v>
      </c>
      <c r="C661" s="16">
        <v>2.5</v>
      </c>
      <c r="D661" s="29"/>
      <c r="E661" s="30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30"/>
      <c r="AH661" s="29"/>
      <c r="AI661" s="29"/>
      <c r="AJ661" s="29"/>
      <c r="AK661" s="30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0">
        <f t="shared" si="80"/>
        <v>0</v>
      </c>
      <c r="BO661" s="20">
        <f t="shared" si="81"/>
        <v>0</v>
      </c>
      <c r="BP661" s="20">
        <f t="shared" si="82"/>
        <v>2.5</v>
      </c>
      <c r="BQ661" s="51">
        <f t="shared" si="88"/>
        <v>0.625</v>
      </c>
      <c r="BR661" s="56" t="s">
        <v>1169</v>
      </c>
      <c r="BS661" s="91" t="s">
        <v>1170</v>
      </c>
      <c r="BT661" s="36"/>
      <c r="BU661" s="35" t="s">
        <v>1159</v>
      </c>
    </row>
    <row r="662" s="1" customFormat="1" customHeight="1" spans="1:73">
      <c r="A662" s="141" t="s">
        <v>1171</v>
      </c>
      <c r="B662" s="15"/>
      <c r="C662" s="16"/>
      <c r="D662" s="29"/>
      <c r="E662" s="30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30"/>
      <c r="X662" s="29"/>
      <c r="Y662" s="29"/>
      <c r="Z662" s="29"/>
      <c r="AA662" s="29"/>
      <c r="AB662" s="29"/>
      <c r="AC662" s="29"/>
      <c r="AD662" s="29"/>
      <c r="AE662" s="29"/>
      <c r="AF662" s="29"/>
      <c r="AG662" s="30"/>
      <c r="AH662" s="29"/>
      <c r="AI662" s="29"/>
      <c r="AJ662" s="29"/>
      <c r="AK662" s="30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0">
        <f t="shared" si="80"/>
        <v>0</v>
      </c>
      <c r="BO662" s="20">
        <f t="shared" si="81"/>
        <v>0</v>
      </c>
      <c r="BP662" s="20">
        <f t="shared" si="82"/>
        <v>0</v>
      </c>
      <c r="BQ662" s="51"/>
      <c r="BR662" s="56"/>
      <c r="BS662" s="111"/>
      <c r="BT662" s="36"/>
      <c r="BU662" s="112"/>
    </row>
    <row r="663" s="1" customFormat="1" customHeight="1" spans="1:73">
      <c r="A663" s="37" t="s">
        <v>1172</v>
      </c>
      <c r="B663" s="15">
        <v>60</v>
      </c>
      <c r="C663" s="16">
        <v>66</v>
      </c>
      <c r="D663" s="29"/>
      <c r="E663" s="30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30"/>
      <c r="X663" s="29"/>
      <c r="Y663" s="29"/>
      <c r="Z663" s="29"/>
      <c r="AA663" s="29"/>
      <c r="AB663" s="29"/>
      <c r="AC663" s="29"/>
      <c r="AD663" s="29"/>
      <c r="AE663" s="29"/>
      <c r="AF663" s="29"/>
      <c r="AG663" s="30"/>
      <c r="AH663" s="29"/>
      <c r="AI663" s="29"/>
      <c r="AJ663" s="29"/>
      <c r="AK663" s="30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0">
        <f t="shared" si="80"/>
        <v>0</v>
      </c>
      <c r="BO663" s="20">
        <f t="shared" si="81"/>
        <v>0</v>
      </c>
      <c r="BP663" s="20">
        <f t="shared" si="82"/>
        <v>66</v>
      </c>
      <c r="BQ663" s="51">
        <f t="shared" ref="BQ663:BQ665" si="89">B663*BP663/1000</f>
        <v>3.96</v>
      </c>
      <c r="BR663" s="56" t="s">
        <v>238</v>
      </c>
      <c r="BS663" s="91" t="s">
        <v>1173</v>
      </c>
      <c r="BT663" s="142" t="s">
        <v>1174</v>
      </c>
      <c r="BU663" s="35" t="s">
        <v>1175</v>
      </c>
    </row>
    <row r="664" s="1" customFormat="1" customHeight="1" spans="1:73">
      <c r="A664" s="37" t="s">
        <v>1172</v>
      </c>
      <c r="B664" s="15">
        <v>200</v>
      </c>
      <c r="C664" s="16">
        <v>25</v>
      </c>
      <c r="D664" s="29"/>
      <c r="E664" s="30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30"/>
      <c r="X664" s="29"/>
      <c r="Y664" s="29"/>
      <c r="Z664" s="29"/>
      <c r="AA664" s="29"/>
      <c r="AB664" s="29"/>
      <c r="AC664" s="29"/>
      <c r="AD664" s="29"/>
      <c r="AE664" s="29"/>
      <c r="AF664" s="29"/>
      <c r="AG664" s="30"/>
      <c r="AH664" s="29"/>
      <c r="AI664" s="29"/>
      <c r="AJ664" s="29"/>
      <c r="AK664" s="30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0">
        <f t="shared" si="80"/>
        <v>0</v>
      </c>
      <c r="BO664" s="20">
        <f t="shared" si="81"/>
        <v>0</v>
      </c>
      <c r="BP664" s="20">
        <f t="shared" si="82"/>
        <v>25</v>
      </c>
      <c r="BQ664" s="51">
        <f t="shared" si="89"/>
        <v>5</v>
      </c>
      <c r="BR664" s="56" t="s">
        <v>1176</v>
      </c>
      <c r="BS664" s="91" t="s">
        <v>1177</v>
      </c>
      <c r="BT664" s="142"/>
      <c r="BU664" s="35" t="s">
        <v>1175</v>
      </c>
    </row>
    <row r="665" s="1" customFormat="1" customHeight="1" spans="1:73">
      <c r="A665" s="37" t="s">
        <v>1172</v>
      </c>
      <c r="B665" s="15">
        <v>255</v>
      </c>
      <c r="C665" s="16">
        <v>20</v>
      </c>
      <c r="D665" s="29"/>
      <c r="E665" s="30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30"/>
      <c r="X665" s="29"/>
      <c r="Y665" s="29"/>
      <c r="Z665" s="29"/>
      <c r="AA665" s="29"/>
      <c r="AB665" s="29"/>
      <c r="AC665" s="29"/>
      <c r="AD665" s="29"/>
      <c r="AE665" s="29"/>
      <c r="AF665" s="29"/>
      <c r="AG665" s="30"/>
      <c r="AH665" s="29"/>
      <c r="AI665" s="29"/>
      <c r="AJ665" s="29"/>
      <c r="AK665" s="30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0">
        <f t="shared" si="80"/>
        <v>0</v>
      </c>
      <c r="BO665" s="20">
        <f t="shared" si="81"/>
        <v>0</v>
      </c>
      <c r="BP665" s="20">
        <f t="shared" si="82"/>
        <v>20</v>
      </c>
      <c r="BQ665" s="51">
        <f t="shared" si="89"/>
        <v>5.1</v>
      </c>
      <c r="BR665" s="56" t="s">
        <v>1178</v>
      </c>
      <c r="BS665" s="91" t="s">
        <v>1179</v>
      </c>
      <c r="BT665" s="142" t="s">
        <v>1180</v>
      </c>
      <c r="BU665" s="35" t="s">
        <v>1175</v>
      </c>
    </row>
    <row r="666" s="1" customFormat="1" customHeight="1" spans="1:73">
      <c r="A666" s="53" t="s">
        <v>1181</v>
      </c>
      <c r="B666" s="15"/>
      <c r="C666" s="16"/>
      <c r="D666" s="29"/>
      <c r="E666" s="30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30"/>
      <c r="X666" s="29"/>
      <c r="Y666" s="29"/>
      <c r="Z666" s="29"/>
      <c r="AA666" s="29"/>
      <c r="AB666" s="29"/>
      <c r="AC666" s="29"/>
      <c r="AD666" s="29"/>
      <c r="AE666" s="29"/>
      <c r="AF666" s="29"/>
      <c r="AG666" s="30"/>
      <c r="AH666" s="29"/>
      <c r="AI666" s="29"/>
      <c r="AJ666" s="29"/>
      <c r="AK666" s="30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0">
        <f t="shared" si="80"/>
        <v>0</v>
      </c>
      <c r="BO666" s="20">
        <f t="shared" si="81"/>
        <v>0</v>
      </c>
      <c r="BP666" s="20">
        <f t="shared" si="82"/>
        <v>0</v>
      </c>
      <c r="BQ666" s="51"/>
      <c r="BR666" s="56"/>
      <c r="BS666" s="91"/>
      <c r="BT666" s="142"/>
      <c r="BU666" s="35"/>
    </row>
    <row r="667" s="1" customFormat="1" customHeight="1" spans="1:73">
      <c r="A667" s="48" t="s">
        <v>1182</v>
      </c>
      <c r="B667" s="15">
        <v>130</v>
      </c>
      <c r="C667" s="16">
        <v>40</v>
      </c>
      <c r="D667" s="29"/>
      <c r="E667" s="30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30"/>
      <c r="X667" s="29"/>
      <c r="Y667" s="29"/>
      <c r="Z667" s="29"/>
      <c r="AA667" s="29"/>
      <c r="AB667" s="29"/>
      <c r="AC667" s="29"/>
      <c r="AD667" s="29"/>
      <c r="AE667" s="29"/>
      <c r="AF667" s="29"/>
      <c r="AG667" s="30"/>
      <c r="AH667" s="29"/>
      <c r="AI667" s="29"/>
      <c r="AJ667" s="29"/>
      <c r="AK667" s="30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0">
        <f t="shared" si="80"/>
        <v>0</v>
      </c>
      <c r="BO667" s="20">
        <f t="shared" si="81"/>
        <v>0</v>
      </c>
      <c r="BP667" s="20">
        <f t="shared" si="82"/>
        <v>40</v>
      </c>
      <c r="BQ667" s="51">
        <f t="shared" ref="BQ667:BQ674" si="90">B667*BP667/1000</f>
        <v>5.2</v>
      </c>
      <c r="BR667" s="56" t="s">
        <v>1183</v>
      </c>
      <c r="BS667" s="91" t="s">
        <v>1184</v>
      </c>
      <c r="BT667" s="142" t="s">
        <v>1185</v>
      </c>
      <c r="BU667" s="35" t="s">
        <v>1175</v>
      </c>
    </row>
    <row r="668" s="1" customFormat="1" customHeight="1" spans="1:73">
      <c r="A668" s="48" t="s">
        <v>1186</v>
      </c>
      <c r="B668" s="15">
        <v>240</v>
      </c>
      <c r="C668" s="16">
        <v>30</v>
      </c>
      <c r="D668" s="29"/>
      <c r="E668" s="30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30"/>
      <c r="X668" s="29"/>
      <c r="Y668" s="29"/>
      <c r="Z668" s="29"/>
      <c r="AA668" s="29"/>
      <c r="AB668" s="29"/>
      <c r="AC668" s="29"/>
      <c r="AD668" s="29"/>
      <c r="AE668" s="29"/>
      <c r="AF668" s="29"/>
      <c r="AG668" s="30"/>
      <c r="AH668" s="29"/>
      <c r="AI668" s="29"/>
      <c r="AJ668" s="29"/>
      <c r="AK668" s="30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0">
        <f t="shared" si="80"/>
        <v>0</v>
      </c>
      <c r="BO668" s="20">
        <f t="shared" si="81"/>
        <v>0</v>
      </c>
      <c r="BP668" s="20">
        <f t="shared" si="82"/>
        <v>30</v>
      </c>
      <c r="BQ668" s="51">
        <f t="shared" si="90"/>
        <v>7.2</v>
      </c>
      <c r="BR668" s="56" t="s">
        <v>134</v>
      </c>
      <c r="BS668" s="91" t="s">
        <v>909</v>
      </c>
      <c r="BT668" s="142" t="s">
        <v>1185</v>
      </c>
      <c r="BU668" s="35" t="s">
        <v>1175</v>
      </c>
    </row>
    <row r="669" s="1" customFormat="1" customHeight="1" spans="1:73">
      <c r="A669" s="48" t="s">
        <v>1187</v>
      </c>
      <c r="B669" s="15">
        <v>80</v>
      </c>
      <c r="C669" s="16">
        <v>47</v>
      </c>
      <c r="D669" s="29"/>
      <c r="E669" s="30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30"/>
      <c r="X669" s="29"/>
      <c r="Y669" s="29"/>
      <c r="Z669" s="29"/>
      <c r="AA669" s="29"/>
      <c r="AB669" s="29"/>
      <c r="AC669" s="29"/>
      <c r="AD669" s="29"/>
      <c r="AE669" s="29"/>
      <c r="AF669" s="29"/>
      <c r="AG669" s="30"/>
      <c r="AH669" s="29"/>
      <c r="AI669" s="29"/>
      <c r="AJ669" s="29"/>
      <c r="AK669" s="30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0">
        <f t="shared" si="80"/>
        <v>0</v>
      </c>
      <c r="BO669" s="20">
        <f t="shared" si="81"/>
        <v>0</v>
      </c>
      <c r="BP669" s="20">
        <f t="shared" si="82"/>
        <v>47</v>
      </c>
      <c r="BQ669" s="51">
        <f t="shared" si="90"/>
        <v>3.76</v>
      </c>
      <c r="BR669" s="56" t="s">
        <v>984</v>
      </c>
      <c r="BS669" s="91" t="s">
        <v>985</v>
      </c>
      <c r="BT669" s="142"/>
      <c r="BU669" s="35" t="s">
        <v>1175</v>
      </c>
    </row>
    <row r="670" s="1" customFormat="1" customHeight="1" spans="1:73">
      <c r="A670" s="48" t="s">
        <v>1188</v>
      </c>
      <c r="B670" s="15">
        <v>325</v>
      </c>
      <c r="C670" s="16">
        <v>33</v>
      </c>
      <c r="D670" s="29"/>
      <c r="E670" s="30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30"/>
      <c r="X670" s="29"/>
      <c r="Y670" s="29"/>
      <c r="Z670" s="29"/>
      <c r="AA670" s="29"/>
      <c r="AB670" s="29"/>
      <c r="AC670" s="29"/>
      <c r="AD670" s="29"/>
      <c r="AE670" s="29"/>
      <c r="AF670" s="29"/>
      <c r="AG670" s="30"/>
      <c r="AH670" s="29"/>
      <c r="AI670" s="29"/>
      <c r="AJ670" s="29"/>
      <c r="AK670" s="30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0">
        <f t="shared" si="80"/>
        <v>0</v>
      </c>
      <c r="BO670" s="20">
        <f t="shared" si="81"/>
        <v>0</v>
      </c>
      <c r="BP670" s="20">
        <f t="shared" si="82"/>
        <v>33</v>
      </c>
      <c r="BQ670" s="51">
        <f t="shared" si="90"/>
        <v>10.725</v>
      </c>
      <c r="BR670" s="56" t="s">
        <v>1189</v>
      </c>
      <c r="BS670" s="91" t="s">
        <v>1190</v>
      </c>
      <c r="BT670" s="142"/>
      <c r="BU670" s="35" t="s">
        <v>1175</v>
      </c>
    </row>
    <row r="671" s="1" customFormat="1" customHeight="1" spans="1:73">
      <c r="A671" s="48" t="s">
        <v>1188</v>
      </c>
      <c r="B671" s="15">
        <v>550</v>
      </c>
      <c r="C671" s="16">
        <v>50</v>
      </c>
      <c r="D671" s="29"/>
      <c r="E671" s="30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30"/>
      <c r="X671" s="29"/>
      <c r="Y671" s="29"/>
      <c r="Z671" s="29"/>
      <c r="AA671" s="29"/>
      <c r="AB671" s="29"/>
      <c r="AC671" s="29"/>
      <c r="AD671" s="29"/>
      <c r="AE671" s="29"/>
      <c r="AF671" s="29"/>
      <c r="AG671" s="30"/>
      <c r="AH671" s="29"/>
      <c r="AI671" s="29"/>
      <c r="AJ671" s="29"/>
      <c r="AK671" s="30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0">
        <f t="shared" si="80"/>
        <v>0</v>
      </c>
      <c r="BO671" s="20">
        <f t="shared" si="81"/>
        <v>0</v>
      </c>
      <c r="BP671" s="20">
        <f t="shared" si="82"/>
        <v>50</v>
      </c>
      <c r="BQ671" s="51">
        <f t="shared" si="90"/>
        <v>27.5</v>
      </c>
      <c r="BR671" s="56" t="s">
        <v>1189</v>
      </c>
      <c r="BS671" s="91" t="s">
        <v>1190</v>
      </c>
      <c r="BT671" s="142"/>
      <c r="BU671" s="35" t="s">
        <v>1175</v>
      </c>
    </row>
    <row r="672" s="1" customFormat="1" customHeight="1" spans="1:73">
      <c r="A672" s="48" t="s">
        <v>1191</v>
      </c>
      <c r="B672" s="15">
        <v>280</v>
      </c>
      <c r="C672" s="16">
        <v>23</v>
      </c>
      <c r="D672" s="29"/>
      <c r="E672" s="30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30"/>
      <c r="X672" s="29"/>
      <c r="Y672" s="29"/>
      <c r="Z672" s="29"/>
      <c r="AA672" s="29"/>
      <c r="AB672" s="29"/>
      <c r="AC672" s="29"/>
      <c r="AD672" s="29"/>
      <c r="AE672" s="29"/>
      <c r="AF672" s="29"/>
      <c r="AG672" s="30"/>
      <c r="AH672" s="29"/>
      <c r="AI672" s="29"/>
      <c r="AJ672" s="29"/>
      <c r="AK672" s="30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0">
        <f t="shared" si="80"/>
        <v>0</v>
      </c>
      <c r="BO672" s="20">
        <f t="shared" si="81"/>
        <v>0</v>
      </c>
      <c r="BP672" s="20">
        <f t="shared" si="82"/>
        <v>23</v>
      </c>
      <c r="BQ672" s="51">
        <f t="shared" si="90"/>
        <v>6.44</v>
      </c>
      <c r="BR672" s="56" t="s">
        <v>174</v>
      </c>
      <c r="BS672" s="91" t="s">
        <v>1192</v>
      </c>
      <c r="BT672" s="142" t="s">
        <v>1193</v>
      </c>
      <c r="BU672" s="35" t="s">
        <v>1175</v>
      </c>
    </row>
    <row r="673" s="1" customFormat="1" customHeight="1" spans="1:73">
      <c r="A673" s="47" t="s">
        <v>1194</v>
      </c>
      <c r="B673" s="15">
        <v>14</v>
      </c>
      <c r="C673" s="16">
        <v>66</v>
      </c>
      <c r="D673" s="29"/>
      <c r="E673" s="30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30"/>
      <c r="X673" s="29"/>
      <c r="Y673" s="29"/>
      <c r="Z673" s="29"/>
      <c r="AA673" s="29"/>
      <c r="AB673" s="29"/>
      <c r="AC673" s="29"/>
      <c r="AD673" s="29"/>
      <c r="AE673" s="29"/>
      <c r="AF673" s="29"/>
      <c r="AG673" s="30"/>
      <c r="AH673" s="29"/>
      <c r="AI673" s="29"/>
      <c r="AJ673" s="29"/>
      <c r="AK673" s="30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0">
        <f t="shared" si="80"/>
        <v>0</v>
      </c>
      <c r="BO673" s="20">
        <f t="shared" si="81"/>
        <v>0</v>
      </c>
      <c r="BP673" s="20">
        <f t="shared" si="82"/>
        <v>66</v>
      </c>
      <c r="BQ673" s="51">
        <f t="shared" si="90"/>
        <v>0.924</v>
      </c>
      <c r="BR673" s="56" t="s">
        <v>681</v>
      </c>
      <c r="BS673" s="91" t="s">
        <v>682</v>
      </c>
      <c r="BT673" s="142"/>
      <c r="BU673" s="35" t="s">
        <v>1175</v>
      </c>
    </row>
    <row r="674" s="1" customFormat="1" customHeight="1" spans="1:73">
      <c r="A674" s="47" t="s">
        <v>1194</v>
      </c>
      <c r="B674" s="15">
        <v>285</v>
      </c>
      <c r="C674" s="16">
        <v>52</v>
      </c>
      <c r="D674" s="29"/>
      <c r="E674" s="30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30"/>
      <c r="X674" s="29"/>
      <c r="Y674" s="29"/>
      <c r="Z674" s="29"/>
      <c r="AA674" s="29"/>
      <c r="AB674" s="29"/>
      <c r="AC674" s="29"/>
      <c r="AD674" s="29"/>
      <c r="AE674" s="29"/>
      <c r="AF674" s="29"/>
      <c r="AG674" s="30"/>
      <c r="AH674" s="29"/>
      <c r="AI674" s="29"/>
      <c r="AJ674" s="29"/>
      <c r="AK674" s="30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0">
        <f t="shared" si="80"/>
        <v>0</v>
      </c>
      <c r="BO674" s="20">
        <f t="shared" si="81"/>
        <v>0</v>
      </c>
      <c r="BP674" s="20">
        <f t="shared" si="82"/>
        <v>52</v>
      </c>
      <c r="BQ674" s="51">
        <f t="shared" si="90"/>
        <v>14.82</v>
      </c>
      <c r="BR674" s="56" t="s">
        <v>681</v>
      </c>
      <c r="BS674" s="91" t="s">
        <v>682</v>
      </c>
      <c r="BT674" s="142"/>
      <c r="BU674" s="35" t="s">
        <v>1175</v>
      </c>
    </row>
    <row r="675" s="1" customFormat="1" customHeight="1" spans="1:73">
      <c r="A675" s="53" t="s">
        <v>1195</v>
      </c>
      <c r="B675" s="15"/>
      <c r="C675" s="16"/>
      <c r="D675" s="29"/>
      <c r="E675" s="30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30"/>
      <c r="X675" s="29"/>
      <c r="Y675" s="29"/>
      <c r="Z675" s="29"/>
      <c r="AA675" s="29"/>
      <c r="AB675" s="29"/>
      <c r="AC675" s="29"/>
      <c r="AD675" s="29"/>
      <c r="AE675" s="29"/>
      <c r="AF675" s="29"/>
      <c r="AG675" s="30"/>
      <c r="AH675" s="29"/>
      <c r="AI675" s="29"/>
      <c r="AJ675" s="29"/>
      <c r="AK675" s="30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0">
        <f t="shared" si="80"/>
        <v>0</v>
      </c>
      <c r="BO675" s="20">
        <f t="shared" si="81"/>
        <v>0</v>
      </c>
      <c r="BP675" s="20">
        <f t="shared" si="82"/>
        <v>0</v>
      </c>
      <c r="BQ675" s="51"/>
      <c r="BR675" s="56"/>
      <c r="BS675" s="111"/>
      <c r="BT675" s="36"/>
      <c r="BU675" s="112"/>
    </row>
    <row r="676" s="1" customFormat="1" customHeight="1" spans="1:73">
      <c r="A676" s="37" t="s">
        <v>1196</v>
      </c>
      <c r="B676" s="15">
        <v>280</v>
      </c>
      <c r="C676" s="16">
        <v>160</v>
      </c>
      <c r="D676" s="29"/>
      <c r="E676" s="30"/>
      <c r="F676" s="29"/>
      <c r="G676" s="29"/>
      <c r="H676" s="29"/>
      <c r="I676" s="29"/>
      <c r="J676" s="29"/>
      <c r="K676" s="29"/>
      <c r="L676" s="29"/>
      <c r="M676" s="29"/>
      <c r="N676" s="29"/>
      <c r="O676" s="29">
        <v>160</v>
      </c>
      <c r="P676" s="29"/>
      <c r="Q676" s="29"/>
      <c r="R676" s="29"/>
      <c r="S676" s="29"/>
      <c r="T676" s="29"/>
      <c r="U676" s="29"/>
      <c r="V676" s="29"/>
      <c r="W676" s="30"/>
      <c r="X676" s="29"/>
      <c r="Y676" s="29"/>
      <c r="Z676" s="29"/>
      <c r="AA676" s="29"/>
      <c r="AB676" s="29"/>
      <c r="AC676" s="29"/>
      <c r="AD676" s="29"/>
      <c r="AE676" s="29"/>
      <c r="AF676" s="29"/>
      <c r="AG676" s="30"/>
      <c r="AH676" s="29"/>
      <c r="AI676" s="29"/>
      <c r="AJ676" s="29"/>
      <c r="AK676" s="30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0">
        <f t="shared" si="80"/>
        <v>0</v>
      </c>
      <c r="BO676" s="20">
        <f t="shared" si="81"/>
        <v>160</v>
      </c>
      <c r="BP676" s="20">
        <f t="shared" si="82"/>
        <v>0</v>
      </c>
      <c r="BQ676" s="51">
        <f t="shared" ref="BQ676:BQ700" si="91">B676*BP676/1000</f>
        <v>0</v>
      </c>
      <c r="BR676" s="56" t="s">
        <v>1197</v>
      </c>
      <c r="BS676" s="91" t="s">
        <v>1095</v>
      </c>
      <c r="BT676" s="36"/>
      <c r="BU676" s="35" t="s">
        <v>1175</v>
      </c>
    </row>
    <row r="677" s="1" customFormat="1" customHeight="1" spans="1:73">
      <c r="A677" s="53" t="s">
        <v>1198</v>
      </c>
      <c r="B677" s="15"/>
      <c r="C677" s="16"/>
      <c r="D677" s="29"/>
      <c r="E677" s="30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30"/>
      <c r="X677" s="29"/>
      <c r="Y677" s="29"/>
      <c r="Z677" s="29"/>
      <c r="AA677" s="29"/>
      <c r="AB677" s="29"/>
      <c r="AC677" s="29"/>
      <c r="AD677" s="29"/>
      <c r="AE677" s="29"/>
      <c r="AF677" s="29"/>
      <c r="AG677" s="30"/>
      <c r="AH677" s="29"/>
      <c r="AI677" s="29"/>
      <c r="AJ677" s="29"/>
      <c r="AK677" s="30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0">
        <f t="shared" si="80"/>
        <v>0</v>
      </c>
      <c r="BO677" s="20">
        <f t="shared" si="81"/>
        <v>0</v>
      </c>
      <c r="BP677" s="20">
        <f t="shared" si="82"/>
        <v>0</v>
      </c>
      <c r="BQ677" s="51"/>
      <c r="BR677" s="56"/>
      <c r="BS677" s="111"/>
      <c r="BT677" s="36"/>
      <c r="BU677" s="112"/>
    </row>
    <row r="678" s="1" customFormat="1" customHeight="1" spans="1:73">
      <c r="A678" s="15" t="s">
        <v>1199</v>
      </c>
      <c r="B678" s="15">
        <v>8</v>
      </c>
      <c r="C678" s="16">
        <v>372</v>
      </c>
      <c r="D678" s="29"/>
      <c r="E678" s="30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30"/>
      <c r="X678" s="29"/>
      <c r="Y678" s="29"/>
      <c r="Z678" s="29"/>
      <c r="AA678" s="29"/>
      <c r="AB678" s="29"/>
      <c r="AC678" s="29"/>
      <c r="AD678" s="29"/>
      <c r="AE678" s="29"/>
      <c r="AF678" s="29"/>
      <c r="AG678" s="30"/>
      <c r="AH678" s="29"/>
      <c r="AI678" s="29"/>
      <c r="AJ678" s="29"/>
      <c r="AK678" s="30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0">
        <f t="shared" si="80"/>
        <v>0</v>
      </c>
      <c r="BO678" s="20">
        <f t="shared" si="81"/>
        <v>0</v>
      </c>
      <c r="BP678" s="20">
        <f t="shared" si="82"/>
        <v>372</v>
      </c>
      <c r="BQ678" s="51">
        <f t="shared" si="91"/>
        <v>2.976</v>
      </c>
      <c r="BR678" s="56" t="s">
        <v>803</v>
      </c>
      <c r="BS678" s="91" t="s">
        <v>886</v>
      </c>
      <c r="BT678" s="36" t="s">
        <v>1200</v>
      </c>
      <c r="BU678" s="35" t="s">
        <v>1201</v>
      </c>
    </row>
    <row r="679" s="1" customFormat="1" customHeight="1" spans="1:73">
      <c r="A679" s="15" t="s">
        <v>1199</v>
      </c>
      <c r="B679" s="15">
        <v>28</v>
      </c>
      <c r="C679" s="16">
        <v>65</v>
      </c>
      <c r="D679" s="29"/>
      <c r="E679" s="30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30"/>
      <c r="X679" s="29"/>
      <c r="Y679" s="29"/>
      <c r="Z679" s="29"/>
      <c r="AA679" s="29"/>
      <c r="AB679" s="29"/>
      <c r="AC679" s="29"/>
      <c r="AD679" s="29"/>
      <c r="AE679" s="29"/>
      <c r="AF679" s="30"/>
      <c r="AG679" s="30"/>
      <c r="AH679" s="29"/>
      <c r="AI679" s="29"/>
      <c r="AJ679" s="29"/>
      <c r="AK679" s="30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0">
        <f t="shared" si="80"/>
        <v>0</v>
      </c>
      <c r="BO679" s="20">
        <f t="shared" si="81"/>
        <v>0</v>
      </c>
      <c r="BP679" s="20">
        <f t="shared" si="82"/>
        <v>65</v>
      </c>
      <c r="BQ679" s="51">
        <f t="shared" si="91"/>
        <v>1.82</v>
      </c>
      <c r="BR679" s="56" t="s">
        <v>208</v>
      </c>
      <c r="BS679" s="91" t="s">
        <v>1202</v>
      </c>
      <c r="BT679" s="36" t="s">
        <v>1203</v>
      </c>
      <c r="BU679" s="35" t="s">
        <v>1201</v>
      </c>
    </row>
    <row r="680" s="1" customFormat="1" customHeight="1" spans="1:73">
      <c r="A680" s="15" t="s">
        <v>1199</v>
      </c>
      <c r="B680" s="15">
        <v>94</v>
      </c>
      <c r="C680" s="16">
        <v>77</v>
      </c>
      <c r="D680" s="29"/>
      <c r="E680" s="30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30"/>
      <c r="X680" s="29"/>
      <c r="Y680" s="29"/>
      <c r="Z680" s="29"/>
      <c r="AA680" s="29"/>
      <c r="AB680" s="29"/>
      <c r="AC680" s="29"/>
      <c r="AD680" s="29"/>
      <c r="AE680" s="29"/>
      <c r="AF680" s="30"/>
      <c r="AG680" s="30"/>
      <c r="AH680" s="29"/>
      <c r="AI680" s="29"/>
      <c r="AJ680" s="29"/>
      <c r="AK680" s="30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0">
        <f t="shared" si="80"/>
        <v>0</v>
      </c>
      <c r="BO680" s="20">
        <f t="shared" si="81"/>
        <v>0</v>
      </c>
      <c r="BP680" s="20">
        <f t="shared" si="82"/>
        <v>77</v>
      </c>
      <c r="BQ680" s="51">
        <f t="shared" si="91"/>
        <v>7.238</v>
      </c>
      <c r="BR680" s="56" t="s">
        <v>803</v>
      </c>
      <c r="BS680" s="91" t="s">
        <v>972</v>
      </c>
      <c r="BT680" s="36"/>
      <c r="BU680" s="35" t="s">
        <v>1201</v>
      </c>
    </row>
    <row r="681" s="1" customFormat="1" customHeight="1" spans="1:73">
      <c r="A681" s="15" t="s">
        <v>1199</v>
      </c>
      <c r="B681" s="15">
        <v>110</v>
      </c>
      <c r="C681" s="16">
        <v>148</v>
      </c>
      <c r="D681" s="29"/>
      <c r="E681" s="30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30"/>
      <c r="AH681" s="29"/>
      <c r="AI681" s="29"/>
      <c r="AJ681" s="29"/>
      <c r="AK681" s="30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0">
        <f t="shared" ref="BN681:BN744" si="92">D681+F681+H681+J681+L681+N681+P681+R681+T681+V681+X681+Z681+AB681+AD681+AF681+AH681+AJ681+AL681+AN681+AP681+AR681+AT681+AV681+AX681+AZ681+BB681+BD681+BF681+BH681+BJ681+BL681</f>
        <v>0</v>
      </c>
      <c r="BO681" s="20">
        <f t="shared" ref="BO681:BO744" si="93">E681+G681+I681+K681+M681+O681+Q681+S681+U681+W681+Y681+AA681+AC681+AE681+AG681+AI681+AK681+AM681+AO681+AQ681+AS681+AU681+AW681+AY681+BA681+BC681+BE681+BG681+BI681+BK681+BM681</f>
        <v>0</v>
      </c>
      <c r="BP681" s="20">
        <f t="shared" ref="BP681:BP744" si="94">C681+BN681-BO681</f>
        <v>148</v>
      </c>
      <c r="BQ681" s="51">
        <f t="shared" si="91"/>
        <v>16.28</v>
      </c>
      <c r="BR681" s="56" t="s">
        <v>683</v>
      </c>
      <c r="BS681" s="91" t="s">
        <v>684</v>
      </c>
      <c r="BT681" s="36"/>
      <c r="BU681" s="35" t="s">
        <v>1201</v>
      </c>
    </row>
    <row r="682" s="1" customFormat="1" customHeight="1" spans="1:73">
      <c r="A682" s="15" t="s">
        <v>1199</v>
      </c>
      <c r="B682" s="15">
        <v>116</v>
      </c>
      <c r="C682" s="16">
        <v>306</v>
      </c>
      <c r="D682" s="29"/>
      <c r="E682" s="30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30"/>
      <c r="AH682" s="29"/>
      <c r="AI682" s="29"/>
      <c r="AJ682" s="29"/>
      <c r="AK682" s="30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0">
        <f t="shared" si="92"/>
        <v>0</v>
      </c>
      <c r="BO682" s="20">
        <f t="shared" si="93"/>
        <v>0</v>
      </c>
      <c r="BP682" s="20">
        <f t="shared" si="94"/>
        <v>306</v>
      </c>
      <c r="BQ682" s="51">
        <f t="shared" si="91"/>
        <v>35.496</v>
      </c>
      <c r="BR682" s="56" t="s">
        <v>803</v>
      </c>
      <c r="BS682" s="91" t="s">
        <v>804</v>
      </c>
      <c r="BT682" s="36" t="s">
        <v>1204</v>
      </c>
      <c r="BU682" s="35" t="s">
        <v>1201</v>
      </c>
    </row>
    <row r="683" s="1" customFormat="1" customHeight="1" spans="1:73">
      <c r="A683" s="15" t="s">
        <v>1199</v>
      </c>
      <c r="B683" s="15">
        <v>120</v>
      </c>
      <c r="C683" s="16">
        <v>144</v>
      </c>
      <c r="D683" s="29"/>
      <c r="E683" s="30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30"/>
      <c r="AH683" s="29"/>
      <c r="AI683" s="29"/>
      <c r="AJ683" s="29"/>
      <c r="AK683" s="30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0">
        <f t="shared" si="92"/>
        <v>0</v>
      </c>
      <c r="BO683" s="20">
        <f t="shared" si="93"/>
        <v>0</v>
      </c>
      <c r="BP683" s="20">
        <f t="shared" si="94"/>
        <v>144</v>
      </c>
      <c r="BQ683" s="51">
        <f t="shared" si="91"/>
        <v>17.28</v>
      </c>
      <c r="BR683" s="56" t="s">
        <v>208</v>
      </c>
      <c r="BS683" s="91" t="s">
        <v>1202</v>
      </c>
      <c r="BT683" s="36"/>
      <c r="BU683" s="35" t="s">
        <v>1201</v>
      </c>
    </row>
    <row r="684" s="1" customFormat="1" customHeight="1" spans="1:73">
      <c r="A684" s="15" t="s">
        <v>1199</v>
      </c>
      <c r="B684" s="15">
        <v>132</v>
      </c>
      <c r="C684" s="16">
        <v>8</v>
      </c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30"/>
      <c r="X684" s="29"/>
      <c r="Y684" s="29"/>
      <c r="Z684" s="29"/>
      <c r="AA684" s="29"/>
      <c r="AB684" s="29"/>
      <c r="AC684" s="29"/>
      <c r="AD684" s="29"/>
      <c r="AE684" s="29"/>
      <c r="AF684" s="29"/>
      <c r="AG684" s="30"/>
      <c r="AH684" s="29"/>
      <c r="AI684" s="29"/>
      <c r="AJ684" s="29"/>
      <c r="AK684" s="30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0">
        <f t="shared" si="92"/>
        <v>0</v>
      </c>
      <c r="BO684" s="20">
        <f t="shared" si="93"/>
        <v>0</v>
      </c>
      <c r="BP684" s="20">
        <f t="shared" si="94"/>
        <v>8</v>
      </c>
      <c r="BQ684" s="51">
        <f t="shared" si="91"/>
        <v>1.056</v>
      </c>
      <c r="BR684" s="56" t="s">
        <v>208</v>
      </c>
      <c r="BS684" s="91" t="s">
        <v>1202</v>
      </c>
      <c r="BT684" s="36"/>
      <c r="BU684" s="35" t="s">
        <v>1201</v>
      </c>
    </row>
    <row r="685" s="1" customFormat="1" customHeight="1" spans="1:73">
      <c r="A685" s="15" t="s">
        <v>1199</v>
      </c>
      <c r="B685" s="15">
        <v>135</v>
      </c>
      <c r="C685" s="16">
        <v>399</v>
      </c>
      <c r="D685" s="29"/>
      <c r="E685" s="30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30"/>
      <c r="X685" s="29"/>
      <c r="Y685" s="29"/>
      <c r="Z685" s="29"/>
      <c r="AA685" s="29"/>
      <c r="AB685" s="29"/>
      <c r="AC685" s="29"/>
      <c r="AD685" s="29"/>
      <c r="AE685" s="29"/>
      <c r="AF685" s="29"/>
      <c r="AG685" s="30"/>
      <c r="AH685" s="29"/>
      <c r="AI685" s="29"/>
      <c r="AJ685" s="29"/>
      <c r="AK685" s="30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0">
        <f t="shared" si="92"/>
        <v>0</v>
      </c>
      <c r="BO685" s="20">
        <f t="shared" si="93"/>
        <v>0</v>
      </c>
      <c r="BP685" s="20">
        <f t="shared" si="94"/>
        <v>399</v>
      </c>
      <c r="BQ685" s="51">
        <f t="shared" si="91"/>
        <v>53.865</v>
      </c>
      <c r="BR685" s="56" t="s">
        <v>803</v>
      </c>
      <c r="BS685" s="91" t="s">
        <v>910</v>
      </c>
      <c r="BT685" s="34" t="s">
        <v>429</v>
      </c>
      <c r="BU685" s="35" t="s">
        <v>1201</v>
      </c>
    </row>
    <row r="686" s="1" customFormat="1" customHeight="1" spans="1:73">
      <c r="A686" s="15" t="s">
        <v>1199</v>
      </c>
      <c r="B686" s="15">
        <v>150</v>
      </c>
      <c r="C686" s="16">
        <v>76</v>
      </c>
      <c r="D686" s="29"/>
      <c r="E686" s="30"/>
      <c r="F686" s="29"/>
      <c r="G686" s="29"/>
      <c r="H686" s="29"/>
      <c r="I686" s="29"/>
      <c r="J686" s="29"/>
      <c r="K686" s="29"/>
      <c r="L686" s="29"/>
      <c r="M686" s="29">
        <v>10</v>
      </c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30"/>
      <c r="AH686" s="29"/>
      <c r="AI686" s="29"/>
      <c r="AJ686" s="29"/>
      <c r="AK686" s="30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0">
        <f t="shared" si="92"/>
        <v>0</v>
      </c>
      <c r="BO686" s="20">
        <f t="shared" si="93"/>
        <v>10</v>
      </c>
      <c r="BP686" s="20">
        <f t="shared" si="94"/>
        <v>66</v>
      </c>
      <c r="BQ686" s="51">
        <f t="shared" si="91"/>
        <v>9.9</v>
      </c>
      <c r="BR686" s="56" t="s">
        <v>208</v>
      </c>
      <c r="BS686" s="91" t="s">
        <v>804</v>
      </c>
      <c r="BT686" s="34"/>
      <c r="BU686" s="35" t="s">
        <v>1201</v>
      </c>
    </row>
    <row r="687" s="1" customFormat="1" customHeight="1" spans="1:73">
      <c r="A687" s="15" t="s">
        <v>1199</v>
      </c>
      <c r="B687" s="15">
        <v>155</v>
      </c>
      <c r="C687" s="16">
        <v>95</v>
      </c>
      <c r="D687" s="29"/>
      <c r="E687" s="30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30"/>
      <c r="AH687" s="29"/>
      <c r="AI687" s="29"/>
      <c r="AJ687" s="29"/>
      <c r="AK687" s="30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0">
        <f t="shared" si="92"/>
        <v>0</v>
      </c>
      <c r="BO687" s="20">
        <f t="shared" si="93"/>
        <v>0</v>
      </c>
      <c r="BP687" s="20">
        <f t="shared" si="94"/>
        <v>95</v>
      </c>
      <c r="BQ687" s="51">
        <f t="shared" si="91"/>
        <v>14.725</v>
      </c>
      <c r="BR687" s="56" t="s">
        <v>429</v>
      </c>
      <c r="BS687" s="91" t="s">
        <v>886</v>
      </c>
      <c r="BT687" s="34"/>
      <c r="BU687" s="35" t="s">
        <v>1201</v>
      </c>
    </row>
    <row r="688" s="1" customFormat="1" customHeight="1" spans="1:73">
      <c r="A688" s="15" t="s">
        <v>1199</v>
      </c>
      <c r="B688" s="15">
        <v>160</v>
      </c>
      <c r="C688" s="16">
        <v>11</v>
      </c>
      <c r="D688" s="29"/>
      <c r="E688" s="30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30"/>
      <c r="X688" s="29"/>
      <c r="Y688" s="29"/>
      <c r="Z688" s="29"/>
      <c r="AA688" s="29"/>
      <c r="AB688" s="29"/>
      <c r="AC688" s="29"/>
      <c r="AD688" s="29"/>
      <c r="AE688" s="29"/>
      <c r="AF688" s="30"/>
      <c r="AG688" s="30"/>
      <c r="AH688" s="29"/>
      <c r="AI688" s="29"/>
      <c r="AJ688" s="29"/>
      <c r="AK688" s="30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0">
        <f t="shared" si="92"/>
        <v>0</v>
      </c>
      <c r="BO688" s="20">
        <f t="shared" si="93"/>
        <v>0</v>
      </c>
      <c r="BP688" s="20">
        <f t="shared" si="94"/>
        <v>11</v>
      </c>
      <c r="BQ688" s="51">
        <f t="shared" si="91"/>
        <v>1.76</v>
      </c>
      <c r="BR688" s="56" t="s">
        <v>164</v>
      </c>
      <c r="BS688" s="91" t="s">
        <v>1205</v>
      </c>
      <c r="BT688" s="34"/>
      <c r="BU688" s="35" t="s">
        <v>1201</v>
      </c>
    </row>
    <row r="689" s="1" customFormat="1" customHeight="1" spans="1:73">
      <c r="A689" s="15" t="s">
        <v>1199</v>
      </c>
      <c r="B689" s="15">
        <v>180</v>
      </c>
      <c r="C689" s="16">
        <v>165</v>
      </c>
      <c r="D689" s="29"/>
      <c r="E689" s="30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30"/>
      <c r="X689" s="29"/>
      <c r="Y689" s="29"/>
      <c r="Z689" s="29"/>
      <c r="AA689" s="29"/>
      <c r="AB689" s="29"/>
      <c r="AC689" s="29"/>
      <c r="AD689" s="29"/>
      <c r="AE689" s="29"/>
      <c r="AF689" s="29"/>
      <c r="AG689" s="30"/>
      <c r="AH689" s="29"/>
      <c r="AI689" s="29"/>
      <c r="AJ689" s="29"/>
      <c r="AK689" s="30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0">
        <f t="shared" si="92"/>
        <v>0</v>
      </c>
      <c r="BO689" s="20">
        <f t="shared" si="93"/>
        <v>0</v>
      </c>
      <c r="BP689" s="20">
        <f t="shared" si="94"/>
        <v>165</v>
      </c>
      <c r="BQ689" s="51">
        <f t="shared" si="91"/>
        <v>29.7</v>
      </c>
      <c r="BR689" s="56" t="s">
        <v>429</v>
      </c>
      <c r="BS689" s="91" t="s">
        <v>886</v>
      </c>
      <c r="BT689" s="34"/>
      <c r="BU689" s="35" t="s">
        <v>1201</v>
      </c>
    </row>
    <row r="690" s="1" customFormat="1" customHeight="1" spans="1:73">
      <c r="A690" s="15" t="s">
        <v>1199</v>
      </c>
      <c r="B690" s="15">
        <v>185</v>
      </c>
      <c r="C690" s="16">
        <v>165</v>
      </c>
      <c r="D690" s="29"/>
      <c r="E690" s="30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30"/>
      <c r="X690" s="29"/>
      <c r="Y690" s="29"/>
      <c r="Z690" s="29"/>
      <c r="AA690" s="29"/>
      <c r="AB690" s="29"/>
      <c r="AC690" s="29"/>
      <c r="AD690" s="29"/>
      <c r="AE690" s="29"/>
      <c r="AF690" s="29"/>
      <c r="AG690" s="30"/>
      <c r="AH690" s="29"/>
      <c r="AI690" s="29"/>
      <c r="AJ690" s="29"/>
      <c r="AK690" s="30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0">
        <f t="shared" si="92"/>
        <v>0</v>
      </c>
      <c r="BO690" s="20">
        <f t="shared" si="93"/>
        <v>0</v>
      </c>
      <c r="BP690" s="20">
        <f t="shared" si="94"/>
        <v>165</v>
      </c>
      <c r="BQ690" s="51">
        <f t="shared" si="91"/>
        <v>30.525</v>
      </c>
      <c r="BR690" s="56" t="s">
        <v>681</v>
      </c>
      <c r="BS690" s="91" t="s">
        <v>682</v>
      </c>
      <c r="BT690" s="34"/>
      <c r="BU690" s="35" t="s">
        <v>1201</v>
      </c>
    </row>
    <row r="691" s="1" customFormat="1" customHeight="1" spans="1:73">
      <c r="A691" s="15" t="s">
        <v>1199</v>
      </c>
      <c r="B691" s="15">
        <v>189</v>
      </c>
      <c r="C691" s="16">
        <v>50</v>
      </c>
      <c r="D691" s="29"/>
      <c r="E691" s="30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30"/>
      <c r="X691" s="29"/>
      <c r="Y691" s="29"/>
      <c r="Z691" s="29"/>
      <c r="AA691" s="29"/>
      <c r="AB691" s="29"/>
      <c r="AC691" s="29"/>
      <c r="AD691" s="29"/>
      <c r="AE691" s="29"/>
      <c r="AF691" s="29"/>
      <c r="AG691" s="30"/>
      <c r="AH691" s="29"/>
      <c r="AI691" s="29"/>
      <c r="AJ691" s="29"/>
      <c r="AK691" s="30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0">
        <f t="shared" si="92"/>
        <v>0</v>
      </c>
      <c r="BO691" s="20">
        <f t="shared" si="93"/>
        <v>0</v>
      </c>
      <c r="BP691" s="20">
        <f t="shared" si="94"/>
        <v>50</v>
      </c>
      <c r="BQ691" s="51">
        <f t="shared" si="91"/>
        <v>9.45</v>
      </c>
      <c r="BR691" s="56" t="s">
        <v>908</v>
      </c>
      <c r="BS691" s="91" t="s">
        <v>909</v>
      </c>
      <c r="BT691" s="34"/>
      <c r="BU691" s="35" t="s">
        <v>1201</v>
      </c>
    </row>
    <row r="692" s="1" customFormat="1" customHeight="1" spans="1:73">
      <c r="A692" s="15" t="s">
        <v>1199</v>
      </c>
      <c r="B692" s="15">
        <v>204</v>
      </c>
      <c r="C692" s="16">
        <v>24</v>
      </c>
      <c r="D692" s="29"/>
      <c r="E692" s="30"/>
      <c r="F692" s="29"/>
      <c r="G692" s="29"/>
      <c r="H692" s="29"/>
      <c r="I692" s="29"/>
      <c r="J692" s="29"/>
      <c r="K692" s="30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30"/>
      <c r="X692" s="29"/>
      <c r="Y692" s="29"/>
      <c r="Z692" s="29"/>
      <c r="AA692" s="29"/>
      <c r="AB692" s="29"/>
      <c r="AC692" s="29"/>
      <c r="AD692" s="29"/>
      <c r="AE692" s="29"/>
      <c r="AF692" s="29"/>
      <c r="AG692" s="30"/>
      <c r="AH692" s="29"/>
      <c r="AI692" s="29"/>
      <c r="AJ692" s="29"/>
      <c r="AK692" s="30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0">
        <f t="shared" si="92"/>
        <v>0</v>
      </c>
      <c r="BO692" s="20">
        <f t="shared" si="93"/>
        <v>0</v>
      </c>
      <c r="BP692" s="20">
        <f t="shared" si="94"/>
        <v>24</v>
      </c>
      <c r="BQ692" s="51">
        <f t="shared" si="91"/>
        <v>4.896</v>
      </c>
      <c r="BR692" s="56" t="s">
        <v>922</v>
      </c>
      <c r="BS692" s="91" t="s">
        <v>910</v>
      </c>
      <c r="BT692" s="50" t="s">
        <v>1206</v>
      </c>
      <c r="BU692" s="35" t="s">
        <v>1201</v>
      </c>
    </row>
    <row r="693" s="1" customFormat="1" customHeight="1" spans="1:73">
      <c r="A693" s="15" t="s">
        <v>1199</v>
      </c>
      <c r="B693" s="15">
        <v>220</v>
      </c>
      <c r="C693" s="16">
        <v>138</v>
      </c>
      <c r="D693" s="29"/>
      <c r="E693" s="30"/>
      <c r="F693" s="29"/>
      <c r="G693" s="29"/>
      <c r="H693" s="29"/>
      <c r="I693" s="29"/>
      <c r="J693" s="29"/>
      <c r="K693" s="30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30"/>
      <c r="X693" s="29"/>
      <c r="Y693" s="29"/>
      <c r="Z693" s="29"/>
      <c r="AA693" s="29"/>
      <c r="AB693" s="29"/>
      <c r="AC693" s="29"/>
      <c r="AD693" s="29"/>
      <c r="AE693" s="29"/>
      <c r="AF693" s="29"/>
      <c r="AG693" s="30"/>
      <c r="AH693" s="29"/>
      <c r="AI693" s="29"/>
      <c r="AJ693" s="29"/>
      <c r="AK693" s="30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0">
        <f t="shared" si="92"/>
        <v>0</v>
      </c>
      <c r="BO693" s="20">
        <f t="shared" si="93"/>
        <v>0</v>
      </c>
      <c r="BP693" s="20">
        <f t="shared" si="94"/>
        <v>138</v>
      </c>
      <c r="BQ693" s="51">
        <f t="shared" si="91"/>
        <v>30.36</v>
      </c>
      <c r="BR693" s="56" t="s">
        <v>681</v>
      </c>
      <c r="BS693" s="91" t="s">
        <v>682</v>
      </c>
      <c r="BT693" s="36"/>
      <c r="BU693" s="35" t="s">
        <v>1201</v>
      </c>
    </row>
    <row r="694" s="1" customFormat="1" customHeight="1" spans="1:73">
      <c r="A694" s="15" t="s">
        <v>1199</v>
      </c>
      <c r="B694" s="15">
        <v>224</v>
      </c>
      <c r="C694" s="16">
        <v>3</v>
      </c>
      <c r="D694" s="29"/>
      <c r="E694" s="30"/>
      <c r="F694" s="29"/>
      <c r="G694" s="29"/>
      <c r="H694" s="29"/>
      <c r="I694" s="29"/>
      <c r="J694" s="29"/>
      <c r="K694" s="30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30"/>
      <c r="X694" s="29"/>
      <c r="Y694" s="29"/>
      <c r="Z694" s="29"/>
      <c r="AA694" s="29"/>
      <c r="AB694" s="29"/>
      <c r="AC694" s="29"/>
      <c r="AD694" s="29"/>
      <c r="AE694" s="29"/>
      <c r="AF694" s="29"/>
      <c r="AG694" s="30"/>
      <c r="AH694" s="29"/>
      <c r="AI694" s="29"/>
      <c r="AJ694" s="29"/>
      <c r="AK694" s="30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0">
        <f t="shared" si="92"/>
        <v>0</v>
      </c>
      <c r="BO694" s="20">
        <f t="shared" si="93"/>
        <v>0</v>
      </c>
      <c r="BP694" s="20">
        <f t="shared" si="94"/>
        <v>3</v>
      </c>
      <c r="BQ694" s="51">
        <f t="shared" si="91"/>
        <v>0.672</v>
      </c>
      <c r="BR694" s="56" t="s">
        <v>820</v>
      </c>
      <c r="BS694" s="91" t="s">
        <v>821</v>
      </c>
      <c r="BT694" s="36"/>
      <c r="BU694" s="35" t="s">
        <v>1201</v>
      </c>
    </row>
    <row r="695" s="1" customFormat="1" customHeight="1" spans="1:73">
      <c r="A695" s="15" t="s">
        <v>1199</v>
      </c>
      <c r="B695" s="15">
        <v>250</v>
      </c>
      <c r="C695" s="16">
        <v>56</v>
      </c>
      <c r="D695" s="29"/>
      <c r="E695" s="30"/>
      <c r="F695" s="29"/>
      <c r="G695" s="29"/>
      <c r="H695" s="29"/>
      <c r="I695" s="29"/>
      <c r="J695" s="29"/>
      <c r="K695" s="30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30"/>
      <c r="X695" s="29"/>
      <c r="Y695" s="29"/>
      <c r="Z695" s="29"/>
      <c r="AA695" s="29"/>
      <c r="AB695" s="29"/>
      <c r="AC695" s="29"/>
      <c r="AD695" s="29"/>
      <c r="AE695" s="29"/>
      <c r="AF695" s="29"/>
      <c r="AG695" s="30"/>
      <c r="AH695" s="29"/>
      <c r="AI695" s="29"/>
      <c r="AJ695" s="29"/>
      <c r="AK695" s="30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0">
        <f t="shared" si="92"/>
        <v>0</v>
      </c>
      <c r="BO695" s="20">
        <f t="shared" si="93"/>
        <v>0</v>
      </c>
      <c r="BP695" s="20">
        <f t="shared" si="94"/>
        <v>56</v>
      </c>
      <c r="BQ695" s="51">
        <f t="shared" si="91"/>
        <v>14</v>
      </c>
      <c r="BR695" s="56" t="s">
        <v>683</v>
      </c>
      <c r="BS695" s="91" t="s">
        <v>684</v>
      </c>
      <c r="BT695" s="36"/>
      <c r="BU695" s="35" t="s">
        <v>1201</v>
      </c>
    </row>
    <row r="696" s="1" customFormat="1" customHeight="1" spans="1:73">
      <c r="A696" s="15" t="s">
        <v>1199</v>
      </c>
      <c r="B696" s="15">
        <v>260</v>
      </c>
      <c r="C696" s="16">
        <v>325</v>
      </c>
      <c r="D696" s="29"/>
      <c r="E696" s="30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30"/>
      <c r="AD696" s="29"/>
      <c r="AE696" s="29"/>
      <c r="AF696" s="29"/>
      <c r="AG696" s="30"/>
      <c r="AH696" s="29"/>
      <c r="AI696" s="29"/>
      <c r="AJ696" s="29"/>
      <c r="AK696" s="30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0">
        <f t="shared" si="92"/>
        <v>0</v>
      </c>
      <c r="BO696" s="20">
        <f t="shared" si="93"/>
        <v>0</v>
      </c>
      <c r="BP696" s="20">
        <f t="shared" si="94"/>
        <v>325</v>
      </c>
      <c r="BQ696" s="51">
        <f t="shared" si="91"/>
        <v>84.5</v>
      </c>
      <c r="BR696" s="56" t="s">
        <v>683</v>
      </c>
      <c r="BS696" s="91" t="s">
        <v>909</v>
      </c>
      <c r="BT696" s="78"/>
      <c r="BU696" s="35" t="s">
        <v>1201</v>
      </c>
    </row>
    <row r="697" s="1" customFormat="1" customHeight="1" spans="1:73">
      <c r="A697" s="15" t="s">
        <v>1199</v>
      </c>
      <c r="B697" s="15">
        <v>275</v>
      </c>
      <c r="C697" s="16">
        <v>144</v>
      </c>
      <c r="D697" s="29"/>
      <c r="E697" s="30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30"/>
      <c r="AD697" s="29"/>
      <c r="AE697" s="29"/>
      <c r="AF697" s="29"/>
      <c r="AG697" s="30"/>
      <c r="AH697" s="29"/>
      <c r="AI697" s="29"/>
      <c r="AJ697" s="29"/>
      <c r="AK697" s="30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0">
        <f t="shared" si="92"/>
        <v>0</v>
      </c>
      <c r="BO697" s="20">
        <f t="shared" si="93"/>
        <v>0</v>
      </c>
      <c r="BP697" s="20">
        <f t="shared" si="94"/>
        <v>144</v>
      </c>
      <c r="BQ697" s="51">
        <f t="shared" si="91"/>
        <v>39.6</v>
      </c>
      <c r="BR697" s="56" t="s">
        <v>681</v>
      </c>
      <c r="BS697" s="91" t="s">
        <v>682</v>
      </c>
      <c r="BT697" s="78"/>
      <c r="BU697" s="35" t="s">
        <v>1201</v>
      </c>
    </row>
    <row r="698" s="1" customFormat="1" customHeight="1" spans="1:73">
      <c r="A698" s="15" t="s">
        <v>1199</v>
      </c>
      <c r="B698" s="15">
        <v>280</v>
      </c>
      <c r="C698" s="16">
        <v>85</v>
      </c>
      <c r="D698" s="29"/>
      <c r="E698" s="30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30"/>
      <c r="AH698" s="29"/>
      <c r="AI698" s="29"/>
      <c r="AJ698" s="29"/>
      <c r="AK698" s="30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4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0">
        <f t="shared" si="92"/>
        <v>0</v>
      </c>
      <c r="BO698" s="20">
        <f t="shared" si="93"/>
        <v>0</v>
      </c>
      <c r="BP698" s="20">
        <f t="shared" si="94"/>
        <v>85</v>
      </c>
      <c r="BQ698" s="51">
        <f t="shared" si="91"/>
        <v>23.8</v>
      </c>
      <c r="BR698" s="56" t="s">
        <v>719</v>
      </c>
      <c r="BS698" s="91" t="s">
        <v>720</v>
      </c>
      <c r="BT698" s="36"/>
      <c r="BU698" s="35" t="s">
        <v>1201</v>
      </c>
    </row>
    <row r="699" s="1" customFormat="1" customHeight="1" spans="1:73">
      <c r="A699" s="15" t="s">
        <v>1199</v>
      </c>
      <c r="B699" s="15">
        <v>285</v>
      </c>
      <c r="C699" s="16">
        <v>85</v>
      </c>
      <c r="D699" s="29"/>
      <c r="E699" s="30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30"/>
      <c r="AH699" s="29"/>
      <c r="AI699" s="29"/>
      <c r="AJ699" s="29"/>
      <c r="AK699" s="30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4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0">
        <f t="shared" si="92"/>
        <v>0</v>
      </c>
      <c r="BO699" s="20">
        <f t="shared" si="93"/>
        <v>0</v>
      </c>
      <c r="BP699" s="20">
        <f t="shared" si="94"/>
        <v>85</v>
      </c>
      <c r="BQ699" s="51">
        <f t="shared" si="91"/>
        <v>24.225</v>
      </c>
      <c r="BR699" s="56" t="s">
        <v>681</v>
      </c>
      <c r="BS699" s="91" t="s">
        <v>682</v>
      </c>
      <c r="BT699" s="36"/>
      <c r="BU699" s="35" t="s">
        <v>1201</v>
      </c>
    </row>
    <row r="700" s="1" customFormat="1" customHeight="1" spans="1:73">
      <c r="A700" s="15" t="s">
        <v>1199</v>
      </c>
      <c r="B700" s="15">
        <v>355</v>
      </c>
      <c r="C700" s="16">
        <v>4</v>
      </c>
      <c r="D700" s="29"/>
      <c r="E700" s="30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30"/>
      <c r="AD700" s="29"/>
      <c r="AE700" s="29"/>
      <c r="AF700" s="29"/>
      <c r="AG700" s="30"/>
      <c r="AH700" s="29"/>
      <c r="AI700" s="29"/>
      <c r="AJ700" s="29"/>
      <c r="AK700" s="30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4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0">
        <f t="shared" si="92"/>
        <v>0</v>
      </c>
      <c r="BO700" s="20">
        <f t="shared" si="93"/>
        <v>0</v>
      </c>
      <c r="BP700" s="20">
        <f t="shared" si="94"/>
        <v>4</v>
      </c>
      <c r="BQ700" s="51">
        <f t="shared" si="91"/>
        <v>1.42</v>
      </c>
      <c r="BR700" s="56" t="s">
        <v>126</v>
      </c>
      <c r="BS700" s="91" t="s">
        <v>704</v>
      </c>
      <c r="BT700" s="36" t="s">
        <v>1207</v>
      </c>
      <c r="BU700" s="35" t="s">
        <v>1201</v>
      </c>
    </row>
    <row r="701" s="1" customFormat="1" customHeight="1" spans="1:73">
      <c r="A701" s="53" t="s">
        <v>1208</v>
      </c>
      <c r="B701" s="15"/>
      <c r="C701" s="16"/>
      <c r="D701" s="29"/>
      <c r="E701" s="30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30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30"/>
      <c r="AH701" s="29"/>
      <c r="AI701" s="30"/>
      <c r="AJ701" s="29"/>
      <c r="AK701" s="30"/>
      <c r="AL701" s="29"/>
      <c r="AM701" s="30"/>
      <c r="AN701" s="29"/>
      <c r="AO701" s="29"/>
      <c r="AP701" s="29"/>
      <c r="AQ701" s="29"/>
      <c r="AR701" s="29"/>
      <c r="AS701" s="30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30"/>
      <c r="BF701" s="29"/>
      <c r="BG701" s="29"/>
      <c r="BH701" s="29"/>
      <c r="BI701" s="29"/>
      <c r="BJ701" s="29"/>
      <c r="BK701" s="29"/>
      <c r="BL701" s="29"/>
      <c r="BM701" s="29"/>
      <c r="BN701" s="20">
        <f t="shared" si="92"/>
        <v>0</v>
      </c>
      <c r="BO701" s="20">
        <f t="shared" si="93"/>
        <v>0</v>
      </c>
      <c r="BP701" s="20">
        <f t="shared" si="94"/>
        <v>0</v>
      </c>
      <c r="BQ701" s="51"/>
      <c r="BR701" s="56"/>
      <c r="BS701" s="91"/>
      <c r="BT701" s="36"/>
      <c r="BU701" s="35"/>
    </row>
    <row r="702" s="1" customFormat="1" customHeight="1" spans="1:73">
      <c r="A702" s="41" t="s">
        <v>1209</v>
      </c>
      <c r="B702" s="15">
        <v>70</v>
      </c>
      <c r="C702" s="16">
        <v>165</v>
      </c>
      <c r="D702" s="29"/>
      <c r="E702" s="30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30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30"/>
      <c r="AH702" s="29"/>
      <c r="AI702" s="30"/>
      <c r="AJ702" s="29"/>
      <c r="AK702" s="30"/>
      <c r="AL702" s="29"/>
      <c r="AM702" s="30"/>
      <c r="AN702" s="29"/>
      <c r="AO702" s="29"/>
      <c r="AP702" s="29"/>
      <c r="AQ702" s="29"/>
      <c r="AR702" s="29"/>
      <c r="AS702" s="30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30"/>
      <c r="BF702" s="29"/>
      <c r="BG702" s="29"/>
      <c r="BH702" s="29"/>
      <c r="BI702" s="29"/>
      <c r="BJ702" s="29"/>
      <c r="BK702" s="29"/>
      <c r="BL702" s="29"/>
      <c r="BM702" s="29"/>
      <c r="BN702" s="20">
        <f t="shared" si="92"/>
        <v>0</v>
      </c>
      <c r="BO702" s="20">
        <f t="shared" si="93"/>
        <v>0</v>
      </c>
      <c r="BP702" s="20">
        <f t="shared" si="94"/>
        <v>165</v>
      </c>
      <c r="BQ702" s="51">
        <f t="shared" ref="BQ702:BQ729" si="95">B702*BP702/1000</f>
        <v>11.55</v>
      </c>
      <c r="BR702" s="56" t="s">
        <v>919</v>
      </c>
      <c r="BS702" s="91" t="s">
        <v>923</v>
      </c>
      <c r="BT702" s="36"/>
      <c r="BU702" s="44" t="s">
        <v>1210</v>
      </c>
    </row>
    <row r="703" s="1" customFormat="1" customHeight="1" spans="1:73">
      <c r="A703" s="41" t="s">
        <v>1209</v>
      </c>
      <c r="B703" s="15">
        <v>75</v>
      </c>
      <c r="C703" s="16">
        <v>70</v>
      </c>
      <c r="D703" s="29"/>
      <c r="E703" s="30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30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30"/>
      <c r="AH703" s="29"/>
      <c r="AI703" s="30"/>
      <c r="AJ703" s="29"/>
      <c r="AK703" s="30"/>
      <c r="AL703" s="29"/>
      <c r="AM703" s="30"/>
      <c r="AN703" s="29"/>
      <c r="AO703" s="29"/>
      <c r="AP703" s="29"/>
      <c r="AQ703" s="29"/>
      <c r="AR703" s="29"/>
      <c r="AS703" s="30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30"/>
      <c r="BF703" s="29"/>
      <c r="BG703" s="29"/>
      <c r="BH703" s="29"/>
      <c r="BI703" s="29"/>
      <c r="BJ703" s="29"/>
      <c r="BK703" s="29"/>
      <c r="BL703" s="29"/>
      <c r="BM703" s="29"/>
      <c r="BN703" s="20">
        <f t="shared" si="92"/>
        <v>0</v>
      </c>
      <c r="BO703" s="20">
        <f t="shared" si="93"/>
        <v>0</v>
      </c>
      <c r="BP703" s="20">
        <f t="shared" si="94"/>
        <v>70</v>
      </c>
      <c r="BQ703" s="51">
        <f t="shared" si="95"/>
        <v>5.25</v>
      </c>
      <c r="BR703" s="56" t="s">
        <v>803</v>
      </c>
      <c r="BS703" s="91" t="s">
        <v>804</v>
      </c>
      <c r="BT703" s="36" t="s">
        <v>1211</v>
      </c>
      <c r="BU703" s="44" t="s">
        <v>1210</v>
      </c>
    </row>
    <row r="704" s="1" customFormat="1" customHeight="1" spans="1:73">
      <c r="A704" s="41" t="s">
        <v>1209</v>
      </c>
      <c r="B704" s="15">
        <v>88</v>
      </c>
      <c r="C704" s="29">
        <v>3</v>
      </c>
      <c r="D704" s="29"/>
      <c r="E704" s="30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30"/>
      <c r="X704" s="29"/>
      <c r="Y704" s="29"/>
      <c r="Z704" s="29"/>
      <c r="AA704" s="29"/>
      <c r="AB704" s="29"/>
      <c r="AC704" s="30"/>
      <c r="AD704" s="29"/>
      <c r="AE704" s="30"/>
      <c r="AF704" s="29"/>
      <c r="AG704" s="30"/>
      <c r="AH704" s="29"/>
      <c r="AI704" s="29"/>
      <c r="AJ704" s="29"/>
      <c r="AK704" s="30"/>
      <c r="AL704" s="29"/>
      <c r="AM704" s="30"/>
      <c r="AN704" s="29"/>
      <c r="AO704" s="29"/>
      <c r="AP704" s="29"/>
      <c r="AQ704" s="29"/>
      <c r="AR704" s="29"/>
      <c r="AS704" s="82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0">
        <f t="shared" si="92"/>
        <v>0</v>
      </c>
      <c r="BO704" s="20">
        <f t="shared" si="93"/>
        <v>0</v>
      </c>
      <c r="BP704" s="20">
        <f t="shared" si="94"/>
        <v>3</v>
      </c>
      <c r="BQ704" s="55">
        <f t="shared" si="95"/>
        <v>0.264</v>
      </c>
      <c r="BR704" s="68" t="s">
        <v>1212</v>
      </c>
      <c r="BS704" s="91" t="s">
        <v>1213</v>
      </c>
      <c r="BT704" s="57"/>
      <c r="BU704" s="44" t="s">
        <v>1210</v>
      </c>
    </row>
    <row r="705" s="1" customFormat="1" customHeight="1" spans="1:73">
      <c r="A705" s="41" t="s">
        <v>1209</v>
      </c>
      <c r="B705" s="15">
        <v>95</v>
      </c>
      <c r="C705" s="29">
        <v>152</v>
      </c>
      <c r="D705" s="29"/>
      <c r="E705" s="30"/>
      <c r="F705" s="29"/>
      <c r="G705" s="29"/>
      <c r="H705" s="29"/>
      <c r="I705" s="29"/>
      <c r="J705" s="29"/>
      <c r="K705" s="29"/>
      <c r="L705" s="29"/>
      <c r="M705" s="29">
        <v>82</v>
      </c>
      <c r="N705" s="29"/>
      <c r="O705" s="29"/>
      <c r="P705" s="29"/>
      <c r="Q705" s="29"/>
      <c r="R705" s="29"/>
      <c r="S705" s="29"/>
      <c r="T705" s="29"/>
      <c r="U705" s="29"/>
      <c r="V705" s="29"/>
      <c r="W705" s="30"/>
      <c r="X705" s="29"/>
      <c r="Y705" s="29"/>
      <c r="Z705" s="29"/>
      <c r="AA705" s="29"/>
      <c r="AB705" s="29"/>
      <c r="AC705" s="30"/>
      <c r="AD705" s="29"/>
      <c r="AE705" s="30"/>
      <c r="AF705" s="29"/>
      <c r="AG705" s="29"/>
      <c r="AH705" s="29"/>
      <c r="AI705" s="29"/>
      <c r="AJ705" s="29"/>
      <c r="AK705" s="30"/>
      <c r="AL705" s="29"/>
      <c r="AM705" s="30"/>
      <c r="AN705" s="29"/>
      <c r="AO705" s="29"/>
      <c r="AP705" s="29"/>
      <c r="AQ705" s="29"/>
      <c r="AR705" s="29"/>
      <c r="AS705" s="82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0">
        <f t="shared" si="92"/>
        <v>0</v>
      </c>
      <c r="BO705" s="20">
        <f t="shared" si="93"/>
        <v>82</v>
      </c>
      <c r="BP705" s="20">
        <f t="shared" si="94"/>
        <v>70</v>
      </c>
      <c r="BQ705" s="55">
        <f t="shared" si="95"/>
        <v>6.65</v>
      </c>
      <c r="BR705" s="68" t="s">
        <v>420</v>
      </c>
      <c r="BS705" s="91" t="s">
        <v>1214</v>
      </c>
      <c r="BT705" s="57"/>
      <c r="BU705" s="44" t="s">
        <v>1210</v>
      </c>
    </row>
    <row r="706" s="1" customFormat="1" customHeight="1" spans="1:73">
      <c r="A706" s="41" t="s">
        <v>1209</v>
      </c>
      <c r="B706" s="15">
        <v>120</v>
      </c>
      <c r="C706" s="29">
        <v>73</v>
      </c>
      <c r="D706" s="29"/>
      <c r="E706" s="30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30"/>
      <c r="X706" s="29"/>
      <c r="Y706" s="29"/>
      <c r="Z706" s="29"/>
      <c r="AA706" s="29"/>
      <c r="AB706" s="29"/>
      <c r="AC706" s="30"/>
      <c r="AD706" s="29"/>
      <c r="AE706" s="30"/>
      <c r="AF706" s="29"/>
      <c r="AG706" s="29"/>
      <c r="AH706" s="29"/>
      <c r="AI706" s="29"/>
      <c r="AJ706" s="29"/>
      <c r="AK706" s="30"/>
      <c r="AL706" s="29"/>
      <c r="AM706" s="30"/>
      <c r="AN706" s="29"/>
      <c r="AO706" s="29"/>
      <c r="AP706" s="29"/>
      <c r="AQ706" s="29"/>
      <c r="AR706" s="29"/>
      <c r="AS706" s="82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0">
        <f t="shared" si="92"/>
        <v>0</v>
      </c>
      <c r="BO706" s="20">
        <f t="shared" si="93"/>
        <v>0</v>
      </c>
      <c r="BP706" s="20">
        <f t="shared" si="94"/>
        <v>73</v>
      </c>
      <c r="BQ706" s="55">
        <f t="shared" si="95"/>
        <v>8.76</v>
      </c>
      <c r="BR706" s="68" t="s">
        <v>994</v>
      </c>
      <c r="BS706" s="91" t="s">
        <v>995</v>
      </c>
      <c r="BT706" s="57"/>
      <c r="BU706" s="44" t="s">
        <v>1210</v>
      </c>
    </row>
    <row r="707" s="1" customFormat="1" customHeight="1" spans="1:73">
      <c r="A707" s="41" t="s">
        <v>1209</v>
      </c>
      <c r="B707" s="15">
        <v>114</v>
      </c>
      <c r="C707" s="29">
        <v>70</v>
      </c>
      <c r="D707" s="29"/>
      <c r="E707" s="30">
        <v>4</v>
      </c>
      <c r="F707" s="29"/>
      <c r="G707" s="29"/>
      <c r="H707" s="29"/>
      <c r="I707" s="29"/>
      <c r="J707" s="29"/>
      <c r="K707" s="29"/>
      <c r="L707" s="29"/>
      <c r="M707" s="29">
        <v>1</v>
      </c>
      <c r="N707" s="29"/>
      <c r="O707" s="29"/>
      <c r="P707" s="29"/>
      <c r="Q707" s="29"/>
      <c r="R707" s="29"/>
      <c r="S707" s="29"/>
      <c r="T707" s="29"/>
      <c r="U707" s="29"/>
      <c r="V707" s="29"/>
      <c r="W707" s="30"/>
      <c r="X707" s="29"/>
      <c r="Y707" s="29"/>
      <c r="Z707" s="29"/>
      <c r="AA707" s="29"/>
      <c r="AB707" s="29"/>
      <c r="AC707" s="30"/>
      <c r="AD707" s="29"/>
      <c r="AE707" s="30"/>
      <c r="AF707" s="29"/>
      <c r="AG707" s="30"/>
      <c r="AH707" s="29"/>
      <c r="AI707" s="29"/>
      <c r="AJ707" s="29"/>
      <c r="AK707" s="30"/>
      <c r="AL707" s="29"/>
      <c r="AM707" s="30"/>
      <c r="AN707" s="29"/>
      <c r="AO707" s="29"/>
      <c r="AP707" s="29"/>
      <c r="AQ707" s="29"/>
      <c r="AR707" s="29"/>
      <c r="AS707" s="82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0">
        <f t="shared" si="92"/>
        <v>0</v>
      </c>
      <c r="BO707" s="20">
        <f t="shared" si="93"/>
        <v>5</v>
      </c>
      <c r="BP707" s="20">
        <f t="shared" si="94"/>
        <v>65</v>
      </c>
      <c r="BQ707" s="55">
        <f t="shared" si="95"/>
        <v>7.41</v>
      </c>
      <c r="BR707" s="68" t="s">
        <v>1215</v>
      </c>
      <c r="BS707" s="91" t="s">
        <v>949</v>
      </c>
      <c r="BT707" s="57"/>
      <c r="BU707" s="44" t="s">
        <v>1210</v>
      </c>
    </row>
    <row r="708" s="1" customFormat="1" customHeight="1" spans="1:73">
      <c r="A708" s="41" t="s">
        <v>1209</v>
      </c>
      <c r="B708" s="15">
        <v>125</v>
      </c>
      <c r="C708" s="29">
        <v>151</v>
      </c>
      <c r="D708" s="29"/>
      <c r="E708" s="30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30"/>
      <c r="X708" s="29"/>
      <c r="Y708" s="29"/>
      <c r="Z708" s="29"/>
      <c r="AA708" s="29"/>
      <c r="AB708" s="29"/>
      <c r="AC708" s="30"/>
      <c r="AD708" s="29"/>
      <c r="AE708" s="30"/>
      <c r="AF708" s="29"/>
      <c r="AG708" s="30"/>
      <c r="AH708" s="29"/>
      <c r="AI708" s="29"/>
      <c r="AJ708" s="29"/>
      <c r="AK708" s="30"/>
      <c r="AL708" s="29"/>
      <c r="AM708" s="30"/>
      <c r="AN708" s="29"/>
      <c r="AO708" s="29"/>
      <c r="AP708" s="29"/>
      <c r="AQ708" s="29"/>
      <c r="AR708" s="29"/>
      <c r="AS708" s="82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0">
        <f t="shared" si="92"/>
        <v>0</v>
      </c>
      <c r="BO708" s="20">
        <f t="shared" si="93"/>
        <v>0</v>
      </c>
      <c r="BP708" s="20">
        <f t="shared" si="94"/>
        <v>151</v>
      </c>
      <c r="BQ708" s="55">
        <f t="shared" si="95"/>
        <v>18.875</v>
      </c>
      <c r="BR708" s="68" t="s">
        <v>1216</v>
      </c>
      <c r="BS708" s="91" t="s">
        <v>923</v>
      </c>
      <c r="BT708" s="57"/>
      <c r="BU708" s="44" t="s">
        <v>1210</v>
      </c>
    </row>
    <row r="709" s="1" customFormat="1" customHeight="1" spans="1:73">
      <c r="A709" s="41" t="s">
        <v>1209</v>
      </c>
      <c r="B709" s="15">
        <v>130</v>
      </c>
      <c r="C709" s="29">
        <v>42</v>
      </c>
      <c r="D709" s="29"/>
      <c r="E709" s="30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30"/>
      <c r="X709" s="29"/>
      <c r="Y709" s="29"/>
      <c r="Z709" s="29"/>
      <c r="AA709" s="29"/>
      <c r="AB709" s="29"/>
      <c r="AC709" s="30"/>
      <c r="AD709" s="29"/>
      <c r="AE709" s="30"/>
      <c r="AF709" s="29"/>
      <c r="AG709" s="30"/>
      <c r="AH709" s="29"/>
      <c r="AI709" s="29"/>
      <c r="AJ709" s="29"/>
      <c r="AK709" s="30"/>
      <c r="AL709" s="29"/>
      <c r="AM709" s="30"/>
      <c r="AN709" s="29"/>
      <c r="AO709" s="29"/>
      <c r="AP709" s="29"/>
      <c r="AQ709" s="29"/>
      <c r="AR709" s="29"/>
      <c r="AS709" s="82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0">
        <f t="shared" si="92"/>
        <v>0</v>
      </c>
      <c r="BO709" s="20">
        <f t="shared" si="93"/>
        <v>0</v>
      </c>
      <c r="BP709" s="20">
        <f t="shared" si="94"/>
        <v>42</v>
      </c>
      <c r="BQ709" s="55">
        <f t="shared" si="95"/>
        <v>5.46</v>
      </c>
      <c r="BR709" s="68" t="s">
        <v>803</v>
      </c>
      <c r="BS709" s="91" t="s">
        <v>804</v>
      </c>
      <c r="BT709" s="57"/>
      <c r="BU709" s="44" t="s">
        <v>1210</v>
      </c>
    </row>
    <row r="710" s="1" customFormat="1" customHeight="1" spans="1:73">
      <c r="A710" s="41" t="s">
        <v>1209</v>
      </c>
      <c r="B710" s="15">
        <v>150</v>
      </c>
      <c r="C710" s="29">
        <v>165</v>
      </c>
      <c r="D710" s="29"/>
      <c r="E710" s="30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30"/>
      <c r="X710" s="29"/>
      <c r="Y710" s="29"/>
      <c r="Z710" s="29"/>
      <c r="AA710" s="29"/>
      <c r="AB710" s="29"/>
      <c r="AC710" s="30"/>
      <c r="AD710" s="29"/>
      <c r="AE710" s="30"/>
      <c r="AF710" s="29"/>
      <c r="AG710" s="30"/>
      <c r="AH710" s="29"/>
      <c r="AI710" s="29"/>
      <c r="AJ710" s="29"/>
      <c r="AK710" s="30"/>
      <c r="AL710" s="29"/>
      <c r="AM710" s="30"/>
      <c r="AN710" s="29"/>
      <c r="AO710" s="29"/>
      <c r="AP710" s="29"/>
      <c r="AQ710" s="29"/>
      <c r="AR710" s="29"/>
      <c r="AS710" s="82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0">
        <f t="shared" si="92"/>
        <v>0</v>
      </c>
      <c r="BO710" s="20">
        <f t="shared" si="93"/>
        <v>0</v>
      </c>
      <c r="BP710" s="20">
        <f t="shared" si="94"/>
        <v>165</v>
      </c>
      <c r="BQ710" s="55">
        <f t="shared" si="95"/>
        <v>24.75</v>
      </c>
      <c r="BR710" s="68" t="s">
        <v>803</v>
      </c>
      <c r="BS710" s="91" t="s">
        <v>804</v>
      </c>
      <c r="BT710" s="57"/>
      <c r="BU710" s="44" t="s">
        <v>1210</v>
      </c>
    </row>
    <row r="711" s="1" customFormat="1" customHeight="1" spans="1:73">
      <c r="A711" s="41" t="s">
        <v>1209</v>
      </c>
      <c r="B711" s="15">
        <v>160</v>
      </c>
      <c r="C711" s="29">
        <v>116</v>
      </c>
      <c r="D711" s="29"/>
      <c r="E711" s="30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30"/>
      <c r="X711" s="29"/>
      <c r="Y711" s="29"/>
      <c r="Z711" s="29"/>
      <c r="AA711" s="29"/>
      <c r="AB711" s="29"/>
      <c r="AC711" s="30"/>
      <c r="AD711" s="29"/>
      <c r="AE711" s="30"/>
      <c r="AF711" s="29"/>
      <c r="AG711" s="30"/>
      <c r="AH711" s="29"/>
      <c r="AI711" s="29"/>
      <c r="AJ711" s="30"/>
      <c r="AK711" s="30"/>
      <c r="AL711" s="29"/>
      <c r="AM711" s="30"/>
      <c r="AN711" s="29"/>
      <c r="AO711" s="29"/>
      <c r="AP711" s="29"/>
      <c r="AQ711" s="29"/>
      <c r="AR711" s="29"/>
      <c r="AS711" s="82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0">
        <f t="shared" si="92"/>
        <v>0</v>
      </c>
      <c r="BO711" s="20">
        <f t="shared" si="93"/>
        <v>0</v>
      </c>
      <c r="BP711" s="20">
        <f t="shared" si="94"/>
        <v>116</v>
      </c>
      <c r="BQ711" s="55">
        <f t="shared" si="95"/>
        <v>18.56</v>
      </c>
      <c r="BR711" s="68" t="s">
        <v>921</v>
      </c>
      <c r="BS711" s="91" t="s">
        <v>902</v>
      </c>
      <c r="BT711" s="57"/>
      <c r="BU711" s="44" t="s">
        <v>1210</v>
      </c>
    </row>
    <row r="712" s="1" customFormat="1" customHeight="1" spans="1:73">
      <c r="A712" s="41" t="s">
        <v>1209</v>
      </c>
      <c r="B712" s="15">
        <v>165</v>
      </c>
      <c r="C712" s="29">
        <v>41</v>
      </c>
      <c r="D712" s="29"/>
      <c r="E712" s="30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30"/>
      <c r="X712" s="29"/>
      <c r="Y712" s="29"/>
      <c r="Z712" s="29"/>
      <c r="AA712" s="29"/>
      <c r="AB712" s="29"/>
      <c r="AC712" s="30"/>
      <c r="AD712" s="29"/>
      <c r="AE712" s="30"/>
      <c r="AF712" s="29"/>
      <c r="AG712" s="30"/>
      <c r="AH712" s="29"/>
      <c r="AI712" s="29"/>
      <c r="AJ712" s="30"/>
      <c r="AK712" s="30"/>
      <c r="AL712" s="29"/>
      <c r="AM712" s="30"/>
      <c r="AN712" s="29"/>
      <c r="AO712" s="29"/>
      <c r="AP712" s="29"/>
      <c r="AQ712" s="29"/>
      <c r="AR712" s="29"/>
      <c r="AS712" s="82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0">
        <f t="shared" si="92"/>
        <v>0</v>
      </c>
      <c r="BO712" s="20">
        <f t="shared" si="93"/>
        <v>0</v>
      </c>
      <c r="BP712" s="20">
        <f t="shared" si="94"/>
        <v>41</v>
      </c>
      <c r="BQ712" s="55">
        <f t="shared" si="95"/>
        <v>6.765</v>
      </c>
      <c r="BR712" s="68" t="s">
        <v>994</v>
      </c>
      <c r="BS712" s="91" t="s">
        <v>995</v>
      </c>
      <c r="BT712" s="57"/>
      <c r="BU712" s="44" t="s">
        <v>1210</v>
      </c>
    </row>
    <row r="713" s="1" customFormat="1" customHeight="1" spans="1:73">
      <c r="A713" s="41" t="s">
        <v>1209</v>
      </c>
      <c r="B713" s="15">
        <v>170</v>
      </c>
      <c r="C713" s="29">
        <v>51</v>
      </c>
      <c r="D713" s="29"/>
      <c r="E713" s="30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30"/>
      <c r="X713" s="29"/>
      <c r="Y713" s="29"/>
      <c r="Z713" s="29"/>
      <c r="AA713" s="29"/>
      <c r="AB713" s="29"/>
      <c r="AC713" s="30"/>
      <c r="AD713" s="29"/>
      <c r="AE713" s="30"/>
      <c r="AF713" s="29"/>
      <c r="AG713" s="30"/>
      <c r="AH713" s="29"/>
      <c r="AI713" s="29"/>
      <c r="AJ713" s="30"/>
      <c r="AK713" s="30"/>
      <c r="AL713" s="29"/>
      <c r="AM713" s="30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0">
        <f t="shared" si="92"/>
        <v>0</v>
      </c>
      <c r="BO713" s="20">
        <f t="shared" si="93"/>
        <v>0</v>
      </c>
      <c r="BP713" s="20">
        <f t="shared" si="94"/>
        <v>51</v>
      </c>
      <c r="BQ713" s="55">
        <f t="shared" si="95"/>
        <v>8.67</v>
      </c>
      <c r="BR713" s="68" t="s">
        <v>719</v>
      </c>
      <c r="BS713" s="91" t="s">
        <v>720</v>
      </c>
      <c r="BT713" s="57"/>
      <c r="BU713" s="44" t="s">
        <v>1210</v>
      </c>
    </row>
    <row r="714" s="1" customFormat="1" customHeight="1" spans="1:73">
      <c r="A714" s="41" t="s">
        <v>1209</v>
      </c>
      <c r="B714" s="15">
        <v>195</v>
      </c>
      <c r="C714" s="29">
        <v>98</v>
      </c>
      <c r="D714" s="29"/>
      <c r="E714" s="30"/>
      <c r="F714" s="29"/>
      <c r="G714" s="29"/>
      <c r="H714" s="29"/>
      <c r="I714" s="29">
        <v>4</v>
      </c>
      <c r="J714" s="29"/>
      <c r="K714" s="29">
        <v>80</v>
      </c>
      <c r="L714" s="29"/>
      <c r="M714" s="29"/>
      <c r="N714" s="29"/>
      <c r="O714" s="30"/>
      <c r="P714" s="29"/>
      <c r="Q714" s="29"/>
      <c r="R714" s="29"/>
      <c r="S714" s="29"/>
      <c r="T714" s="29"/>
      <c r="U714" s="29"/>
      <c r="V714" s="29"/>
      <c r="W714" s="30"/>
      <c r="X714" s="29"/>
      <c r="Y714" s="29"/>
      <c r="Z714" s="29"/>
      <c r="AA714" s="29"/>
      <c r="AB714" s="29"/>
      <c r="AC714" s="30"/>
      <c r="AD714" s="29"/>
      <c r="AE714" s="30"/>
      <c r="AF714" s="29"/>
      <c r="AG714" s="30"/>
      <c r="AH714" s="29"/>
      <c r="AI714" s="29"/>
      <c r="AJ714" s="29"/>
      <c r="AK714" s="30"/>
      <c r="AL714" s="29"/>
      <c r="AM714" s="30"/>
      <c r="AN714" s="29"/>
      <c r="AO714" s="29"/>
      <c r="AP714" s="29"/>
      <c r="AQ714" s="29"/>
      <c r="AR714" s="29"/>
      <c r="AS714" s="82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0">
        <f t="shared" si="92"/>
        <v>0</v>
      </c>
      <c r="BO714" s="20">
        <f t="shared" si="93"/>
        <v>84</v>
      </c>
      <c r="BP714" s="20">
        <f t="shared" si="94"/>
        <v>14</v>
      </c>
      <c r="BQ714" s="55">
        <f t="shared" si="95"/>
        <v>2.73</v>
      </c>
      <c r="BR714" s="68" t="s">
        <v>919</v>
      </c>
      <c r="BS714" s="91" t="s">
        <v>923</v>
      </c>
      <c r="BT714" s="57" t="s">
        <v>1217</v>
      </c>
      <c r="BU714" s="44" t="s">
        <v>1210</v>
      </c>
    </row>
    <row r="715" s="1" customFormat="1" customHeight="1" spans="1:73">
      <c r="A715" s="37" t="s">
        <v>1209</v>
      </c>
      <c r="B715" s="15">
        <v>207</v>
      </c>
      <c r="C715" s="16">
        <v>142</v>
      </c>
      <c r="D715" s="29"/>
      <c r="E715" s="30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30"/>
      <c r="X715" s="29"/>
      <c r="Y715" s="29"/>
      <c r="Z715" s="29"/>
      <c r="AA715" s="29"/>
      <c r="AB715" s="29"/>
      <c r="AC715" s="30"/>
      <c r="AD715" s="29"/>
      <c r="AE715" s="30"/>
      <c r="AF715" s="29"/>
      <c r="AG715" s="30"/>
      <c r="AH715" s="29"/>
      <c r="AI715" s="29"/>
      <c r="AJ715" s="29"/>
      <c r="AK715" s="30"/>
      <c r="AL715" s="29"/>
      <c r="AM715" s="30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0">
        <f t="shared" si="92"/>
        <v>0</v>
      </c>
      <c r="BO715" s="20">
        <f t="shared" si="93"/>
        <v>0</v>
      </c>
      <c r="BP715" s="20">
        <f t="shared" si="94"/>
        <v>142</v>
      </c>
      <c r="BQ715" s="55">
        <f t="shared" si="95"/>
        <v>29.394</v>
      </c>
      <c r="BR715" s="56" t="s">
        <v>820</v>
      </c>
      <c r="BS715" s="91" t="s">
        <v>821</v>
      </c>
      <c r="BT715" s="57"/>
      <c r="BU715" s="35" t="s">
        <v>1210</v>
      </c>
    </row>
    <row r="716" s="1" customFormat="1" customHeight="1" spans="1:73">
      <c r="A716" s="37" t="s">
        <v>1209</v>
      </c>
      <c r="B716" s="15">
        <v>210</v>
      </c>
      <c r="C716" s="16">
        <v>80</v>
      </c>
      <c r="D716" s="29"/>
      <c r="E716" s="30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30"/>
      <c r="X716" s="29"/>
      <c r="Y716" s="29"/>
      <c r="Z716" s="29"/>
      <c r="AA716" s="29"/>
      <c r="AB716" s="29"/>
      <c r="AC716" s="30"/>
      <c r="AD716" s="29"/>
      <c r="AE716" s="30"/>
      <c r="AF716" s="29"/>
      <c r="AG716" s="30"/>
      <c r="AH716" s="29"/>
      <c r="AI716" s="29"/>
      <c r="AJ716" s="29"/>
      <c r="AK716" s="30"/>
      <c r="AL716" s="29"/>
      <c r="AM716" s="30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0">
        <f t="shared" si="92"/>
        <v>0</v>
      </c>
      <c r="BO716" s="20">
        <f t="shared" si="93"/>
        <v>0</v>
      </c>
      <c r="BP716" s="20">
        <f t="shared" si="94"/>
        <v>80</v>
      </c>
      <c r="BQ716" s="55">
        <f t="shared" si="95"/>
        <v>16.8</v>
      </c>
      <c r="BR716" s="56" t="s">
        <v>1218</v>
      </c>
      <c r="BS716" s="91" t="s">
        <v>1219</v>
      </c>
      <c r="BT716" s="57"/>
      <c r="BU716" s="35" t="s">
        <v>1210</v>
      </c>
    </row>
    <row r="717" s="1" customFormat="1" customHeight="1" spans="1:73">
      <c r="A717" s="37" t="s">
        <v>1209</v>
      </c>
      <c r="B717" s="15">
        <v>214</v>
      </c>
      <c r="C717" s="16">
        <v>138</v>
      </c>
      <c r="D717" s="29"/>
      <c r="E717" s="30"/>
      <c r="F717" s="29"/>
      <c r="G717" s="29"/>
      <c r="H717" s="29"/>
      <c r="I717" s="29"/>
      <c r="J717" s="29"/>
      <c r="K717" s="29"/>
      <c r="L717" s="29"/>
      <c r="M717" s="29"/>
      <c r="N717" s="29"/>
      <c r="O717" s="29">
        <v>10</v>
      </c>
      <c r="P717" s="29"/>
      <c r="Q717" s="29"/>
      <c r="R717" s="29"/>
      <c r="S717" s="29"/>
      <c r="T717" s="29"/>
      <c r="U717" s="29"/>
      <c r="V717" s="29"/>
      <c r="W717" s="30"/>
      <c r="X717" s="29"/>
      <c r="Y717" s="29"/>
      <c r="Z717" s="29"/>
      <c r="AA717" s="29"/>
      <c r="AB717" s="29"/>
      <c r="AC717" s="30"/>
      <c r="AD717" s="29"/>
      <c r="AE717" s="30"/>
      <c r="AF717" s="29"/>
      <c r="AG717" s="30"/>
      <c r="AH717" s="29"/>
      <c r="AI717" s="29"/>
      <c r="AJ717" s="29"/>
      <c r="AK717" s="30"/>
      <c r="AL717" s="29"/>
      <c r="AM717" s="30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0">
        <f t="shared" si="92"/>
        <v>0</v>
      </c>
      <c r="BO717" s="20">
        <f t="shared" si="93"/>
        <v>10</v>
      </c>
      <c r="BP717" s="20">
        <f t="shared" si="94"/>
        <v>128</v>
      </c>
      <c r="BQ717" s="55">
        <f t="shared" si="95"/>
        <v>27.392</v>
      </c>
      <c r="BR717" s="56" t="s">
        <v>1218</v>
      </c>
      <c r="BS717" s="91" t="s">
        <v>902</v>
      </c>
      <c r="BT717" s="57" t="s">
        <v>994</v>
      </c>
      <c r="BU717" s="35" t="s">
        <v>1210</v>
      </c>
    </row>
    <row r="718" s="1" customFormat="1" customHeight="1" spans="1:73">
      <c r="A718" s="37" t="s">
        <v>1209</v>
      </c>
      <c r="B718" s="15">
        <v>230</v>
      </c>
      <c r="C718" s="16">
        <v>106</v>
      </c>
      <c r="D718" s="29"/>
      <c r="E718" s="30"/>
      <c r="F718" s="29"/>
      <c r="G718" s="29"/>
      <c r="H718" s="29"/>
      <c r="I718" s="29"/>
      <c r="J718" s="29"/>
      <c r="K718" s="29">
        <v>43</v>
      </c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30"/>
      <c r="X718" s="29"/>
      <c r="Y718" s="29"/>
      <c r="Z718" s="29"/>
      <c r="AA718" s="29"/>
      <c r="AB718" s="29"/>
      <c r="AC718" s="30"/>
      <c r="AD718" s="29"/>
      <c r="AE718" s="30"/>
      <c r="AF718" s="29"/>
      <c r="AG718" s="30"/>
      <c r="AH718" s="29"/>
      <c r="AI718" s="29"/>
      <c r="AJ718" s="29"/>
      <c r="AK718" s="30"/>
      <c r="AL718" s="29"/>
      <c r="AM718" s="30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0">
        <f t="shared" si="92"/>
        <v>0</v>
      </c>
      <c r="BO718" s="20">
        <f t="shared" si="93"/>
        <v>43</v>
      </c>
      <c r="BP718" s="20">
        <f t="shared" si="94"/>
        <v>63</v>
      </c>
      <c r="BQ718" s="55">
        <f t="shared" si="95"/>
        <v>14.49</v>
      </c>
      <c r="BR718" s="56" t="s">
        <v>919</v>
      </c>
      <c r="BS718" s="91" t="s">
        <v>923</v>
      </c>
      <c r="BT718" s="57" t="s">
        <v>1220</v>
      </c>
      <c r="BU718" s="35" t="s">
        <v>1210</v>
      </c>
    </row>
    <row r="719" s="1" customFormat="1" customHeight="1" spans="1:73">
      <c r="A719" s="37" t="s">
        <v>1209</v>
      </c>
      <c r="B719" s="15">
        <v>240</v>
      </c>
      <c r="C719" s="16">
        <v>20</v>
      </c>
      <c r="D719" s="29"/>
      <c r="E719" s="30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30"/>
      <c r="X719" s="29"/>
      <c r="Y719" s="29"/>
      <c r="Z719" s="29"/>
      <c r="AA719" s="29"/>
      <c r="AB719" s="29"/>
      <c r="AC719" s="30"/>
      <c r="AD719" s="29"/>
      <c r="AE719" s="30"/>
      <c r="AF719" s="29"/>
      <c r="AG719" s="30"/>
      <c r="AH719" s="29"/>
      <c r="AI719" s="29"/>
      <c r="AJ719" s="29"/>
      <c r="AK719" s="30"/>
      <c r="AL719" s="29"/>
      <c r="AM719" s="30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0">
        <f t="shared" si="92"/>
        <v>0</v>
      </c>
      <c r="BO719" s="20">
        <f t="shared" si="93"/>
        <v>0</v>
      </c>
      <c r="BP719" s="20">
        <f t="shared" si="94"/>
        <v>20</v>
      </c>
      <c r="BQ719" s="55">
        <f t="shared" si="95"/>
        <v>4.8</v>
      </c>
      <c r="BR719" s="56" t="s">
        <v>803</v>
      </c>
      <c r="BS719" s="91" t="s">
        <v>1205</v>
      </c>
      <c r="BT719" s="57" t="s">
        <v>1221</v>
      </c>
      <c r="BU719" s="35" t="s">
        <v>1210</v>
      </c>
    </row>
    <row r="720" s="1" customFormat="1" customHeight="1" spans="1:73">
      <c r="A720" s="37" t="s">
        <v>1209</v>
      </c>
      <c r="B720" s="15">
        <v>260</v>
      </c>
      <c r="C720" s="16">
        <v>130</v>
      </c>
      <c r="D720" s="29"/>
      <c r="E720" s="30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30"/>
      <c r="X720" s="29"/>
      <c r="Y720" s="29"/>
      <c r="Z720" s="29"/>
      <c r="AA720" s="29"/>
      <c r="AB720" s="29"/>
      <c r="AC720" s="30"/>
      <c r="AD720" s="29"/>
      <c r="AE720" s="30"/>
      <c r="AF720" s="29"/>
      <c r="AG720" s="30"/>
      <c r="AH720" s="29"/>
      <c r="AI720" s="29"/>
      <c r="AJ720" s="29"/>
      <c r="AK720" s="30"/>
      <c r="AL720" s="29"/>
      <c r="AM720" s="30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0">
        <f t="shared" si="92"/>
        <v>0</v>
      </c>
      <c r="BO720" s="20">
        <f t="shared" si="93"/>
        <v>0</v>
      </c>
      <c r="BP720" s="20">
        <f t="shared" si="94"/>
        <v>130</v>
      </c>
      <c r="BQ720" s="55">
        <f t="shared" si="95"/>
        <v>33.8</v>
      </c>
      <c r="BR720" s="56" t="s">
        <v>954</v>
      </c>
      <c r="BS720" s="91" t="s">
        <v>949</v>
      </c>
      <c r="BT720" s="57"/>
      <c r="BU720" s="35" t="s">
        <v>1210</v>
      </c>
    </row>
    <row r="721" s="1" customFormat="1" customHeight="1" spans="1:73">
      <c r="A721" s="37" t="s">
        <v>1209</v>
      </c>
      <c r="B721" s="15">
        <v>265</v>
      </c>
      <c r="C721" s="16">
        <v>15</v>
      </c>
      <c r="D721" s="29"/>
      <c r="E721" s="30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30"/>
      <c r="X721" s="29"/>
      <c r="Y721" s="29"/>
      <c r="Z721" s="29"/>
      <c r="AA721" s="29"/>
      <c r="AB721" s="29"/>
      <c r="AC721" s="30"/>
      <c r="AD721" s="29"/>
      <c r="AE721" s="30"/>
      <c r="AF721" s="29"/>
      <c r="AG721" s="30"/>
      <c r="AH721" s="29"/>
      <c r="AI721" s="29"/>
      <c r="AJ721" s="29"/>
      <c r="AK721" s="30"/>
      <c r="AL721" s="29"/>
      <c r="AM721" s="30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0">
        <f t="shared" si="92"/>
        <v>0</v>
      </c>
      <c r="BO721" s="20">
        <f t="shared" si="93"/>
        <v>0</v>
      </c>
      <c r="BP721" s="20">
        <f t="shared" si="94"/>
        <v>15</v>
      </c>
      <c r="BQ721" s="55">
        <f t="shared" si="95"/>
        <v>3.975</v>
      </c>
      <c r="BR721" s="56" t="s">
        <v>820</v>
      </c>
      <c r="BS721" s="91" t="s">
        <v>1222</v>
      </c>
      <c r="BT721" s="57"/>
      <c r="BU721" s="35" t="s">
        <v>1210</v>
      </c>
    </row>
    <row r="722" s="1" customFormat="1" customHeight="1" spans="1:73">
      <c r="A722" s="37" t="s">
        <v>1209</v>
      </c>
      <c r="B722" s="15">
        <v>275</v>
      </c>
      <c r="C722" s="16">
        <v>70</v>
      </c>
      <c r="D722" s="29"/>
      <c r="E722" s="30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30"/>
      <c r="X722" s="29"/>
      <c r="Y722" s="29"/>
      <c r="Z722" s="29"/>
      <c r="AA722" s="29"/>
      <c r="AB722" s="29"/>
      <c r="AC722" s="30"/>
      <c r="AD722" s="29"/>
      <c r="AE722" s="30"/>
      <c r="AF722" s="29"/>
      <c r="AG722" s="30"/>
      <c r="AH722" s="29"/>
      <c r="AI722" s="29"/>
      <c r="AJ722" s="29"/>
      <c r="AK722" s="30"/>
      <c r="AL722" s="29"/>
      <c r="AM722" s="30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0">
        <f t="shared" si="92"/>
        <v>0</v>
      </c>
      <c r="BO722" s="20">
        <f t="shared" si="93"/>
        <v>0</v>
      </c>
      <c r="BP722" s="20">
        <f t="shared" si="94"/>
        <v>70</v>
      </c>
      <c r="BQ722" s="55">
        <f t="shared" si="95"/>
        <v>19.25</v>
      </c>
      <c r="BR722" s="56" t="s">
        <v>994</v>
      </c>
      <c r="BS722" s="91" t="s">
        <v>995</v>
      </c>
      <c r="BT722" s="57"/>
      <c r="BU722" s="35" t="s">
        <v>1210</v>
      </c>
    </row>
    <row r="723" s="1" customFormat="1" customHeight="1" spans="1:73">
      <c r="A723" s="37" t="s">
        <v>1209</v>
      </c>
      <c r="B723" s="15">
        <v>280</v>
      </c>
      <c r="C723" s="16">
        <v>116</v>
      </c>
      <c r="D723" s="29"/>
      <c r="E723" s="30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30"/>
      <c r="X723" s="29"/>
      <c r="Y723" s="29"/>
      <c r="Z723" s="29"/>
      <c r="AA723" s="29"/>
      <c r="AB723" s="29"/>
      <c r="AC723" s="30"/>
      <c r="AD723" s="30"/>
      <c r="AE723" s="30"/>
      <c r="AF723" s="29"/>
      <c r="AG723" s="30"/>
      <c r="AH723" s="29"/>
      <c r="AI723" s="29"/>
      <c r="AJ723" s="29"/>
      <c r="AK723" s="30"/>
      <c r="AL723" s="29"/>
      <c r="AM723" s="30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0">
        <f t="shared" si="92"/>
        <v>0</v>
      </c>
      <c r="BO723" s="20">
        <f t="shared" si="93"/>
        <v>0</v>
      </c>
      <c r="BP723" s="20">
        <f t="shared" si="94"/>
        <v>116</v>
      </c>
      <c r="BQ723" s="55">
        <f t="shared" si="95"/>
        <v>32.48</v>
      </c>
      <c r="BR723" s="56" t="s">
        <v>710</v>
      </c>
      <c r="BS723" s="91" t="s">
        <v>1205</v>
      </c>
      <c r="BT723" s="57"/>
      <c r="BU723" s="35" t="s">
        <v>1210</v>
      </c>
    </row>
    <row r="724" s="1" customFormat="1" customHeight="1" spans="1:73">
      <c r="A724" s="37" t="s">
        <v>1209</v>
      </c>
      <c r="B724" s="15">
        <v>290</v>
      </c>
      <c r="C724" s="16">
        <v>83</v>
      </c>
      <c r="D724" s="29"/>
      <c r="E724" s="30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30"/>
      <c r="X724" s="29"/>
      <c r="Y724" s="29"/>
      <c r="Z724" s="29"/>
      <c r="AA724" s="29"/>
      <c r="AB724" s="29"/>
      <c r="AC724" s="30"/>
      <c r="AD724" s="30"/>
      <c r="AE724" s="30"/>
      <c r="AF724" s="29"/>
      <c r="AG724" s="30"/>
      <c r="AH724" s="29"/>
      <c r="AI724" s="29"/>
      <c r="AJ724" s="29"/>
      <c r="AK724" s="30"/>
      <c r="AL724" s="29"/>
      <c r="AM724" s="30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0">
        <f t="shared" si="92"/>
        <v>0</v>
      </c>
      <c r="BO724" s="20">
        <f t="shared" si="93"/>
        <v>0</v>
      </c>
      <c r="BP724" s="20">
        <f t="shared" si="94"/>
        <v>83</v>
      </c>
      <c r="BQ724" s="55">
        <f t="shared" si="95"/>
        <v>24.07</v>
      </c>
      <c r="BR724" s="56" t="s">
        <v>420</v>
      </c>
      <c r="BS724" s="91" t="s">
        <v>1214</v>
      </c>
      <c r="BT724" s="57" t="s">
        <v>1223</v>
      </c>
      <c r="BU724" s="35" t="s">
        <v>1210</v>
      </c>
    </row>
    <row r="725" s="1" customFormat="1" customHeight="1" spans="1:73">
      <c r="A725" s="37" t="s">
        <v>1209</v>
      </c>
      <c r="B725" s="15">
        <v>295</v>
      </c>
      <c r="C725" s="16">
        <v>25</v>
      </c>
      <c r="D725" s="29"/>
      <c r="E725" s="30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30"/>
      <c r="X725" s="29"/>
      <c r="Y725" s="29"/>
      <c r="Z725" s="29"/>
      <c r="AA725" s="29"/>
      <c r="AB725" s="29"/>
      <c r="AC725" s="30"/>
      <c r="AD725" s="30"/>
      <c r="AE725" s="30"/>
      <c r="AF725" s="29"/>
      <c r="AG725" s="30"/>
      <c r="AH725" s="29"/>
      <c r="AI725" s="29"/>
      <c r="AJ725" s="29"/>
      <c r="AK725" s="30"/>
      <c r="AL725" s="29"/>
      <c r="AM725" s="30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0">
        <f t="shared" si="92"/>
        <v>0</v>
      </c>
      <c r="BO725" s="20">
        <f t="shared" si="93"/>
        <v>0</v>
      </c>
      <c r="BP725" s="20">
        <f t="shared" si="94"/>
        <v>25</v>
      </c>
      <c r="BQ725" s="55">
        <f t="shared" si="95"/>
        <v>7.375</v>
      </c>
      <c r="BR725" s="68" t="s">
        <v>994</v>
      </c>
      <c r="BS725" s="91" t="s">
        <v>995</v>
      </c>
      <c r="BT725" s="57"/>
      <c r="BU725" s="35" t="s">
        <v>1210</v>
      </c>
    </row>
    <row r="726" s="1" customFormat="1" customHeight="1" spans="1:73">
      <c r="A726" s="37" t="s">
        <v>1209</v>
      </c>
      <c r="B726" s="15">
        <v>305</v>
      </c>
      <c r="C726" s="16">
        <v>133</v>
      </c>
      <c r="D726" s="29"/>
      <c r="E726" s="30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30"/>
      <c r="X726" s="29"/>
      <c r="Y726" s="29"/>
      <c r="Z726" s="29"/>
      <c r="AA726" s="29"/>
      <c r="AB726" s="29"/>
      <c r="AC726" s="30"/>
      <c r="AD726" s="30"/>
      <c r="AE726" s="30"/>
      <c r="AF726" s="29"/>
      <c r="AG726" s="30"/>
      <c r="AH726" s="29"/>
      <c r="AI726" s="29"/>
      <c r="AJ726" s="30"/>
      <c r="AK726" s="29"/>
      <c r="AL726" s="29"/>
      <c r="AM726" s="30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0">
        <f t="shared" si="92"/>
        <v>0</v>
      </c>
      <c r="BO726" s="20">
        <f t="shared" si="93"/>
        <v>0</v>
      </c>
      <c r="BP726" s="20">
        <f t="shared" si="94"/>
        <v>133</v>
      </c>
      <c r="BQ726" s="55">
        <f t="shared" si="95"/>
        <v>40.565</v>
      </c>
      <c r="BR726" s="56" t="s">
        <v>921</v>
      </c>
      <c r="BS726" s="91" t="s">
        <v>949</v>
      </c>
      <c r="BT726" s="57"/>
      <c r="BU726" s="35" t="s">
        <v>1210</v>
      </c>
    </row>
    <row r="727" s="1" customFormat="1" customHeight="1" spans="1:73">
      <c r="A727" s="37" t="s">
        <v>1209</v>
      </c>
      <c r="B727" s="15">
        <v>320</v>
      </c>
      <c r="C727" s="16">
        <v>73</v>
      </c>
      <c r="D727" s="29"/>
      <c r="E727" s="30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30"/>
      <c r="X727" s="29"/>
      <c r="Y727" s="29"/>
      <c r="Z727" s="29"/>
      <c r="AA727" s="29"/>
      <c r="AB727" s="29"/>
      <c r="AC727" s="30"/>
      <c r="AD727" s="30"/>
      <c r="AE727" s="30"/>
      <c r="AF727" s="29"/>
      <c r="AG727" s="30"/>
      <c r="AH727" s="29"/>
      <c r="AI727" s="29"/>
      <c r="AJ727" s="29"/>
      <c r="AK727" s="30"/>
      <c r="AL727" s="29"/>
      <c r="AM727" s="30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0">
        <f t="shared" si="92"/>
        <v>0</v>
      </c>
      <c r="BO727" s="20">
        <f t="shared" si="93"/>
        <v>0</v>
      </c>
      <c r="BP727" s="20">
        <f t="shared" si="94"/>
        <v>73</v>
      </c>
      <c r="BQ727" s="55">
        <f t="shared" si="95"/>
        <v>23.36</v>
      </c>
      <c r="BR727" s="56" t="s">
        <v>710</v>
      </c>
      <c r="BS727" s="91" t="s">
        <v>1224</v>
      </c>
      <c r="BT727" s="57"/>
      <c r="BU727" s="35" t="s">
        <v>1210</v>
      </c>
    </row>
    <row r="728" s="1" customFormat="1" customHeight="1" spans="1:73">
      <c r="A728" s="37" t="s">
        <v>1209</v>
      </c>
      <c r="B728" s="15">
        <v>360</v>
      </c>
      <c r="C728" s="16">
        <v>55</v>
      </c>
      <c r="D728" s="29"/>
      <c r="E728" s="30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30"/>
      <c r="X728" s="29"/>
      <c r="Y728" s="29"/>
      <c r="Z728" s="29"/>
      <c r="AA728" s="29"/>
      <c r="AB728" s="29"/>
      <c r="AC728" s="30"/>
      <c r="AD728" s="30"/>
      <c r="AE728" s="30"/>
      <c r="AF728" s="29"/>
      <c r="AG728" s="30"/>
      <c r="AH728" s="29"/>
      <c r="AI728" s="29"/>
      <c r="AJ728" s="29"/>
      <c r="AK728" s="30"/>
      <c r="AL728" s="29"/>
      <c r="AM728" s="30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0">
        <f t="shared" si="92"/>
        <v>0</v>
      </c>
      <c r="BO728" s="20">
        <f t="shared" si="93"/>
        <v>0</v>
      </c>
      <c r="BP728" s="20">
        <f t="shared" si="94"/>
        <v>55</v>
      </c>
      <c r="BQ728" s="55">
        <f t="shared" si="95"/>
        <v>19.8</v>
      </c>
      <c r="BR728" s="56" t="s">
        <v>719</v>
      </c>
      <c r="BS728" s="91" t="s">
        <v>720</v>
      </c>
      <c r="BT728" s="57"/>
      <c r="BU728" s="35" t="s">
        <v>1210</v>
      </c>
    </row>
    <row r="729" s="1" customFormat="1" customHeight="1" spans="1:73">
      <c r="A729" s="37" t="s">
        <v>1209</v>
      </c>
      <c r="B729" s="15">
        <v>370</v>
      </c>
      <c r="C729" s="16">
        <v>130</v>
      </c>
      <c r="D729" s="29"/>
      <c r="E729" s="30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30"/>
      <c r="X729" s="29"/>
      <c r="Y729" s="29"/>
      <c r="Z729" s="29"/>
      <c r="AA729" s="29"/>
      <c r="AB729" s="29"/>
      <c r="AC729" s="30"/>
      <c r="AD729" s="30"/>
      <c r="AE729" s="30"/>
      <c r="AF729" s="29"/>
      <c r="AG729" s="30"/>
      <c r="AH729" s="29"/>
      <c r="AI729" s="29"/>
      <c r="AJ729" s="29"/>
      <c r="AK729" s="30"/>
      <c r="AL729" s="29"/>
      <c r="AM729" s="30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0">
        <f t="shared" si="92"/>
        <v>0</v>
      </c>
      <c r="BO729" s="20">
        <f t="shared" si="93"/>
        <v>0</v>
      </c>
      <c r="BP729" s="20">
        <f t="shared" si="94"/>
        <v>130</v>
      </c>
      <c r="BQ729" s="55">
        <f t="shared" si="95"/>
        <v>48.1</v>
      </c>
      <c r="BR729" s="56" t="s">
        <v>719</v>
      </c>
      <c r="BS729" s="91" t="s">
        <v>720</v>
      </c>
      <c r="BT729" s="57"/>
      <c r="BU729" s="35" t="s">
        <v>1210</v>
      </c>
    </row>
    <row r="730" s="1" customFormat="1" customHeight="1" spans="1:73">
      <c r="A730" s="53" t="s">
        <v>1225</v>
      </c>
      <c r="B730" s="15"/>
      <c r="C730" s="16"/>
      <c r="D730" s="29"/>
      <c r="E730" s="30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30"/>
      <c r="X730" s="29"/>
      <c r="Y730" s="29"/>
      <c r="Z730" s="29"/>
      <c r="AA730" s="29"/>
      <c r="AB730" s="29"/>
      <c r="AC730" s="30"/>
      <c r="AD730" s="29"/>
      <c r="AE730" s="30"/>
      <c r="AF730" s="29"/>
      <c r="AG730" s="30"/>
      <c r="AH730" s="29"/>
      <c r="AI730" s="29"/>
      <c r="AJ730" s="29"/>
      <c r="AK730" s="30"/>
      <c r="AL730" s="29"/>
      <c r="AM730" s="30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0">
        <f t="shared" si="92"/>
        <v>0</v>
      </c>
      <c r="BO730" s="20">
        <f t="shared" si="93"/>
        <v>0</v>
      </c>
      <c r="BP730" s="20">
        <f t="shared" si="94"/>
        <v>0</v>
      </c>
      <c r="BQ730" s="51"/>
      <c r="BR730" s="56"/>
      <c r="BS730" s="91"/>
      <c r="BT730" s="57"/>
      <c r="BU730" s="35"/>
    </row>
    <row r="731" s="1" customFormat="1" customHeight="1" spans="1:73">
      <c r="A731" s="15" t="s">
        <v>1226</v>
      </c>
      <c r="B731" s="15">
        <v>115</v>
      </c>
      <c r="C731" s="16">
        <v>78</v>
      </c>
      <c r="D731" s="29"/>
      <c r="E731" s="30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30"/>
      <c r="AH731" s="29"/>
      <c r="AI731" s="29"/>
      <c r="AJ731" s="29"/>
      <c r="AK731" s="30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0">
        <f t="shared" si="92"/>
        <v>0</v>
      </c>
      <c r="BO731" s="20">
        <f t="shared" si="93"/>
        <v>0</v>
      </c>
      <c r="BP731" s="20">
        <f t="shared" si="94"/>
        <v>78</v>
      </c>
      <c r="BQ731" s="51">
        <f t="shared" ref="BQ731:BQ745" si="96">B731*BP731/1000</f>
        <v>8.97</v>
      </c>
      <c r="BR731" s="56" t="s">
        <v>667</v>
      </c>
      <c r="BS731" s="91" t="s">
        <v>1227</v>
      </c>
      <c r="BT731" s="36"/>
      <c r="BU731" s="35" t="s">
        <v>1228</v>
      </c>
    </row>
    <row r="732" s="1" customFormat="1" customHeight="1" spans="1:73">
      <c r="A732" s="39" t="s">
        <v>1226</v>
      </c>
      <c r="B732" s="15">
        <v>125</v>
      </c>
      <c r="C732" s="29">
        <v>279</v>
      </c>
      <c r="D732" s="29"/>
      <c r="E732" s="30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30"/>
      <c r="AH732" s="29"/>
      <c r="AI732" s="29"/>
      <c r="AJ732" s="29"/>
      <c r="AK732" s="30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0">
        <f t="shared" si="92"/>
        <v>0</v>
      </c>
      <c r="BO732" s="20">
        <f t="shared" si="93"/>
        <v>0</v>
      </c>
      <c r="BP732" s="20">
        <f t="shared" si="94"/>
        <v>279</v>
      </c>
      <c r="BQ732" s="51">
        <f t="shared" si="96"/>
        <v>34.875</v>
      </c>
      <c r="BR732" s="56" t="s">
        <v>1229</v>
      </c>
      <c r="BS732" s="91" t="s">
        <v>910</v>
      </c>
      <c r="BT732" s="36"/>
      <c r="BU732" s="35" t="s">
        <v>1228</v>
      </c>
    </row>
    <row r="733" s="1" customFormat="1" customHeight="1" spans="1:73">
      <c r="A733" s="39" t="s">
        <v>1226</v>
      </c>
      <c r="B733" s="15">
        <v>175</v>
      </c>
      <c r="C733" s="29">
        <v>121</v>
      </c>
      <c r="D733" s="29"/>
      <c r="E733" s="30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30"/>
      <c r="AH733" s="29"/>
      <c r="AI733" s="29"/>
      <c r="AJ733" s="29"/>
      <c r="AK733" s="30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0">
        <f t="shared" si="92"/>
        <v>0</v>
      </c>
      <c r="BO733" s="20">
        <f t="shared" si="93"/>
        <v>0</v>
      </c>
      <c r="BP733" s="20">
        <f t="shared" si="94"/>
        <v>121</v>
      </c>
      <c r="BQ733" s="51">
        <f t="shared" si="96"/>
        <v>21.175</v>
      </c>
      <c r="BR733" s="56" t="s">
        <v>1178</v>
      </c>
      <c r="BS733" s="91" t="s">
        <v>1230</v>
      </c>
      <c r="BT733" s="36"/>
      <c r="BU733" s="35" t="s">
        <v>1228</v>
      </c>
    </row>
    <row r="734" s="1" customFormat="1" customHeight="1" spans="1:73">
      <c r="A734" s="39" t="s">
        <v>1226</v>
      </c>
      <c r="B734" s="15">
        <v>180</v>
      </c>
      <c r="C734" s="29">
        <v>135</v>
      </c>
      <c r="D734" s="29"/>
      <c r="E734" s="30"/>
      <c r="F734" s="29"/>
      <c r="G734" s="29"/>
      <c r="H734" s="29"/>
      <c r="I734" s="29">
        <v>6</v>
      </c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30"/>
      <c r="AH734" s="29"/>
      <c r="AI734" s="29"/>
      <c r="AJ734" s="29"/>
      <c r="AK734" s="30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0">
        <f t="shared" si="92"/>
        <v>0</v>
      </c>
      <c r="BO734" s="20">
        <f t="shared" si="93"/>
        <v>6</v>
      </c>
      <c r="BP734" s="20">
        <f t="shared" si="94"/>
        <v>129</v>
      </c>
      <c r="BQ734" s="51">
        <f t="shared" si="96"/>
        <v>23.22</v>
      </c>
      <c r="BR734" s="56" t="s">
        <v>921</v>
      </c>
      <c r="BS734" s="91" t="s">
        <v>902</v>
      </c>
      <c r="BT734" s="36"/>
      <c r="BU734" s="35" t="s">
        <v>1228</v>
      </c>
    </row>
    <row r="735" s="1" customFormat="1" customHeight="1" spans="1:73">
      <c r="A735" s="39" t="s">
        <v>1226</v>
      </c>
      <c r="B735" s="15">
        <v>185</v>
      </c>
      <c r="C735" s="29">
        <v>32</v>
      </c>
      <c r="D735" s="29"/>
      <c r="E735" s="30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30"/>
      <c r="AH735" s="29"/>
      <c r="AI735" s="29"/>
      <c r="AJ735" s="29"/>
      <c r="AK735" s="30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0">
        <f t="shared" si="92"/>
        <v>0</v>
      </c>
      <c r="BO735" s="20">
        <f t="shared" si="93"/>
        <v>0</v>
      </c>
      <c r="BP735" s="20">
        <f t="shared" si="94"/>
        <v>32</v>
      </c>
      <c r="BQ735" s="51">
        <f t="shared" si="96"/>
        <v>5.92</v>
      </c>
      <c r="BR735" s="56" t="s">
        <v>1229</v>
      </c>
      <c r="BS735" s="91" t="s">
        <v>1231</v>
      </c>
      <c r="BT735" s="36"/>
      <c r="BU735" s="35" t="s">
        <v>1228</v>
      </c>
    </row>
    <row r="736" s="1" customFormat="1" customHeight="1" spans="1:73">
      <c r="A736" s="15" t="s">
        <v>1226</v>
      </c>
      <c r="B736" s="15">
        <v>235</v>
      </c>
      <c r="C736" s="16">
        <v>194</v>
      </c>
      <c r="D736" s="29"/>
      <c r="E736" s="30"/>
      <c r="F736" s="29"/>
      <c r="G736" s="29"/>
      <c r="H736" s="29"/>
      <c r="I736" s="29"/>
      <c r="J736" s="29"/>
      <c r="K736" s="29">
        <v>68</v>
      </c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30"/>
      <c r="AH736" s="29"/>
      <c r="AI736" s="29"/>
      <c r="AJ736" s="29"/>
      <c r="AK736" s="30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0">
        <f t="shared" si="92"/>
        <v>0</v>
      </c>
      <c r="BO736" s="20">
        <f t="shared" si="93"/>
        <v>68</v>
      </c>
      <c r="BP736" s="20">
        <f t="shared" si="94"/>
        <v>126</v>
      </c>
      <c r="BQ736" s="51">
        <f t="shared" si="96"/>
        <v>29.61</v>
      </c>
      <c r="BR736" s="56" t="s">
        <v>683</v>
      </c>
      <c r="BS736" s="91" t="s">
        <v>909</v>
      </c>
      <c r="BT736" s="36"/>
      <c r="BU736" s="35" t="s">
        <v>1232</v>
      </c>
    </row>
    <row r="737" s="1" customFormat="1" customHeight="1" spans="1:73">
      <c r="A737" s="15" t="s">
        <v>1226</v>
      </c>
      <c r="B737" s="15">
        <v>240</v>
      </c>
      <c r="C737" s="16">
        <v>160</v>
      </c>
      <c r="D737" s="29"/>
      <c r="E737" s="30"/>
      <c r="F737" s="29"/>
      <c r="G737" s="29"/>
      <c r="H737" s="29"/>
      <c r="I737" s="29"/>
      <c r="J737" s="29"/>
      <c r="K737" s="29">
        <v>24</v>
      </c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30"/>
      <c r="AH737" s="29"/>
      <c r="AI737" s="29"/>
      <c r="AJ737" s="29"/>
      <c r="AK737" s="30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0">
        <f t="shared" si="92"/>
        <v>0</v>
      </c>
      <c r="BO737" s="20">
        <f t="shared" si="93"/>
        <v>24</v>
      </c>
      <c r="BP737" s="20">
        <f t="shared" si="94"/>
        <v>136</v>
      </c>
      <c r="BQ737" s="51">
        <f t="shared" si="96"/>
        <v>32.64</v>
      </c>
      <c r="BR737" s="56" t="s">
        <v>1233</v>
      </c>
      <c r="BS737" s="91" t="s">
        <v>848</v>
      </c>
      <c r="BT737" s="36"/>
      <c r="BU737" s="35" t="s">
        <v>1232</v>
      </c>
    </row>
    <row r="738" s="1" customFormat="1" customHeight="1" spans="1:73">
      <c r="A738" s="15" t="s">
        <v>1226</v>
      </c>
      <c r="B738" s="15">
        <v>270</v>
      </c>
      <c r="C738" s="16">
        <v>113</v>
      </c>
      <c r="D738" s="29"/>
      <c r="E738" s="30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30"/>
      <c r="AH738" s="29"/>
      <c r="AI738" s="29"/>
      <c r="AJ738" s="29"/>
      <c r="AK738" s="30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0">
        <f t="shared" si="92"/>
        <v>0</v>
      </c>
      <c r="BO738" s="20">
        <f t="shared" si="93"/>
        <v>0</v>
      </c>
      <c r="BP738" s="20">
        <f t="shared" si="94"/>
        <v>113</v>
      </c>
      <c r="BQ738" s="51">
        <f t="shared" si="96"/>
        <v>30.51</v>
      </c>
      <c r="BR738" s="56" t="s">
        <v>868</v>
      </c>
      <c r="BS738" s="91" t="s">
        <v>1231</v>
      </c>
      <c r="BT738" s="36" t="s">
        <v>1234</v>
      </c>
      <c r="BU738" s="35" t="s">
        <v>1232</v>
      </c>
    </row>
    <row r="739" s="1" customFormat="1" customHeight="1" spans="1:73">
      <c r="A739" s="15" t="s">
        <v>1226</v>
      </c>
      <c r="B739" s="15">
        <v>305</v>
      </c>
      <c r="C739" s="16">
        <v>150</v>
      </c>
      <c r="D739" s="29"/>
      <c r="E739" s="30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30"/>
      <c r="AH739" s="29"/>
      <c r="AI739" s="29"/>
      <c r="AJ739" s="29"/>
      <c r="AK739" s="30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0">
        <f t="shared" si="92"/>
        <v>0</v>
      </c>
      <c r="BO739" s="20">
        <f t="shared" si="93"/>
        <v>0</v>
      </c>
      <c r="BP739" s="20">
        <f t="shared" si="94"/>
        <v>150</v>
      </c>
      <c r="BQ739" s="51">
        <f t="shared" si="96"/>
        <v>45.75</v>
      </c>
      <c r="BR739" s="56" t="s">
        <v>908</v>
      </c>
      <c r="BS739" s="91" t="s">
        <v>909</v>
      </c>
      <c r="BT739" s="36"/>
      <c r="BU739" s="35" t="s">
        <v>1232</v>
      </c>
    </row>
    <row r="740" s="1" customFormat="1" customHeight="1" spans="1:73">
      <c r="A740" s="15" t="s">
        <v>1226</v>
      </c>
      <c r="B740" s="15">
        <v>318</v>
      </c>
      <c r="C740" s="16">
        <v>22</v>
      </c>
      <c r="D740" s="29"/>
      <c r="E740" s="30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30"/>
      <c r="AH740" s="29"/>
      <c r="AI740" s="29"/>
      <c r="AJ740" s="29"/>
      <c r="AK740" s="30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0">
        <f t="shared" si="92"/>
        <v>0</v>
      </c>
      <c r="BO740" s="20">
        <f t="shared" si="93"/>
        <v>0</v>
      </c>
      <c r="BP740" s="20">
        <f t="shared" si="94"/>
        <v>22</v>
      </c>
      <c r="BQ740" s="51">
        <f t="shared" si="96"/>
        <v>6.996</v>
      </c>
      <c r="BR740" s="56" t="s">
        <v>922</v>
      </c>
      <c r="BS740" s="91" t="s">
        <v>910</v>
      </c>
      <c r="BT740" s="36"/>
      <c r="BU740" s="35" t="s">
        <v>1232</v>
      </c>
    </row>
    <row r="741" s="1" customFormat="1" customHeight="1" spans="1:73">
      <c r="A741" s="15" t="s">
        <v>1226</v>
      </c>
      <c r="B741" s="15">
        <v>325</v>
      </c>
      <c r="C741" s="16">
        <v>29</v>
      </c>
      <c r="D741" s="29"/>
      <c r="E741" s="30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30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30"/>
      <c r="AH741" s="29"/>
      <c r="AI741" s="29"/>
      <c r="AJ741" s="29"/>
      <c r="AK741" s="30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0">
        <f t="shared" si="92"/>
        <v>0</v>
      </c>
      <c r="BO741" s="20">
        <f t="shared" si="93"/>
        <v>0</v>
      </c>
      <c r="BP741" s="20">
        <f t="shared" si="94"/>
        <v>29</v>
      </c>
      <c r="BQ741" s="51">
        <f t="shared" si="96"/>
        <v>9.425</v>
      </c>
      <c r="BR741" s="56" t="s">
        <v>921</v>
      </c>
      <c r="BS741" s="91" t="s">
        <v>1235</v>
      </c>
      <c r="BT741" s="36"/>
      <c r="BU741" s="35" t="s">
        <v>1232</v>
      </c>
    </row>
    <row r="742" s="1" customFormat="1" customHeight="1" spans="1:73">
      <c r="A742" s="15" t="s">
        <v>1226</v>
      </c>
      <c r="B742" s="15">
        <v>330</v>
      </c>
      <c r="C742" s="16">
        <v>90</v>
      </c>
      <c r="D742" s="29"/>
      <c r="E742" s="30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30"/>
      <c r="AH742" s="29"/>
      <c r="AI742" s="29"/>
      <c r="AJ742" s="29"/>
      <c r="AK742" s="30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0">
        <f t="shared" si="92"/>
        <v>0</v>
      </c>
      <c r="BO742" s="20">
        <f t="shared" si="93"/>
        <v>0</v>
      </c>
      <c r="BP742" s="20">
        <f t="shared" si="94"/>
        <v>90</v>
      </c>
      <c r="BQ742" s="51">
        <f t="shared" si="96"/>
        <v>29.7</v>
      </c>
      <c r="BR742" s="56" t="s">
        <v>908</v>
      </c>
      <c r="BS742" s="91" t="s">
        <v>909</v>
      </c>
      <c r="BT742" s="36"/>
      <c r="BU742" s="35" t="s">
        <v>1232</v>
      </c>
    </row>
    <row r="743" s="1" customFormat="1" customHeight="1" spans="1:73">
      <c r="A743" s="15" t="s">
        <v>1226</v>
      </c>
      <c r="B743" s="15">
        <v>350</v>
      </c>
      <c r="C743" s="16">
        <v>6</v>
      </c>
      <c r="D743" s="29"/>
      <c r="E743" s="30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30"/>
      <c r="AH743" s="29"/>
      <c r="AI743" s="29"/>
      <c r="AJ743" s="29"/>
      <c r="AK743" s="30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0">
        <f t="shared" si="92"/>
        <v>0</v>
      </c>
      <c r="BO743" s="20">
        <f t="shared" si="93"/>
        <v>0</v>
      </c>
      <c r="BP743" s="20">
        <f t="shared" si="94"/>
        <v>6</v>
      </c>
      <c r="BQ743" s="51">
        <f t="shared" si="96"/>
        <v>2.1</v>
      </c>
      <c r="BR743" s="56" t="s">
        <v>1236</v>
      </c>
      <c r="BS743" s="91" t="s">
        <v>1237</v>
      </c>
      <c r="BT743" s="36"/>
      <c r="BU743" s="35" t="s">
        <v>1232</v>
      </c>
    </row>
    <row r="744" s="1" customFormat="1" customHeight="1" spans="1:73">
      <c r="A744" s="15" t="s">
        <v>1226</v>
      </c>
      <c r="B744" s="15">
        <v>375</v>
      </c>
      <c r="C744" s="16">
        <v>115</v>
      </c>
      <c r="D744" s="29"/>
      <c r="E744" s="30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30"/>
      <c r="AH744" s="29"/>
      <c r="AI744" s="29"/>
      <c r="AJ744" s="29"/>
      <c r="AK744" s="30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0">
        <f t="shared" si="92"/>
        <v>0</v>
      </c>
      <c r="BO744" s="20">
        <f t="shared" si="93"/>
        <v>0</v>
      </c>
      <c r="BP744" s="20">
        <f t="shared" si="94"/>
        <v>115</v>
      </c>
      <c r="BQ744" s="51">
        <f t="shared" si="96"/>
        <v>43.125</v>
      </c>
      <c r="BR744" s="56" t="s">
        <v>261</v>
      </c>
      <c r="BS744" s="91" t="s">
        <v>1235</v>
      </c>
      <c r="BT744" s="36" t="s">
        <v>1238</v>
      </c>
      <c r="BU744" s="35" t="s">
        <v>1232</v>
      </c>
    </row>
    <row r="745" s="1" customFormat="1" customHeight="1" spans="1:73">
      <c r="A745" s="15" t="s">
        <v>1239</v>
      </c>
      <c r="B745" s="15">
        <v>230</v>
      </c>
      <c r="C745" s="16">
        <v>20</v>
      </c>
      <c r="D745" s="29"/>
      <c r="E745" s="30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30"/>
      <c r="AH745" s="29"/>
      <c r="AI745" s="29"/>
      <c r="AJ745" s="29"/>
      <c r="AK745" s="30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0">
        <f t="shared" ref="BN745:BN808" si="97">D745+F745+H745+J745+L745+N745+P745+R745+T745+V745+X745+Z745+AB745+AD745+AF745+AH745+AJ745+AL745+AN745+AP745+AR745+AT745+AV745+AX745+AZ745+BB745+BD745+BF745+BH745+BJ745+BL745</f>
        <v>0</v>
      </c>
      <c r="BO745" s="20">
        <f t="shared" ref="BO745:BO808" si="98">E745+G745+I745+K745+M745+O745+Q745+S745+U745+W745+Y745+AA745+AC745+AE745+AG745+AI745+AK745+AM745+AO745+AQ745+AS745+AU745+AW745+AY745+BA745+BC745+BE745+BG745+BI745+BK745+BM745</f>
        <v>0</v>
      </c>
      <c r="BP745" s="20">
        <f t="shared" ref="BP745:BP808" si="99">C745+BN745-BO745</f>
        <v>20</v>
      </c>
      <c r="BQ745" s="51">
        <f t="shared" si="96"/>
        <v>4.6</v>
      </c>
      <c r="BR745" s="56" t="s">
        <v>807</v>
      </c>
      <c r="BS745" s="91"/>
      <c r="BT745" s="36"/>
      <c r="BU745" s="35"/>
    </row>
    <row r="746" s="1" customFormat="1" customHeight="1" spans="1:73">
      <c r="A746" s="53" t="s">
        <v>1240</v>
      </c>
      <c r="B746" s="15"/>
      <c r="C746" s="16"/>
      <c r="D746" s="29"/>
      <c r="E746" s="30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30"/>
      <c r="X746" s="29"/>
      <c r="Y746" s="29"/>
      <c r="Z746" s="29"/>
      <c r="AA746" s="29"/>
      <c r="AB746" s="29"/>
      <c r="AC746" s="30"/>
      <c r="AD746" s="29"/>
      <c r="AE746" s="30"/>
      <c r="AF746" s="29"/>
      <c r="AG746" s="30"/>
      <c r="AH746" s="29"/>
      <c r="AI746" s="29"/>
      <c r="AJ746" s="29"/>
      <c r="AK746" s="30"/>
      <c r="AL746" s="29"/>
      <c r="AM746" s="30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0">
        <f t="shared" si="97"/>
        <v>0</v>
      </c>
      <c r="BO746" s="20">
        <f t="shared" si="98"/>
        <v>0</v>
      </c>
      <c r="BP746" s="20">
        <f t="shared" si="99"/>
        <v>0</v>
      </c>
      <c r="BQ746" s="51"/>
      <c r="BR746" s="56"/>
      <c r="BS746" s="91"/>
      <c r="BT746" s="57"/>
      <c r="BU746" s="35"/>
    </row>
    <row r="747" s="1" customFormat="1" customHeight="1" spans="1:73">
      <c r="A747" s="37" t="s">
        <v>1241</v>
      </c>
      <c r="B747" s="15">
        <v>75</v>
      </c>
      <c r="C747" s="16">
        <v>87</v>
      </c>
      <c r="D747" s="29"/>
      <c r="E747" s="30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30"/>
      <c r="X747" s="29"/>
      <c r="Y747" s="29"/>
      <c r="Z747" s="29"/>
      <c r="AA747" s="29"/>
      <c r="AB747" s="29"/>
      <c r="AC747" s="30"/>
      <c r="AD747" s="29"/>
      <c r="AE747" s="30"/>
      <c r="AF747" s="29"/>
      <c r="AG747" s="30"/>
      <c r="AH747" s="29"/>
      <c r="AI747" s="29"/>
      <c r="AJ747" s="29"/>
      <c r="AK747" s="30"/>
      <c r="AL747" s="29"/>
      <c r="AM747" s="30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0">
        <f t="shared" si="97"/>
        <v>0</v>
      </c>
      <c r="BO747" s="20">
        <f t="shared" si="98"/>
        <v>0</v>
      </c>
      <c r="BP747" s="20">
        <f t="shared" si="99"/>
        <v>87</v>
      </c>
      <c r="BQ747" s="51">
        <f t="shared" ref="BQ747:BQ752" si="100">B747*BP747/1000</f>
        <v>6.525</v>
      </c>
      <c r="BR747" s="56" t="s">
        <v>1242</v>
      </c>
      <c r="BS747" s="91" t="s">
        <v>1243</v>
      </c>
      <c r="BT747" s="57"/>
      <c r="BU747" s="35" t="s">
        <v>1244</v>
      </c>
    </row>
    <row r="748" s="1" customFormat="1" customHeight="1" spans="1:73">
      <c r="A748" s="37" t="s">
        <v>1241</v>
      </c>
      <c r="B748" s="15">
        <v>150</v>
      </c>
      <c r="C748" s="16">
        <v>2</v>
      </c>
      <c r="D748" s="29"/>
      <c r="E748" s="30"/>
      <c r="F748" s="29"/>
      <c r="G748" s="29"/>
      <c r="H748" s="29"/>
      <c r="I748" s="29"/>
      <c r="J748" s="30"/>
      <c r="K748" s="30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30"/>
      <c r="AH748" s="29"/>
      <c r="AI748" s="29"/>
      <c r="AJ748" s="29"/>
      <c r="AK748" s="30"/>
      <c r="AL748" s="29"/>
      <c r="AM748" s="29"/>
      <c r="AN748" s="29"/>
      <c r="AO748" s="29"/>
      <c r="AP748" s="29"/>
      <c r="AQ748" s="29"/>
      <c r="AR748" s="29"/>
      <c r="AS748" s="29"/>
      <c r="AT748" s="29"/>
      <c r="AU748" s="30"/>
      <c r="AV748" s="29"/>
      <c r="AW748" s="29"/>
      <c r="AX748" s="29"/>
      <c r="AY748" s="29"/>
      <c r="AZ748" s="29"/>
      <c r="BA748" s="29"/>
      <c r="BB748" s="29"/>
      <c r="BC748" s="29"/>
      <c r="BD748" s="29"/>
      <c r="BE748" s="30"/>
      <c r="BF748" s="29"/>
      <c r="BG748" s="29"/>
      <c r="BH748" s="29"/>
      <c r="BI748" s="29"/>
      <c r="BJ748" s="29"/>
      <c r="BK748" s="29"/>
      <c r="BL748" s="29"/>
      <c r="BM748" s="29"/>
      <c r="BN748" s="20">
        <f t="shared" si="97"/>
        <v>0</v>
      </c>
      <c r="BO748" s="20">
        <f t="shared" si="98"/>
        <v>0</v>
      </c>
      <c r="BP748" s="20">
        <f t="shared" si="99"/>
        <v>2</v>
      </c>
      <c r="BQ748" s="51">
        <f t="shared" si="100"/>
        <v>0.3</v>
      </c>
      <c r="BR748" s="56" t="s">
        <v>1245</v>
      </c>
      <c r="BS748" s="91" t="s">
        <v>1246</v>
      </c>
      <c r="BT748" s="36"/>
      <c r="BU748" s="35" t="s">
        <v>1244</v>
      </c>
    </row>
    <row r="749" s="1" customFormat="1" customHeight="1" spans="1:73">
      <c r="A749" s="37" t="s">
        <v>1241</v>
      </c>
      <c r="B749" s="15">
        <v>230</v>
      </c>
      <c r="C749" s="16">
        <v>35</v>
      </c>
      <c r="D749" s="29"/>
      <c r="E749" s="30"/>
      <c r="F749" s="29"/>
      <c r="G749" s="29"/>
      <c r="H749" s="29"/>
      <c r="I749" s="29"/>
      <c r="J749" s="30"/>
      <c r="K749" s="30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30"/>
      <c r="AH749" s="29"/>
      <c r="AI749" s="29"/>
      <c r="AJ749" s="29"/>
      <c r="AK749" s="30"/>
      <c r="AL749" s="29"/>
      <c r="AM749" s="29"/>
      <c r="AN749" s="29"/>
      <c r="AO749" s="29"/>
      <c r="AP749" s="29"/>
      <c r="AQ749" s="29"/>
      <c r="AR749" s="29"/>
      <c r="AS749" s="29"/>
      <c r="AT749" s="29"/>
      <c r="AU749" s="30"/>
      <c r="AV749" s="29"/>
      <c r="AW749" s="29"/>
      <c r="AX749" s="29"/>
      <c r="AY749" s="29"/>
      <c r="AZ749" s="29"/>
      <c r="BA749" s="29"/>
      <c r="BB749" s="29"/>
      <c r="BC749" s="29"/>
      <c r="BD749" s="29"/>
      <c r="BE749" s="30"/>
      <c r="BF749" s="29"/>
      <c r="BG749" s="29"/>
      <c r="BH749" s="29"/>
      <c r="BI749" s="29"/>
      <c r="BJ749" s="29"/>
      <c r="BK749" s="29"/>
      <c r="BL749" s="29"/>
      <c r="BM749" s="29"/>
      <c r="BN749" s="20">
        <f t="shared" si="97"/>
        <v>0</v>
      </c>
      <c r="BO749" s="20">
        <f t="shared" si="98"/>
        <v>0</v>
      </c>
      <c r="BP749" s="20">
        <f t="shared" si="99"/>
        <v>35</v>
      </c>
      <c r="BQ749" s="51">
        <f t="shared" si="100"/>
        <v>8.05</v>
      </c>
      <c r="BR749" s="56" t="s">
        <v>673</v>
      </c>
      <c r="BS749" s="91" t="s">
        <v>686</v>
      </c>
      <c r="BT749" s="36"/>
      <c r="BU749" s="35" t="s">
        <v>1244</v>
      </c>
    </row>
    <row r="750" s="1" customFormat="1" customHeight="1" spans="1:73">
      <c r="A750" s="37" t="s">
        <v>1241</v>
      </c>
      <c r="B750" s="15">
        <v>305</v>
      </c>
      <c r="C750" s="16">
        <v>55</v>
      </c>
      <c r="D750" s="29"/>
      <c r="E750" s="30"/>
      <c r="F750" s="29"/>
      <c r="G750" s="29"/>
      <c r="H750" s="29"/>
      <c r="I750" s="29"/>
      <c r="J750" s="30"/>
      <c r="K750" s="30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30"/>
      <c r="AH750" s="29"/>
      <c r="AI750" s="29"/>
      <c r="AJ750" s="29"/>
      <c r="AK750" s="30"/>
      <c r="AL750" s="29"/>
      <c r="AM750" s="29"/>
      <c r="AN750" s="29"/>
      <c r="AO750" s="29"/>
      <c r="AP750" s="29"/>
      <c r="AQ750" s="29"/>
      <c r="AR750" s="29"/>
      <c r="AS750" s="29"/>
      <c r="AT750" s="29"/>
      <c r="AU750" s="30"/>
      <c r="AV750" s="29"/>
      <c r="AW750" s="29"/>
      <c r="AX750" s="29"/>
      <c r="AY750" s="29"/>
      <c r="AZ750" s="29"/>
      <c r="BA750" s="29"/>
      <c r="BB750" s="29"/>
      <c r="BC750" s="29"/>
      <c r="BD750" s="29"/>
      <c r="BE750" s="30"/>
      <c r="BF750" s="29"/>
      <c r="BG750" s="29"/>
      <c r="BH750" s="29"/>
      <c r="BI750" s="29"/>
      <c r="BJ750" s="29"/>
      <c r="BK750" s="29"/>
      <c r="BL750" s="29"/>
      <c r="BM750" s="29"/>
      <c r="BN750" s="20">
        <f t="shared" si="97"/>
        <v>0</v>
      </c>
      <c r="BO750" s="20">
        <f t="shared" si="98"/>
        <v>0</v>
      </c>
      <c r="BP750" s="20">
        <f t="shared" si="99"/>
        <v>55</v>
      </c>
      <c r="BQ750" s="51">
        <f t="shared" si="100"/>
        <v>16.775</v>
      </c>
      <c r="BR750" s="56" t="s">
        <v>673</v>
      </c>
      <c r="BS750" s="91" t="s">
        <v>686</v>
      </c>
      <c r="BT750" s="36"/>
      <c r="BU750" s="35" t="s">
        <v>1244</v>
      </c>
    </row>
    <row r="751" s="1" customFormat="1" customHeight="1" spans="1:73">
      <c r="A751" s="37" t="s">
        <v>1241</v>
      </c>
      <c r="B751" s="15">
        <v>320</v>
      </c>
      <c r="C751" s="16">
        <v>18</v>
      </c>
      <c r="D751" s="29"/>
      <c r="E751" s="30"/>
      <c r="F751" s="29"/>
      <c r="G751" s="29"/>
      <c r="H751" s="29"/>
      <c r="I751" s="29"/>
      <c r="J751" s="30"/>
      <c r="K751" s="30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30"/>
      <c r="AH751" s="29"/>
      <c r="AI751" s="29"/>
      <c r="AJ751" s="29"/>
      <c r="AK751" s="30"/>
      <c r="AL751" s="29"/>
      <c r="AM751" s="29"/>
      <c r="AN751" s="29"/>
      <c r="AO751" s="29"/>
      <c r="AP751" s="29"/>
      <c r="AQ751" s="29"/>
      <c r="AR751" s="29"/>
      <c r="AS751" s="29"/>
      <c r="AT751" s="29"/>
      <c r="AU751" s="30"/>
      <c r="AV751" s="29"/>
      <c r="AW751" s="29"/>
      <c r="AX751" s="29"/>
      <c r="AY751" s="29"/>
      <c r="AZ751" s="29"/>
      <c r="BA751" s="29"/>
      <c r="BB751" s="29"/>
      <c r="BC751" s="29"/>
      <c r="BD751" s="29"/>
      <c r="BE751" s="30"/>
      <c r="BF751" s="29"/>
      <c r="BG751" s="29"/>
      <c r="BH751" s="29"/>
      <c r="BI751" s="29"/>
      <c r="BJ751" s="29"/>
      <c r="BK751" s="29"/>
      <c r="BL751" s="29"/>
      <c r="BM751" s="29"/>
      <c r="BN751" s="20">
        <f t="shared" si="97"/>
        <v>0</v>
      </c>
      <c r="BO751" s="20">
        <f t="shared" si="98"/>
        <v>0</v>
      </c>
      <c r="BP751" s="20">
        <f t="shared" si="99"/>
        <v>18</v>
      </c>
      <c r="BQ751" s="51">
        <f t="shared" si="100"/>
        <v>5.76</v>
      </c>
      <c r="BR751" s="56" t="s">
        <v>673</v>
      </c>
      <c r="BS751" s="91" t="s">
        <v>686</v>
      </c>
      <c r="BT751" s="36"/>
      <c r="BU751" s="35" t="s">
        <v>1244</v>
      </c>
    </row>
    <row r="752" s="1" customFormat="1" customHeight="1" spans="1:73">
      <c r="A752" s="37" t="s">
        <v>1241</v>
      </c>
      <c r="B752" s="15">
        <v>517</v>
      </c>
      <c r="C752" s="16">
        <v>55</v>
      </c>
      <c r="D752" s="29"/>
      <c r="E752" s="30"/>
      <c r="F752" s="29"/>
      <c r="G752" s="29"/>
      <c r="H752" s="29"/>
      <c r="I752" s="29"/>
      <c r="J752" s="30"/>
      <c r="K752" s="30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30"/>
      <c r="AH752" s="29"/>
      <c r="AI752" s="29"/>
      <c r="AJ752" s="29"/>
      <c r="AK752" s="30"/>
      <c r="AL752" s="29"/>
      <c r="AM752" s="29"/>
      <c r="AN752" s="29"/>
      <c r="AO752" s="29"/>
      <c r="AP752" s="29"/>
      <c r="AQ752" s="29"/>
      <c r="AR752" s="29"/>
      <c r="AS752" s="29"/>
      <c r="AT752" s="29"/>
      <c r="AU752" s="30"/>
      <c r="AV752" s="29"/>
      <c r="AW752" s="29"/>
      <c r="AX752" s="29"/>
      <c r="AY752" s="29"/>
      <c r="AZ752" s="29"/>
      <c r="BA752" s="29"/>
      <c r="BB752" s="29"/>
      <c r="BC752" s="29"/>
      <c r="BD752" s="29"/>
      <c r="BE752" s="30"/>
      <c r="BF752" s="29"/>
      <c r="BG752" s="29"/>
      <c r="BH752" s="29"/>
      <c r="BI752" s="29"/>
      <c r="BJ752" s="29"/>
      <c r="BK752" s="29"/>
      <c r="BL752" s="29"/>
      <c r="BM752" s="29"/>
      <c r="BN752" s="20">
        <f t="shared" si="97"/>
        <v>0</v>
      </c>
      <c r="BO752" s="20">
        <f t="shared" si="98"/>
        <v>0</v>
      </c>
      <c r="BP752" s="20">
        <f t="shared" si="99"/>
        <v>55</v>
      </c>
      <c r="BQ752" s="51">
        <f t="shared" si="100"/>
        <v>28.435</v>
      </c>
      <c r="BR752" s="56" t="s">
        <v>673</v>
      </c>
      <c r="BS752" s="91" t="s">
        <v>686</v>
      </c>
      <c r="BT752" s="36"/>
      <c r="BU752" s="35" t="s">
        <v>1244</v>
      </c>
    </row>
    <row r="753" s="1" customFormat="1" customHeight="1" spans="1:73">
      <c r="A753" s="53" t="s">
        <v>1247</v>
      </c>
      <c r="B753" s="15"/>
      <c r="C753" s="16"/>
      <c r="D753" s="29"/>
      <c r="E753" s="30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30"/>
      <c r="X753" s="29"/>
      <c r="Y753" s="29"/>
      <c r="Z753" s="29"/>
      <c r="AA753" s="29"/>
      <c r="AB753" s="29"/>
      <c r="AC753" s="30"/>
      <c r="AD753" s="29"/>
      <c r="AE753" s="30"/>
      <c r="AF753" s="29"/>
      <c r="AG753" s="30"/>
      <c r="AH753" s="29"/>
      <c r="AI753" s="29"/>
      <c r="AJ753" s="29"/>
      <c r="AK753" s="30"/>
      <c r="AL753" s="29"/>
      <c r="AM753" s="30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0">
        <f t="shared" si="97"/>
        <v>0</v>
      </c>
      <c r="BO753" s="20">
        <f t="shared" si="98"/>
        <v>0</v>
      </c>
      <c r="BP753" s="20">
        <f t="shared" si="99"/>
        <v>0</v>
      </c>
      <c r="BQ753" s="51"/>
      <c r="BR753" s="56"/>
      <c r="BS753" s="91"/>
      <c r="BT753" s="57"/>
      <c r="BU753" s="35"/>
    </row>
    <row r="754" s="1" customFormat="1" customHeight="1" spans="1:73">
      <c r="A754" s="37" t="s">
        <v>1248</v>
      </c>
      <c r="B754" s="15">
        <v>88</v>
      </c>
      <c r="C754" s="16">
        <v>42</v>
      </c>
      <c r="D754" s="29"/>
      <c r="E754" s="30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30"/>
      <c r="X754" s="29"/>
      <c r="Y754" s="29"/>
      <c r="Z754" s="29"/>
      <c r="AA754" s="29"/>
      <c r="AB754" s="29"/>
      <c r="AC754" s="30"/>
      <c r="AD754" s="29"/>
      <c r="AE754" s="30"/>
      <c r="AF754" s="29"/>
      <c r="AG754" s="30"/>
      <c r="AH754" s="29"/>
      <c r="AI754" s="29"/>
      <c r="AJ754" s="29"/>
      <c r="AK754" s="30"/>
      <c r="AL754" s="29"/>
      <c r="AM754" s="30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0">
        <f t="shared" si="97"/>
        <v>0</v>
      </c>
      <c r="BO754" s="20">
        <f t="shared" si="98"/>
        <v>0</v>
      </c>
      <c r="BP754" s="20">
        <f t="shared" si="99"/>
        <v>42</v>
      </c>
      <c r="BQ754" s="51">
        <f t="shared" ref="BQ754:BQ764" si="101">B754*BP754/1000</f>
        <v>3.696</v>
      </c>
      <c r="BR754" s="56" t="s">
        <v>971</v>
      </c>
      <c r="BS754" s="91" t="s">
        <v>972</v>
      </c>
      <c r="BT754" s="57"/>
      <c r="BU754" s="35" t="s">
        <v>1244</v>
      </c>
    </row>
    <row r="755" s="1" customFormat="1" customHeight="1" spans="1:73">
      <c r="A755" s="37" t="s">
        <v>1248</v>
      </c>
      <c r="B755" s="15">
        <v>95</v>
      </c>
      <c r="C755" s="16">
        <v>30</v>
      </c>
      <c r="D755" s="29"/>
      <c r="E755" s="30"/>
      <c r="F755" s="29"/>
      <c r="G755" s="29"/>
      <c r="H755" s="29"/>
      <c r="I755" s="29"/>
      <c r="J755" s="29"/>
      <c r="K755" s="29"/>
      <c r="L755" s="29"/>
      <c r="M755" s="29">
        <v>10</v>
      </c>
      <c r="N755" s="29">
        <v>55</v>
      </c>
      <c r="O755" s="29"/>
      <c r="P755" s="29"/>
      <c r="Q755" s="29"/>
      <c r="R755" s="29"/>
      <c r="S755" s="29"/>
      <c r="T755" s="29"/>
      <c r="U755" s="29"/>
      <c r="V755" s="29"/>
      <c r="W755" s="30"/>
      <c r="X755" s="29"/>
      <c r="Y755" s="29"/>
      <c r="Z755" s="29"/>
      <c r="AA755" s="29"/>
      <c r="AB755" s="29"/>
      <c r="AC755" s="30"/>
      <c r="AD755" s="29"/>
      <c r="AE755" s="30"/>
      <c r="AF755" s="29"/>
      <c r="AG755" s="30"/>
      <c r="AH755" s="29"/>
      <c r="AI755" s="29"/>
      <c r="AJ755" s="29"/>
      <c r="AK755" s="30"/>
      <c r="AL755" s="29"/>
      <c r="AM755" s="30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0">
        <f t="shared" si="97"/>
        <v>55</v>
      </c>
      <c r="BO755" s="20">
        <f t="shared" si="98"/>
        <v>10</v>
      </c>
      <c r="BP755" s="20">
        <f t="shared" si="99"/>
        <v>75</v>
      </c>
      <c r="BQ755" s="51">
        <f t="shared" si="101"/>
        <v>7.125</v>
      </c>
      <c r="BR755" s="56" t="s">
        <v>158</v>
      </c>
      <c r="BS755" s="91" t="s">
        <v>1249</v>
      </c>
      <c r="BT755" s="57"/>
      <c r="BU755" s="35" t="s">
        <v>1244</v>
      </c>
    </row>
    <row r="756" s="1" customFormat="1" customHeight="1" spans="1:73">
      <c r="A756" s="37" t="s">
        <v>1248</v>
      </c>
      <c r="B756" s="15">
        <v>229</v>
      </c>
      <c r="C756" s="16">
        <v>14</v>
      </c>
      <c r="D756" s="29"/>
      <c r="E756" s="30"/>
      <c r="F756" s="29"/>
      <c r="G756" s="29"/>
      <c r="H756" s="29"/>
      <c r="I756" s="29"/>
      <c r="J756" s="29"/>
      <c r="K756" s="29"/>
      <c r="L756" s="29"/>
      <c r="M756" s="29">
        <v>6</v>
      </c>
      <c r="N756" s="29"/>
      <c r="O756" s="29"/>
      <c r="P756" s="29"/>
      <c r="Q756" s="29"/>
      <c r="R756" s="29"/>
      <c r="S756" s="29"/>
      <c r="T756" s="29"/>
      <c r="U756" s="29"/>
      <c r="V756" s="29"/>
      <c r="W756" s="30"/>
      <c r="X756" s="29"/>
      <c r="Y756" s="29"/>
      <c r="Z756" s="29"/>
      <c r="AA756" s="29"/>
      <c r="AB756" s="29"/>
      <c r="AC756" s="30"/>
      <c r="AD756" s="29"/>
      <c r="AE756" s="30"/>
      <c r="AF756" s="29"/>
      <c r="AG756" s="30"/>
      <c r="AH756" s="29"/>
      <c r="AI756" s="29"/>
      <c r="AJ756" s="29"/>
      <c r="AK756" s="30"/>
      <c r="AL756" s="29"/>
      <c r="AM756" s="30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0">
        <f t="shared" si="97"/>
        <v>0</v>
      </c>
      <c r="BO756" s="20">
        <f t="shared" si="98"/>
        <v>6</v>
      </c>
      <c r="BP756" s="20">
        <f t="shared" si="99"/>
        <v>8</v>
      </c>
      <c r="BQ756" s="51">
        <f t="shared" si="101"/>
        <v>1.832</v>
      </c>
      <c r="BR756" s="56" t="s">
        <v>908</v>
      </c>
      <c r="BS756" s="91" t="s">
        <v>909</v>
      </c>
      <c r="BT756" s="57"/>
      <c r="BU756" s="35" t="s">
        <v>1244</v>
      </c>
    </row>
    <row r="757" s="1" customFormat="1" customHeight="1" spans="1:73">
      <c r="A757" s="37" t="s">
        <v>1248</v>
      </c>
      <c r="B757" s="15">
        <v>260</v>
      </c>
      <c r="C757" s="16">
        <v>13</v>
      </c>
      <c r="D757" s="29"/>
      <c r="E757" s="30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30"/>
      <c r="X757" s="29"/>
      <c r="Y757" s="29"/>
      <c r="Z757" s="29"/>
      <c r="AA757" s="29"/>
      <c r="AB757" s="29"/>
      <c r="AC757" s="30"/>
      <c r="AD757" s="29"/>
      <c r="AE757" s="30"/>
      <c r="AF757" s="29"/>
      <c r="AG757" s="30"/>
      <c r="AH757" s="29"/>
      <c r="AI757" s="29"/>
      <c r="AJ757" s="29"/>
      <c r="AK757" s="30"/>
      <c r="AL757" s="29"/>
      <c r="AM757" s="30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0">
        <f t="shared" si="97"/>
        <v>0</v>
      </c>
      <c r="BO757" s="20">
        <f t="shared" si="98"/>
        <v>0</v>
      </c>
      <c r="BP757" s="20">
        <f t="shared" si="99"/>
        <v>13</v>
      </c>
      <c r="BQ757" s="51">
        <f t="shared" si="101"/>
        <v>3.38</v>
      </c>
      <c r="BR757" s="56" t="s">
        <v>908</v>
      </c>
      <c r="BS757" s="91" t="s">
        <v>909</v>
      </c>
      <c r="BT757" s="57"/>
      <c r="BU757" s="35" t="s">
        <v>1244</v>
      </c>
    </row>
    <row r="758" s="1" customFormat="1" customHeight="1" spans="1:73">
      <c r="A758" s="37" t="s">
        <v>1248</v>
      </c>
      <c r="B758" s="15">
        <v>294</v>
      </c>
      <c r="C758" s="16">
        <v>244</v>
      </c>
      <c r="D758" s="29"/>
      <c r="E758" s="30"/>
      <c r="F758" s="29"/>
      <c r="G758" s="29"/>
      <c r="H758" s="29"/>
      <c r="I758" s="29"/>
      <c r="J758" s="29"/>
      <c r="K758" s="29"/>
      <c r="L758" s="29"/>
      <c r="M758" s="29"/>
      <c r="N758" s="29"/>
      <c r="O758" s="29">
        <v>244</v>
      </c>
      <c r="P758" s="29"/>
      <c r="Q758" s="29"/>
      <c r="R758" s="29"/>
      <c r="S758" s="29"/>
      <c r="T758" s="29"/>
      <c r="U758" s="29"/>
      <c r="V758" s="29"/>
      <c r="W758" s="30"/>
      <c r="X758" s="29"/>
      <c r="Y758" s="29"/>
      <c r="Z758" s="29"/>
      <c r="AA758" s="29"/>
      <c r="AB758" s="29"/>
      <c r="AC758" s="30"/>
      <c r="AD758" s="29"/>
      <c r="AE758" s="30"/>
      <c r="AF758" s="29"/>
      <c r="AG758" s="30"/>
      <c r="AH758" s="29"/>
      <c r="AI758" s="29"/>
      <c r="AJ758" s="29"/>
      <c r="AK758" s="30"/>
      <c r="AL758" s="29"/>
      <c r="AM758" s="30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0">
        <f t="shared" si="97"/>
        <v>0</v>
      </c>
      <c r="BO758" s="20">
        <f t="shared" si="98"/>
        <v>244</v>
      </c>
      <c r="BP758" s="20">
        <f t="shared" si="99"/>
        <v>0</v>
      </c>
      <c r="BQ758" s="51">
        <f t="shared" si="101"/>
        <v>0</v>
      </c>
      <c r="BR758" s="56" t="s">
        <v>908</v>
      </c>
      <c r="BS758" s="91" t="s">
        <v>909</v>
      </c>
      <c r="BT758" s="57"/>
      <c r="BU758" s="35" t="s">
        <v>1244</v>
      </c>
    </row>
    <row r="759" s="1" customFormat="1" customHeight="1" spans="1:73">
      <c r="A759" s="37" t="s">
        <v>1248</v>
      </c>
      <c r="B759" s="15">
        <v>606</v>
      </c>
      <c r="C759" s="16">
        <v>55</v>
      </c>
      <c r="D759" s="29"/>
      <c r="E759" s="30"/>
      <c r="F759" s="29"/>
      <c r="G759" s="29"/>
      <c r="H759" s="29"/>
      <c r="I759" s="29"/>
      <c r="J759" s="29"/>
      <c r="K759" s="29"/>
      <c r="L759" s="29"/>
      <c r="M759" s="29"/>
      <c r="N759" s="29"/>
      <c r="O759" s="29">
        <v>55</v>
      </c>
      <c r="P759" s="29"/>
      <c r="Q759" s="29"/>
      <c r="R759" s="29"/>
      <c r="S759" s="29"/>
      <c r="T759" s="29"/>
      <c r="U759" s="29"/>
      <c r="V759" s="29"/>
      <c r="W759" s="30"/>
      <c r="X759" s="29"/>
      <c r="Y759" s="29"/>
      <c r="Z759" s="29"/>
      <c r="AA759" s="29"/>
      <c r="AB759" s="29"/>
      <c r="AC759" s="30"/>
      <c r="AD759" s="29"/>
      <c r="AE759" s="30"/>
      <c r="AF759" s="29"/>
      <c r="AG759" s="30"/>
      <c r="AH759" s="29"/>
      <c r="AI759" s="29"/>
      <c r="AJ759" s="29"/>
      <c r="AK759" s="30"/>
      <c r="AL759" s="29"/>
      <c r="AM759" s="30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0">
        <f t="shared" si="97"/>
        <v>0</v>
      </c>
      <c r="BO759" s="20">
        <f t="shared" si="98"/>
        <v>55</v>
      </c>
      <c r="BP759" s="20">
        <f t="shared" si="99"/>
        <v>0</v>
      </c>
      <c r="BQ759" s="51">
        <f t="shared" si="101"/>
        <v>0</v>
      </c>
      <c r="BR759" s="56" t="s">
        <v>158</v>
      </c>
      <c r="BS759" s="91" t="s">
        <v>789</v>
      </c>
      <c r="BT759" s="57"/>
      <c r="BU759" s="35" t="s">
        <v>1244</v>
      </c>
    </row>
    <row r="760" s="1" customFormat="1" customHeight="1" spans="1:73">
      <c r="A760" s="37" t="s">
        <v>1250</v>
      </c>
      <c r="B760" s="15">
        <v>90</v>
      </c>
      <c r="C760" s="16">
        <v>55</v>
      </c>
      <c r="D760" s="29"/>
      <c r="E760" s="30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30"/>
      <c r="X760" s="29"/>
      <c r="Y760" s="29"/>
      <c r="Z760" s="29"/>
      <c r="AA760" s="29"/>
      <c r="AB760" s="29"/>
      <c r="AC760" s="30"/>
      <c r="AD760" s="29"/>
      <c r="AE760" s="30"/>
      <c r="AF760" s="29"/>
      <c r="AG760" s="30"/>
      <c r="AH760" s="29"/>
      <c r="AI760" s="29"/>
      <c r="AJ760" s="29"/>
      <c r="AK760" s="30"/>
      <c r="AL760" s="29"/>
      <c r="AM760" s="30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0">
        <f t="shared" si="97"/>
        <v>0</v>
      </c>
      <c r="BO760" s="20">
        <f t="shared" si="98"/>
        <v>0</v>
      </c>
      <c r="BP760" s="20">
        <f t="shared" si="99"/>
        <v>55</v>
      </c>
      <c r="BQ760" s="51">
        <f t="shared" si="101"/>
        <v>4.95</v>
      </c>
      <c r="BR760" s="56" t="s">
        <v>394</v>
      </c>
      <c r="BS760" s="91" t="s">
        <v>1251</v>
      </c>
      <c r="BT760" s="57"/>
      <c r="BU760" s="35" t="s">
        <v>1244</v>
      </c>
    </row>
    <row r="761" s="1" customFormat="1" customHeight="1" spans="1:73">
      <c r="A761" s="37" t="s">
        <v>1250</v>
      </c>
      <c r="B761" s="15">
        <v>105</v>
      </c>
      <c r="C761" s="16">
        <v>16</v>
      </c>
      <c r="D761" s="29"/>
      <c r="E761" s="30"/>
      <c r="F761" s="29"/>
      <c r="G761" s="29"/>
      <c r="H761" s="29"/>
      <c r="I761" s="29"/>
      <c r="J761" s="29"/>
      <c r="K761" s="29"/>
      <c r="L761" s="29"/>
      <c r="M761" s="29"/>
      <c r="N761" s="30"/>
      <c r="O761" s="29"/>
      <c r="P761" s="29"/>
      <c r="Q761" s="29"/>
      <c r="R761" s="29"/>
      <c r="S761" s="29"/>
      <c r="T761" s="29"/>
      <c r="U761" s="29"/>
      <c r="V761" s="29"/>
      <c r="W761" s="30"/>
      <c r="X761" s="29"/>
      <c r="Y761" s="29"/>
      <c r="Z761" s="29"/>
      <c r="AA761" s="29"/>
      <c r="AB761" s="29"/>
      <c r="AC761" s="30"/>
      <c r="AD761" s="29"/>
      <c r="AE761" s="30"/>
      <c r="AF761" s="29"/>
      <c r="AG761" s="30"/>
      <c r="AH761" s="29"/>
      <c r="AI761" s="29"/>
      <c r="AJ761" s="29"/>
      <c r="AK761" s="30"/>
      <c r="AL761" s="29"/>
      <c r="AM761" s="30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0">
        <f t="shared" si="97"/>
        <v>0</v>
      </c>
      <c r="BO761" s="20">
        <f t="shared" si="98"/>
        <v>0</v>
      </c>
      <c r="BP761" s="20">
        <f t="shared" si="99"/>
        <v>16</v>
      </c>
      <c r="BQ761" s="51">
        <f t="shared" si="101"/>
        <v>1.68</v>
      </c>
      <c r="BR761" s="56" t="s">
        <v>1252</v>
      </c>
      <c r="BS761" s="91" t="s">
        <v>861</v>
      </c>
      <c r="BT761" s="57"/>
      <c r="BU761" s="35" t="s">
        <v>1244</v>
      </c>
    </row>
    <row r="762" s="1" customFormat="1" customHeight="1" spans="1:73">
      <c r="A762" s="37" t="s">
        <v>1250</v>
      </c>
      <c r="B762" s="15">
        <v>125</v>
      </c>
      <c r="C762" s="16">
        <v>49</v>
      </c>
      <c r="D762" s="29"/>
      <c r="E762" s="30"/>
      <c r="F762" s="29"/>
      <c r="G762" s="29"/>
      <c r="H762" s="29"/>
      <c r="I762" s="29"/>
      <c r="J762" s="29"/>
      <c r="K762" s="29"/>
      <c r="L762" s="29"/>
      <c r="M762" s="29"/>
      <c r="N762" s="30"/>
      <c r="O762" s="29"/>
      <c r="P762" s="29"/>
      <c r="Q762" s="29"/>
      <c r="R762" s="29"/>
      <c r="S762" s="29"/>
      <c r="T762" s="29"/>
      <c r="U762" s="29"/>
      <c r="V762" s="30"/>
      <c r="W762" s="30"/>
      <c r="X762" s="29"/>
      <c r="Y762" s="29"/>
      <c r="Z762" s="29"/>
      <c r="AA762" s="29"/>
      <c r="AB762" s="29"/>
      <c r="AC762" s="30"/>
      <c r="AD762" s="29"/>
      <c r="AE762" s="30"/>
      <c r="AF762" s="29"/>
      <c r="AG762" s="30"/>
      <c r="AH762" s="29"/>
      <c r="AI762" s="29"/>
      <c r="AJ762" s="29"/>
      <c r="AK762" s="30"/>
      <c r="AL762" s="29"/>
      <c r="AM762" s="30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0">
        <f t="shared" si="97"/>
        <v>0</v>
      </c>
      <c r="BO762" s="20">
        <f t="shared" si="98"/>
        <v>0</v>
      </c>
      <c r="BP762" s="20">
        <f t="shared" si="99"/>
        <v>49</v>
      </c>
      <c r="BQ762" s="51">
        <f t="shared" si="101"/>
        <v>6.125</v>
      </c>
      <c r="BR762" s="56" t="s">
        <v>112</v>
      </c>
      <c r="BS762" s="91" t="s">
        <v>1253</v>
      </c>
      <c r="BT762" s="57"/>
      <c r="BU762" s="35" t="s">
        <v>1244</v>
      </c>
    </row>
    <row r="763" s="1" customFormat="1" customHeight="1" spans="1:73">
      <c r="A763" s="37" t="s">
        <v>1250</v>
      </c>
      <c r="B763" s="15">
        <v>170</v>
      </c>
      <c r="C763" s="16">
        <v>15</v>
      </c>
      <c r="D763" s="29"/>
      <c r="E763" s="30"/>
      <c r="F763" s="29"/>
      <c r="G763" s="29"/>
      <c r="H763" s="29"/>
      <c r="I763" s="29"/>
      <c r="J763" s="29"/>
      <c r="K763" s="29"/>
      <c r="L763" s="29"/>
      <c r="M763" s="29">
        <v>12</v>
      </c>
      <c r="N763" s="29"/>
      <c r="O763" s="30"/>
      <c r="P763" s="29"/>
      <c r="Q763" s="29"/>
      <c r="R763" s="29"/>
      <c r="S763" s="30"/>
      <c r="T763" s="29"/>
      <c r="U763" s="29"/>
      <c r="V763" s="29"/>
      <c r="W763" s="30"/>
      <c r="X763" s="29"/>
      <c r="Y763" s="30"/>
      <c r="Z763" s="29"/>
      <c r="AA763" s="29"/>
      <c r="AB763" s="29"/>
      <c r="AC763" s="29"/>
      <c r="AD763" s="29"/>
      <c r="AE763" s="29"/>
      <c r="AF763" s="29"/>
      <c r="AG763" s="30"/>
      <c r="AH763" s="29"/>
      <c r="AI763" s="29"/>
      <c r="AJ763" s="29"/>
      <c r="AK763" s="30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0">
        <f t="shared" si="97"/>
        <v>0</v>
      </c>
      <c r="BO763" s="20">
        <f t="shared" si="98"/>
        <v>12</v>
      </c>
      <c r="BP763" s="20">
        <f t="shared" si="99"/>
        <v>3</v>
      </c>
      <c r="BQ763" s="51">
        <f t="shared" si="101"/>
        <v>0.51</v>
      </c>
      <c r="BR763" s="56" t="s">
        <v>1189</v>
      </c>
      <c r="BS763" s="91" t="s">
        <v>1190</v>
      </c>
      <c r="BT763" s="36"/>
      <c r="BU763" s="35" t="s">
        <v>1244</v>
      </c>
    </row>
    <row r="764" s="1" customFormat="1" customHeight="1" spans="1:73">
      <c r="A764" s="37" t="s">
        <v>1250</v>
      </c>
      <c r="B764" s="15">
        <v>255</v>
      </c>
      <c r="C764" s="16">
        <v>55</v>
      </c>
      <c r="D764" s="29"/>
      <c r="E764" s="30"/>
      <c r="F764" s="29"/>
      <c r="G764" s="29"/>
      <c r="H764" s="29"/>
      <c r="I764" s="29"/>
      <c r="J764" s="29"/>
      <c r="K764" s="29"/>
      <c r="L764" s="29"/>
      <c r="M764" s="29"/>
      <c r="N764" s="29">
        <v>110</v>
      </c>
      <c r="O764" s="30">
        <v>131</v>
      </c>
      <c r="P764" s="29"/>
      <c r="Q764" s="29"/>
      <c r="R764" s="29"/>
      <c r="S764" s="30"/>
      <c r="T764" s="29"/>
      <c r="U764" s="29"/>
      <c r="V764" s="29"/>
      <c r="W764" s="30"/>
      <c r="X764" s="29"/>
      <c r="Y764" s="30"/>
      <c r="Z764" s="29"/>
      <c r="AA764" s="29"/>
      <c r="AB764" s="29"/>
      <c r="AC764" s="29"/>
      <c r="AD764" s="29"/>
      <c r="AE764" s="29"/>
      <c r="AF764" s="29"/>
      <c r="AG764" s="30"/>
      <c r="AH764" s="29"/>
      <c r="AI764" s="29"/>
      <c r="AJ764" s="29"/>
      <c r="AK764" s="30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0">
        <f t="shared" si="97"/>
        <v>110</v>
      </c>
      <c r="BO764" s="20">
        <f t="shared" si="98"/>
        <v>131</v>
      </c>
      <c r="BP764" s="20">
        <f t="shared" si="99"/>
        <v>34</v>
      </c>
      <c r="BQ764" s="51">
        <f t="shared" si="101"/>
        <v>8.67</v>
      </c>
      <c r="BR764" s="56" t="s">
        <v>836</v>
      </c>
      <c r="BS764" s="91" t="s">
        <v>1254</v>
      </c>
      <c r="BT764" s="36"/>
      <c r="BU764" s="35" t="s">
        <v>1244</v>
      </c>
    </row>
    <row r="765" s="1" customFormat="1" customHeight="1" spans="1:73">
      <c r="A765" s="53" t="s">
        <v>1255</v>
      </c>
      <c r="B765" s="15"/>
      <c r="C765" s="16"/>
      <c r="D765" s="29"/>
      <c r="E765" s="30"/>
      <c r="F765" s="29"/>
      <c r="G765" s="29"/>
      <c r="H765" s="29"/>
      <c r="I765" s="29"/>
      <c r="J765" s="29"/>
      <c r="K765" s="29"/>
      <c r="L765" s="29"/>
      <c r="M765" s="29"/>
      <c r="N765" s="29"/>
      <c r="O765" s="30"/>
      <c r="P765" s="29"/>
      <c r="Q765" s="29"/>
      <c r="R765" s="29"/>
      <c r="S765" s="30"/>
      <c r="T765" s="29"/>
      <c r="U765" s="29"/>
      <c r="V765" s="29"/>
      <c r="W765" s="30"/>
      <c r="X765" s="29"/>
      <c r="Y765" s="30"/>
      <c r="Z765" s="29"/>
      <c r="AA765" s="29"/>
      <c r="AB765" s="29"/>
      <c r="AC765" s="29"/>
      <c r="AD765" s="29"/>
      <c r="AE765" s="29"/>
      <c r="AF765" s="29"/>
      <c r="AG765" s="30"/>
      <c r="AH765" s="29"/>
      <c r="AI765" s="29"/>
      <c r="AJ765" s="29"/>
      <c r="AK765" s="30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0">
        <f t="shared" si="97"/>
        <v>0</v>
      </c>
      <c r="BO765" s="20">
        <f t="shared" si="98"/>
        <v>0</v>
      </c>
      <c r="BP765" s="20">
        <f t="shared" si="99"/>
        <v>0</v>
      </c>
      <c r="BQ765" s="51"/>
      <c r="BR765" s="56"/>
      <c r="BS765" s="91"/>
      <c r="BT765" s="36"/>
      <c r="BU765" s="35"/>
    </row>
    <row r="766" s="1" customFormat="1" customHeight="1" spans="1:73">
      <c r="A766" s="125" t="s">
        <v>1256</v>
      </c>
      <c r="B766" s="15">
        <v>305</v>
      </c>
      <c r="C766" s="16">
        <v>29</v>
      </c>
      <c r="D766" s="29"/>
      <c r="E766" s="30"/>
      <c r="F766" s="29"/>
      <c r="G766" s="29"/>
      <c r="H766" s="29"/>
      <c r="I766" s="29"/>
      <c r="J766" s="29"/>
      <c r="K766" s="29"/>
      <c r="L766" s="29"/>
      <c r="M766" s="29"/>
      <c r="N766" s="29"/>
      <c r="O766" s="30"/>
      <c r="P766" s="29"/>
      <c r="Q766" s="29"/>
      <c r="R766" s="29"/>
      <c r="S766" s="30"/>
      <c r="T766" s="29"/>
      <c r="U766" s="29"/>
      <c r="V766" s="29"/>
      <c r="W766" s="30"/>
      <c r="X766" s="29"/>
      <c r="Y766" s="30"/>
      <c r="Z766" s="29"/>
      <c r="AA766" s="29"/>
      <c r="AB766" s="29"/>
      <c r="AC766" s="29"/>
      <c r="AD766" s="29"/>
      <c r="AE766" s="29"/>
      <c r="AF766" s="29"/>
      <c r="AG766" s="30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0">
        <f t="shared" si="97"/>
        <v>0</v>
      </c>
      <c r="BO766" s="20">
        <f t="shared" si="98"/>
        <v>0</v>
      </c>
      <c r="BP766" s="20">
        <f t="shared" si="99"/>
        <v>29</v>
      </c>
      <c r="BQ766" s="51">
        <f t="shared" ref="BQ766:BQ788" si="102">B766*BP766/1000</f>
        <v>8.845</v>
      </c>
      <c r="BR766" s="56" t="s">
        <v>836</v>
      </c>
      <c r="BS766" s="91" t="s">
        <v>949</v>
      </c>
      <c r="BT766" s="36" t="s">
        <v>1257</v>
      </c>
      <c r="BU766" s="35" t="s">
        <v>1258</v>
      </c>
    </row>
    <row r="767" s="1" customFormat="1" customHeight="1" spans="1:73">
      <c r="A767" s="53" t="s">
        <v>1259</v>
      </c>
      <c r="B767" s="15"/>
      <c r="C767" s="16"/>
      <c r="D767" s="29"/>
      <c r="E767" s="30"/>
      <c r="F767" s="29"/>
      <c r="G767" s="29"/>
      <c r="H767" s="29"/>
      <c r="I767" s="29"/>
      <c r="J767" s="29"/>
      <c r="K767" s="29"/>
      <c r="L767" s="29"/>
      <c r="M767" s="29"/>
      <c r="N767" s="29"/>
      <c r="O767" s="30"/>
      <c r="P767" s="29"/>
      <c r="Q767" s="29"/>
      <c r="R767" s="29"/>
      <c r="S767" s="30"/>
      <c r="T767" s="29"/>
      <c r="U767" s="29"/>
      <c r="V767" s="29"/>
      <c r="W767" s="30"/>
      <c r="X767" s="29"/>
      <c r="Y767" s="30"/>
      <c r="Z767" s="29"/>
      <c r="AA767" s="29"/>
      <c r="AB767" s="29"/>
      <c r="AC767" s="29"/>
      <c r="AD767" s="29"/>
      <c r="AE767" s="29"/>
      <c r="AF767" s="29"/>
      <c r="AG767" s="30"/>
      <c r="AH767" s="29"/>
      <c r="AI767" s="29"/>
      <c r="AJ767" s="29"/>
      <c r="AK767" s="30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0">
        <f t="shared" si="97"/>
        <v>0</v>
      </c>
      <c r="BO767" s="20">
        <f t="shared" si="98"/>
        <v>0</v>
      </c>
      <c r="BP767" s="20">
        <f t="shared" si="99"/>
        <v>0</v>
      </c>
      <c r="BQ767" s="51"/>
      <c r="BR767" s="56"/>
      <c r="BS767" s="91"/>
      <c r="BT767" s="36"/>
      <c r="BU767" s="35"/>
    </row>
    <row r="768" s="1" customFormat="1" customHeight="1" spans="1:73">
      <c r="A768" s="41" t="s">
        <v>1260</v>
      </c>
      <c r="B768" s="15">
        <v>110</v>
      </c>
      <c r="C768" s="16">
        <v>94</v>
      </c>
      <c r="D768" s="29"/>
      <c r="E768" s="30"/>
      <c r="F768" s="29"/>
      <c r="G768" s="29"/>
      <c r="H768" s="29"/>
      <c r="I768" s="29"/>
      <c r="J768" s="29"/>
      <c r="K768" s="29"/>
      <c r="L768" s="29"/>
      <c r="M768" s="29"/>
      <c r="N768" s="29"/>
      <c r="O768" s="29">
        <v>9</v>
      </c>
      <c r="P768" s="29"/>
      <c r="Q768" s="30"/>
      <c r="R768" s="29"/>
      <c r="S768" s="29"/>
      <c r="T768" s="29"/>
      <c r="U768" s="29"/>
      <c r="V768" s="29"/>
      <c r="W768" s="29"/>
      <c r="X768" s="29"/>
      <c r="Y768" s="30"/>
      <c r="Z768" s="29"/>
      <c r="AA768" s="29"/>
      <c r="AB768" s="29"/>
      <c r="AC768" s="29"/>
      <c r="AD768" s="29"/>
      <c r="AE768" s="29"/>
      <c r="AF768" s="29"/>
      <c r="AG768" s="30"/>
      <c r="AH768" s="29"/>
      <c r="AI768" s="29"/>
      <c r="AJ768" s="29"/>
      <c r="AK768" s="30"/>
      <c r="AL768" s="29"/>
      <c r="AM768" s="30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30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0">
        <f t="shared" si="97"/>
        <v>0</v>
      </c>
      <c r="BO768" s="20">
        <f t="shared" si="98"/>
        <v>9</v>
      </c>
      <c r="BP768" s="20">
        <f t="shared" si="99"/>
        <v>85</v>
      </c>
      <c r="BQ768" s="51">
        <f t="shared" si="102"/>
        <v>9.35</v>
      </c>
      <c r="BR768" s="56" t="s">
        <v>681</v>
      </c>
      <c r="BS768" s="91" t="s">
        <v>682</v>
      </c>
      <c r="BT768" s="57"/>
      <c r="BU768" s="35" t="s">
        <v>1261</v>
      </c>
    </row>
    <row r="769" s="1" customFormat="1" customHeight="1" spans="1:73">
      <c r="A769" s="41" t="s">
        <v>1260</v>
      </c>
      <c r="B769" s="15">
        <v>120</v>
      </c>
      <c r="C769" s="16">
        <v>55</v>
      </c>
      <c r="D769" s="29"/>
      <c r="E769" s="30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30"/>
      <c r="R769" s="29"/>
      <c r="S769" s="29"/>
      <c r="T769" s="29"/>
      <c r="U769" s="29"/>
      <c r="V769" s="29"/>
      <c r="W769" s="29"/>
      <c r="X769" s="29"/>
      <c r="Y769" s="30"/>
      <c r="Z769" s="29"/>
      <c r="AA769" s="29"/>
      <c r="AB769" s="29"/>
      <c r="AC769" s="29"/>
      <c r="AD769" s="29"/>
      <c r="AE769" s="29"/>
      <c r="AF769" s="29"/>
      <c r="AG769" s="30"/>
      <c r="AH769" s="29"/>
      <c r="AI769" s="29"/>
      <c r="AJ769" s="29"/>
      <c r="AK769" s="30"/>
      <c r="AL769" s="29"/>
      <c r="AM769" s="30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30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0">
        <f t="shared" si="97"/>
        <v>0</v>
      </c>
      <c r="BO769" s="20">
        <f t="shared" si="98"/>
        <v>0</v>
      </c>
      <c r="BP769" s="20">
        <f t="shared" si="99"/>
        <v>55</v>
      </c>
      <c r="BQ769" s="51">
        <f t="shared" si="102"/>
        <v>6.6</v>
      </c>
      <c r="BR769" s="56" t="s">
        <v>404</v>
      </c>
      <c r="BS769" s="91" t="s">
        <v>1262</v>
      </c>
      <c r="BT769" s="57"/>
      <c r="BU769" s="35" t="s">
        <v>1261</v>
      </c>
    </row>
    <row r="770" s="1" customFormat="1" customHeight="1" spans="1:73">
      <c r="A770" s="41" t="s">
        <v>1260</v>
      </c>
      <c r="B770" s="15">
        <v>125</v>
      </c>
      <c r="C770" s="16">
        <v>97</v>
      </c>
      <c r="D770" s="29"/>
      <c r="E770" s="30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30"/>
      <c r="R770" s="29"/>
      <c r="S770" s="29"/>
      <c r="T770" s="29"/>
      <c r="U770" s="29"/>
      <c r="V770" s="29"/>
      <c r="W770" s="29"/>
      <c r="X770" s="29"/>
      <c r="Y770" s="30"/>
      <c r="Z770" s="29"/>
      <c r="AA770" s="29"/>
      <c r="AB770" s="29"/>
      <c r="AC770" s="29"/>
      <c r="AD770" s="29"/>
      <c r="AE770" s="29"/>
      <c r="AF770" s="29"/>
      <c r="AG770" s="30"/>
      <c r="AH770" s="30"/>
      <c r="AI770" s="29"/>
      <c r="AJ770" s="29"/>
      <c r="AK770" s="30"/>
      <c r="AL770" s="29"/>
      <c r="AM770" s="30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30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0">
        <f t="shared" si="97"/>
        <v>0</v>
      </c>
      <c r="BO770" s="20">
        <f t="shared" si="98"/>
        <v>0</v>
      </c>
      <c r="BP770" s="20">
        <f t="shared" si="99"/>
        <v>97</v>
      </c>
      <c r="BQ770" s="51">
        <f t="shared" si="102"/>
        <v>12.125</v>
      </c>
      <c r="BR770" s="56" t="s">
        <v>105</v>
      </c>
      <c r="BS770" s="91" t="s">
        <v>923</v>
      </c>
      <c r="BT770" s="57"/>
      <c r="BU770" s="35" t="s">
        <v>1261</v>
      </c>
    </row>
    <row r="771" s="1" customFormat="1" customHeight="1" spans="1:73">
      <c r="A771" s="41" t="s">
        <v>1260</v>
      </c>
      <c r="B771" s="15">
        <v>145</v>
      </c>
      <c r="C771" s="16">
        <v>0</v>
      </c>
      <c r="D771" s="29"/>
      <c r="E771" s="30"/>
      <c r="F771" s="29"/>
      <c r="G771" s="29"/>
      <c r="H771" s="29"/>
      <c r="I771" s="29"/>
      <c r="J771" s="29">
        <v>110</v>
      </c>
      <c r="K771" s="29"/>
      <c r="L771" s="29"/>
      <c r="M771" s="29">
        <v>15</v>
      </c>
      <c r="N771" s="29"/>
      <c r="O771" s="29"/>
      <c r="P771" s="29"/>
      <c r="Q771" s="30"/>
      <c r="R771" s="29"/>
      <c r="S771" s="29"/>
      <c r="T771" s="29"/>
      <c r="U771" s="29"/>
      <c r="V771" s="29"/>
      <c r="W771" s="29"/>
      <c r="X771" s="29"/>
      <c r="Y771" s="30"/>
      <c r="Z771" s="29"/>
      <c r="AA771" s="29"/>
      <c r="AB771" s="29"/>
      <c r="AC771" s="29"/>
      <c r="AD771" s="29"/>
      <c r="AE771" s="29"/>
      <c r="AF771" s="29"/>
      <c r="AG771" s="30"/>
      <c r="AH771" s="30"/>
      <c r="AI771" s="29"/>
      <c r="AJ771" s="29"/>
      <c r="AK771" s="30"/>
      <c r="AL771" s="29"/>
      <c r="AM771" s="30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30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0">
        <f t="shared" si="97"/>
        <v>110</v>
      </c>
      <c r="BO771" s="20">
        <f t="shared" si="98"/>
        <v>15</v>
      </c>
      <c r="BP771" s="20">
        <f t="shared" si="99"/>
        <v>95</v>
      </c>
      <c r="BQ771" s="51">
        <f t="shared" si="102"/>
        <v>13.775</v>
      </c>
      <c r="BR771" s="56" t="s">
        <v>384</v>
      </c>
      <c r="BS771" s="91" t="s">
        <v>736</v>
      </c>
      <c r="BT771" s="57"/>
      <c r="BU771" s="35" t="s">
        <v>1261</v>
      </c>
    </row>
    <row r="772" s="1" customFormat="1" customHeight="1" spans="1:73">
      <c r="A772" s="41" t="s">
        <v>1260</v>
      </c>
      <c r="B772" s="15">
        <v>185</v>
      </c>
      <c r="C772" s="16">
        <v>55</v>
      </c>
      <c r="D772" s="29"/>
      <c r="E772" s="30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30"/>
      <c r="R772" s="29"/>
      <c r="S772" s="29"/>
      <c r="T772" s="29"/>
      <c r="U772" s="29"/>
      <c r="V772" s="29"/>
      <c r="W772" s="29"/>
      <c r="X772" s="29"/>
      <c r="Y772" s="30"/>
      <c r="Z772" s="29"/>
      <c r="AA772" s="29"/>
      <c r="AB772" s="29"/>
      <c r="AC772" s="29"/>
      <c r="AD772" s="29"/>
      <c r="AE772" s="29"/>
      <c r="AF772" s="29"/>
      <c r="AG772" s="30"/>
      <c r="AH772" s="29"/>
      <c r="AI772" s="29"/>
      <c r="AJ772" s="29"/>
      <c r="AK772" s="30"/>
      <c r="AL772" s="29"/>
      <c r="AM772" s="30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30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0">
        <f t="shared" si="97"/>
        <v>0</v>
      </c>
      <c r="BO772" s="20">
        <f t="shared" si="98"/>
        <v>0</v>
      </c>
      <c r="BP772" s="20">
        <f t="shared" si="99"/>
        <v>55</v>
      </c>
      <c r="BQ772" s="51">
        <f t="shared" si="102"/>
        <v>10.175</v>
      </c>
      <c r="BR772" s="56" t="s">
        <v>919</v>
      </c>
      <c r="BS772" s="91" t="s">
        <v>923</v>
      </c>
      <c r="BT772" s="57"/>
      <c r="BU772" s="35" t="s">
        <v>1261</v>
      </c>
    </row>
    <row r="773" s="1" customFormat="1" customHeight="1" spans="1:73">
      <c r="A773" s="41" t="s">
        <v>1260</v>
      </c>
      <c r="B773" s="15">
        <v>200</v>
      </c>
      <c r="C773" s="16">
        <v>86</v>
      </c>
      <c r="D773" s="29"/>
      <c r="E773" s="30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30"/>
      <c r="R773" s="29"/>
      <c r="S773" s="29"/>
      <c r="T773" s="29"/>
      <c r="U773" s="29"/>
      <c r="V773" s="29"/>
      <c r="W773" s="29"/>
      <c r="X773" s="29"/>
      <c r="Y773" s="30"/>
      <c r="Z773" s="29"/>
      <c r="AA773" s="29"/>
      <c r="AB773" s="29"/>
      <c r="AC773" s="29"/>
      <c r="AD773" s="29"/>
      <c r="AE773" s="29"/>
      <c r="AF773" s="29"/>
      <c r="AG773" s="30"/>
      <c r="AH773" s="29"/>
      <c r="AI773" s="29"/>
      <c r="AJ773" s="29"/>
      <c r="AK773" s="30"/>
      <c r="AL773" s="29"/>
      <c r="AM773" s="30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30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0">
        <f t="shared" si="97"/>
        <v>0</v>
      </c>
      <c r="BO773" s="20">
        <f t="shared" si="98"/>
        <v>0</v>
      </c>
      <c r="BP773" s="20">
        <f t="shared" si="99"/>
        <v>86</v>
      </c>
      <c r="BQ773" s="51">
        <f t="shared" si="102"/>
        <v>17.2</v>
      </c>
      <c r="BR773" s="56" t="s">
        <v>919</v>
      </c>
      <c r="BS773" s="91" t="s">
        <v>682</v>
      </c>
      <c r="BT773" s="57"/>
      <c r="BU773" s="35" t="s">
        <v>1261</v>
      </c>
    </row>
    <row r="774" s="1" customFormat="1" customHeight="1" spans="1:73">
      <c r="A774" s="41" t="s">
        <v>1260</v>
      </c>
      <c r="B774" s="15">
        <v>204</v>
      </c>
      <c r="C774" s="16">
        <v>0</v>
      </c>
      <c r="D774" s="29"/>
      <c r="E774" s="30"/>
      <c r="F774" s="29"/>
      <c r="G774" s="29"/>
      <c r="H774" s="29"/>
      <c r="I774" s="29"/>
      <c r="J774" s="29">
        <v>55</v>
      </c>
      <c r="K774" s="29"/>
      <c r="L774" s="29"/>
      <c r="M774" s="29"/>
      <c r="N774" s="29"/>
      <c r="O774" s="29"/>
      <c r="P774" s="29"/>
      <c r="Q774" s="30"/>
      <c r="R774" s="29"/>
      <c r="S774" s="29"/>
      <c r="T774" s="29"/>
      <c r="U774" s="29"/>
      <c r="V774" s="29"/>
      <c r="W774" s="29"/>
      <c r="X774" s="29"/>
      <c r="Y774" s="30"/>
      <c r="Z774" s="29"/>
      <c r="AA774" s="29"/>
      <c r="AB774" s="29"/>
      <c r="AC774" s="29"/>
      <c r="AD774" s="29"/>
      <c r="AE774" s="29"/>
      <c r="AF774" s="29"/>
      <c r="AG774" s="30"/>
      <c r="AH774" s="29"/>
      <c r="AI774" s="29"/>
      <c r="AJ774" s="29"/>
      <c r="AK774" s="30"/>
      <c r="AL774" s="29"/>
      <c r="AM774" s="30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30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0">
        <f t="shared" si="97"/>
        <v>55</v>
      </c>
      <c r="BO774" s="20">
        <f t="shared" si="98"/>
        <v>0</v>
      </c>
      <c r="BP774" s="20">
        <f t="shared" si="99"/>
        <v>55</v>
      </c>
      <c r="BQ774" s="51">
        <f t="shared" si="102"/>
        <v>11.22</v>
      </c>
      <c r="BR774" s="56" t="s">
        <v>384</v>
      </c>
      <c r="BS774" s="91" t="s">
        <v>736</v>
      </c>
      <c r="BT774" s="57"/>
      <c r="BU774" s="35" t="s">
        <v>1261</v>
      </c>
    </row>
    <row r="775" s="1" customFormat="1" customHeight="1" spans="1:73">
      <c r="A775" s="41" t="s">
        <v>1260</v>
      </c>
      <c r="B775" s="15">
        <v>210</v>
      </c>
      <c r="C775" s="16">
        <v>7</v>
      </c>
      <c r="D775" s="29"/>
      <c r="E775" s="30"/>
      <c r="F775" s="29"/>
      <c r="G775" s="29"/>
      <c r="H775" s="29"/>
      <c r="I775" s="29"/>
      <c r="J775" s="29"/>
      <c r="K775" s="29"/>
      <c r="L775" s="29"/>
      <c r="M775" s="29">
        <v>2</v>
      </c>
      <c r="N775" s="29"/>
      <c r="O775" s="29"/>
      <c r="P775" s="29"/>
      <c r="Q775" s="30"/>
      <c r="R775" s="29"/>
      <c r="S775" s="29"/>
      <c r="T775" s="29"/>
      <c r="U775" s="29"/>
      <c r="V775" s="29"/>
      <c r="W775" s="29"/>
      <c r="X775" s="29"/>
      <c r="Y775" s="30"/>
      <c r="Z775" s="29"/>
      <c r="AA775" s="29"/>
      <c r="AB775" s="29"/>
      <c r="AC775" s="29"/>
      <c r="AD775" s="29"/>
      <c r="AE775" s="29"/>
      <c r="AF775" s="29"/>
      <c r="AG775" s="30"/>
      <c r="AH775" s="29"/>
      <c r="AI775" s="29"/>
      <c r="AJ775" s="29"/>
      <c r="AK775" s="30"/>
      <c r="AL775" s="29"/>
      <c r="AM775" s="30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30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0">
        <f t="shared" si="97"/>
        <v>0</v>
      </c>
      <c r="BO775" s="20">
        <f t="shared" si="98"/>
        <v>2</v>
      </c>
      <c r="BP775" s="20">
        <f t="shared" si="99"/>
        <v>5</v>
      </c>
      <c r="BQ775" s="51">
        <f t="shared" si="102"/>
        <v>1.05</v>
      </c>
      <c r="BR775" s="56" t="s">
        <v>1233</v>
      </c>
      <c r="BS775" s="91" t="s">
        <v>909</v>
      </c>
      <c r="BT775" s="57" t="s">
        <v>1263</v>
      </c>
      <c r="BU775" s="35" t="s">
        <v>1261</v>
      </c>
    </row>
    <row r="776" s="1" customFormat="1" customHeight="1" spans="1:73">
      <c r="A776" s="41" t="s">
        <v>1260</v>
      </c>
      <c r="B776" s="15">
        <v>213</v>
      </c>
      <c r="C776" s="16">
        <v>10</v>
      </c>
      <c r="D776" s="29"/>
      <c r="E776" s="30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30"/>
      <c r="R776" s="29"/>
      <c r="S776" s="29"/>
      <c r="T776" s="29"/>
      <c r="U776" s="29"/>
      <c r="V776" s="29"/>
      <c r="W776" s="29"/>
      <c r="X776" s="29"/>
      <c r="Y776" s="30"/>
      <c r="Z776" s="29"/>
      <c r="AA776" s="29"/>
      <c r="AB776" s="29"/>
      <c r="AC776" s="29"/>
      <c r="AD776" s="29"/>
      <c r="AE776" s="29"/>
      <c r="AF776" s="29"/>
      <c r="AG776" s="30"/>
      <c r="AH776" s="29"/>
      <c r="AI776" s="29"/>
      <c r="AJ776" s="29"/>
      <c r="AK776" s="30"/>
      <c r="AL776" s="29"/>
      <c r="AM776" s="30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30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0">
        <f t="shared" si="97"/>
        <v>0</v>
      </c>
      <c r="BO776" s="20">
        <f t="shared" si="98"/>
        <v>0</v>
      </c>
      <c r="BP776" s="20">
        <f t="shared" si="99"/>
        <v>10</v>
      </c>
      <c r="BQ776" s="51">
        <f t="shared" si="102"/>
        <v>2.13</v>
      </c>
      <c r="BR776" s="56" t="s">
        <v>158</v>
      </c>
      <c r="BS776" s="91" t="s">
        <v>789</v>
      </c>
      <c r="BT776" s="57"/>
      <c r="BU776" s="35" t="s">
        <v>1261</v>
      </c>
    </row>
    <row r="777" s="1" customFormat="1" customHeight="1" spans="1:73">
      <c r="A777" s="41" t="s">
        <v>1260</v>
      </c>
      <c r="B777" s="15">
        <v>235</v>
      </c>
      <c r="C777" s="16">
        <v>196</v>
      </c>
      <c r="D777" s="29"/>
      <c r="E777" s="30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30"/>
      <c r="R777" s="29"/>
      <c r="S777" s="29"/>
      <c r="T777" s="29"/>
      <c r="U777" s="29"/>
      <c r="V777" s="29"/>
      <c r="W777" s="29"/>
      <c r="X777" s="29"/>
      <c r="Y777" s="30"/>
      <c r="Z777" s="29"/>
      <c r="AA777" s="29"/>
      <c r="AB777" s="29"/>
      <c r="AC777" s="29"/>
      <c r="AD777" s="29"/>
      <c r="AE777" s="29"/>
      <c r="AF777" s="29"/>
      <c r="AG777" s="30"/>
      <c r="AH777" s="29"/>
      <c r="AI777" s="29"/>
      <c r="AJ777" s="29"/>
      <c r="AK777" s="30"/>
      <c r="AL777" s="29"/>
      <c r="AM777" s="30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30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0">
        <f t="shared" si="97"/>
        <v>0</v>
      </c>
      <c r="BO777" s="20">
        <f t="shared" si="98"/>
        <v>0</v>
      </c>
      <c r="BP777" s="20">
        <f t="shared" si="99"/>
        <v>196</v>
      </c>
      <c r="BQ777" s="51">
        <f t="shared" si="102"/>
        <v>46.06</v>
      </c>
      <c r="BR777" s="56" t="s">
        <v>908</v>
      </c>
      <c r="BS777" s="91" t="s">
        <v>923</v>
      </c>
      <c r="BT777" s="57"/>
      <c r="BU777" s="35" t="s">
        <v>1261</v>
      </c>
    </row>
    <row r="778" s="1" customFormat="1" customHeight="1" spans="1:73">
      <c r="A778" s="41" t="s">
        <v>1260</v>
      </c>
      <c r="B778" s="15">
        <v>250</v>
      </c>
      <c r="C778" s="16">
        <v>55</v>
      </c>
      <c r="D778" s="29"/>
      <c r="E778" s="30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30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30"/>
      <c r="AH778" s="29"/>
      <c r="AI778" s="29"/>
      <c r="AJ778" s="29"/>
      <c r="AK778" s="30"/>
      <c r="AL778" s="29"/>
      <c r="AM778" s="30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30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0">
        <f t="shared" si="97"/>
        <v>0</v>
      </c>
      <c r="BO778" s="20">
        <f t="shared" si="98"/>
        <v>0</v>
      </c>
      <c r="BP778" s="20">
        <f t="shared" si="99"/>
        <v>55</v>
      </c>
      <c r="BQ778" s="51">
        <f t="shared" si="102"/>
        <v>13.75</v>
      </c>
      <c r="BR778" s="56" t="s">
        <v>908</v>
      </c>
      <c r="BS778" s="91" t="s">
        <v>909</v>
      </c>
      <c r="BT778" s="57"/>
      <c r="BU778" s="35" t="s">
        <v>1261</v>
      </c>
    </row>
    <row r="779" s="1" customFormat="1" customHeight="1" spans="1:73">
      <c r="A779" s="41" t="s">
        <v>1260</v>
      </c>
      <c r="B779" s="15">
        <v>270</v>
      </c>
      <c r="C779" s="16">
        <v>595</v>
      </c>
      <c r="D779" s="29"/>
      <c r="E779" s="30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30"/>
      <c r="R779" s="29"/>
      <c r="S779" s="29"/>
      <c r="T779" s="29"/>
      <c r="U779" s="29"/>
      <c r="V779" s="29"/>
      <c r="W779" s="29"/>
      <c r="X779" s="29"/>
      <c r="Y779" s="30"/>
      <c r="Z779" s="29"/>
      <c r="AA779" s="29"/>
      <c r="AB779" s="29"/>
      <c r="AC779" s="29"/>
      <c r="AD779" s="29"/>
      <c r="AE779" s="29"/>
      <c r="AF779" s="29"/>
      <c r="AG779" s="30"/>
      <c r="AH779" s="29"/>
      <c r="AI779" s="29"/>
      <c r="AJ779" s="29"/>
      <c r="AK779" s="30"/>
      <c r="AL779" s="29"/>
      <c r="AM779" s="30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30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0">
        <f t="shared" si="97"/>
        <v>0</v>
      </c>
      <c r="BO779" s="20">
        <f t="shared" si="98"/>
        <v>0</v>
      </c>
      <c r="BP779" s="20">
        <f t="shared" si="99"/>
        <v>595</v>
      </c>
      <c r="BQ779" s="51">
        <f t="shared" si="102"/>
        <v>160.65</v>
      </c>
      <c r="BR779" s="56" t="s">
        <v>908</v>
      </c>
      <c r="BS779" s="91" t="s">
        <v>909</v>
      </c>
      <c r="BT779" s="57"/>
      <c r="BU779" s="35" t="s">
        <v>1261</v>
      </c>
    </row>
    <row r="780" s="1" customFormat="1" customHeight="1" spans="1:73">
      <c r="A780" s="41" t="s">
        <v>1260</v>
      </c>
      <c r="B780" s="15">
        <v>283</v>
      </c>
      <c r="C780" s="16">
        <v>30</v>
      </c>
      <c r="D780" s="29"/>
      <c r="E780" s="30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30"/>
      <c r="R780" s="29"/>
      <c r="S780" s="29"/>
      <c r="T780" s="29"/>
      <c r="U780" s="29"/>
      <c r="V780" s="29"/>
      <c r="W780" s="29"/>
      <c r="X780" s="29"/>
      <c r="Y780" s="30"/>
      <c r="Z780" s="29"/>
      <c r="AA780" s="29"/>
      <c r="AB780" s="29"/>
      <c r="AC780" s="29"/>
      <c r="AD780" s="29"/>
      <c r="AE780" s="29"/>
      <c r="AF780" s="29"/>
      <c r="AG780" s="30"/>
      <c r="AH780" s="29"/>
      <c r="AI780" s="29"/>
      <c r="AJ780" s="29"/>
      <c r="AK780" s="30"/>
      <c r="AL780" s="29"/>
      <c r="AM780" s="30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30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0">
        <f t="shared" si="97"/>
        <v>0</v>
      </c>
      <c r="BO780" s="20">
        <f t="shared" si="98"/>
        <v>0</v>
      </c>
      <c r="BP780" s="20">
        <f t="shared" si="99"/>
        <v>30</v>
      </c>
      <c r="BQ780" s="51">
        <f t="shared" si="102"/>
        <v>8.49</v>
      </c>
      <c r="BR780" s="56" t="s">
        <v>681</v>
      </c>
      <c r="BS780" s="91" t="s">
        <v>682</v>
      </c>
      <c r="BT780" s="57"/>
      <c r="BU780" s="35" t="s">
        <v>1261</v>
      </c>
    </row>
    <row r="781" s="1" customFormat="1" customHeight="1" spans="1:73">
      <c r="A781" s="41" t="s">
        <v>1260</v>
      </c>
      <c r="B781" s="15">
        <v>293</v>
      </c>
      <c r="C781" s="16">
        <v>330</v>
      </c>
      <c r="D781" s="29"/>
      <c r="E781" s="30"/>
      <c r="F781" s="29"/>
      <c r="G781" s="29"/>
      <c r="H781" s="29"/>
      <c r="I781" s="29"/>
      <c r="J781" s="29"/>
      <c r="K781" s="29">
        <v>317</v>
      </c>
      <c r="L781" s="29"/>
      <c r="M781" s="29"/>
      <c r="N781" s="29"/>
      <c r="O781" s="29"/>
      <c r="P781" s="29"/>
      <c r="Q781" s="30"/>
      <c r="R781" s="29"/>
      <c r="S781" s="29"/>
      <c r="T781" s="29"/>
      <c r="U781" s="29"/>
      <c r="V781" s="29"/>
      <c r="W781" s="29"/>
      <c r="X781" s="29"/>
      <c r="Y781" s="30"/>
      <c r="Z781" s="29"/>
      <c r="AA781" s="29"/>
      <c r="AB781" s="29"/>
      <c r="AC781" s="29"/>
      <c r="AD781" s="29"/>
      <c r="AE781" s="29"/>
      <c r="AF781" s="29"/>
      <c r="AG781" s="30"/>
      <c r="AH781" s="29"/>
      <c r="AI781" s="29"/>
      <c r="AJ781" s="29"/>
      <c r="AK781" s="30"/>
      <c r="AL781" s="29"/>
      <c r="AM781" s="30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30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0">
        <f t="shared" si="97"/>
        <v>0</v>
      </c>
      <c r="BO781" s="20">
        <f t="shared" si="98"/>
        <v>317</v>
      </c>
      <c r="BP781" s="20">
        <f t="shared" si="99"/>
        <v>13</v>
      </c>
      <c r="BQ781" s="51">
        <f t="shared" si="102"/>
        <v>3.809</v>
      </c>
      <c r="BR781" s="56" t="s">
        <v>681</v>
      </c>
      <c r="BS781" s="91" t="s">
        <v>682</v>
      </c>
      <c r="BT781" s="57"/>
      <c r="BU781" s="35" t="s">
        <v>1261</v>
      </c>
    </row>
    <row r="782" s="1" customFormat="1" customHeight="1" spans="1:73">
      <c r="A782" s="41" t="s">
        <v>1260</v>
      </c>
      <c r="B782" s="15">
        <v>315</v>
      </c>
      <c r="C782" s="16">
        <v>676</v>
      </c>
      <c r="D782" s="29"/>
      <c r="E782" s="30"/>
      <c r="F782" s="29"/>
      <c r="G782" s="29"/>
      <c r="H782" s="29"/>
      <c r="I782" s="29">
        <v>28</v>
      </c>
      <c r="J782" s="29"/>
      <c r="K782" s="29">
        <v>110</v>
      </c>
      <c r="L782" s="29"/>
      <c r="M782" s="29">
        <v>381</v>
      </c>
      <c r="N782" s="29"/>
      <c r="O782" s="29"/>
      <c r="P782" s="29"/>
      <c r="Q782" s="30"/>
      <c r="R782" s="29"/>
      <c r="S782" s="29"/>
      <c r="T782" s="29"/>
      <c r="U782" s="29"/>
      <c r="V782" s="29"/>
      <c r="W782" s="29"/>
      <c r="X782" s="29"/>
      <c r="Y782" s="30"/>
      <c r="Z782" s="29"/>
      <c r="AA782" s="29"/>
      <c r="AB782" s="29"/>
      <c r="AC782" s="29"/>
      <c r="AD782" s="29"/>
      <c r="AE782" s="29"/>
      <c r="AF782" s="29"/>
      <c r="AG782" s="30"/>
      <c r="AH782" s="29"/>
      <c r="AI782" s="29"/>
      <c r="AJ782" s="29"/>
      <c r="AK782" s="30"/>
      <c r="AL782" s="29"/>
      <c r="AM782" s="30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30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0">
        <f t="shared" si="97"/>
        <v>0</v>
      </c>
      <c r="BO782" s="20">
        <f t="shared" si="98"/>
        <v>519</v>
      </c>
      <c r="BP782" s="20">
        <f t="shared" si="99"/>
        <v>157</v>
      </c>
      <c r="BQ782" s="51">
        <f t="shared" si="102"/>
        <v>49.455</v>
      </c>
      <c r="BR782" s="56" t="s">
        <v>1264</v>
      </c>
      <c r="BS782" s="91" t="s">
        <v>909</v>
      </c>
      <c r="BT782" s="36"/>
      <c r="BU782" s="35" t="s">
        <v>1261</v>
      </c>
    </row>
    <row r="783" s="1" customFormat="1" customHeight="1" spans="1:73">
      <c r="A783" s="41" t="s">
        <v>1260</v>
      </c>
      <c r="B783" s="15">
        <v>312</v>
      </c>
      <c r="C783" s="16">
        <v>55</v>
      </c>
      <c r="D783" s="29"/>
      <c r="E783" s="30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30"/>
      <c r="R783" s="29"/>
      <c r="S783" s="29"/>
      <c r="T783" s="29"/>
      <c r="U783" s="29"/>
      <c r="V783" s="29"/>
      <c r="W783" s="29"/>
      <c r="X783" s="29"/>
      <c r="Y783" s="30"/>
      <c r="Z783" s="29"/>
      <c r="AA783" s="29"/>
      <c r="AB783" s="29"/>
      <c r="AC783" s="29"/>
      <c r="AD783" s="29"/>
      <c r="AE783" s="29"/>
      <c r="AF783" s="29"/>
      <c r="AG783" s="30"/>
      <c r="AH783" s="29"/>
      <c r="AI783" s="29"/>
      <c r="AJ783" s="29"/>
      <c r="AK783" s="30"/>
      <c r="AL783" s="29"/>
      <c r="AM783" s="30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30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0">
        <f t="shared" si="97"/>
        <v>0</v>
      </c>
      <c r="BO783" s="20">
        <f t="shared" si="98"/>
        <v>0</v>
      </c>
      <c r="BP783" s="20">
        <f t="shared" si="99"/>
        <v>55</v>
      </c>
      <c r="BQ783" s="51">
        <f t="shared" si="102"/>
        <v>17.16</v>
      </c>
      <c r="BR783" s="56" t="s">
        <v>1264</v>
      </c>
      <c r="BS783" s="91" t="s">
        <v>1265</v>
      </c>
      <c r="BT783" s="36"/>
      <c r="BU783" s="35" t="s">
        <v>1261</v>
      </c>
    </row>
    <row r="784" s="1" customFormat="1" customHeight="1" spans="1:73">
      <c r="A784" s="41" t="s">
        <v>1260</v>
      </c>
      <c r="B784" s="15">
        <v>328</v>
      </c>
      <c r="C784" s="16">
        <v>105</v>
      </c>
      <c r="D784" s="29"/>
      <c r="E784" s="30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30"/>
      <c r="R784" s="29"/>
      <c r="S784" s="29"/>
      <c r="T784" s="29"/>
      <c r="U784" s="29"/>
      <c r="V784" s="29"/>
      <c r="W784" s="29"/>
      <c r="X784" s="29"/>
      <c r="Y784" s="30"/>
      <c r="Z784" s="29"/>
      <c r="AA784" s="29"/>
      <c r="AB784" s="29"/>
      <c r="AC784" s="29"/>
      <c r="AD784" s="29"/>
      <c r="AE784" s="29"/>
      <c r="AF784" s="29"/>
      <c r="AG784" s="30"/>
      <c r="AH784" s="29"/>
      <c r="AI784" s="29"/>
      <c r="AJ784" s="29"/>
      <c r="AK784" s="30"/>
      <c r="AL784" s="29"/>
      <c r="AM784" s="30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0">
        <f t="shared" si="97"/>
        <v>0</v>
      </c>
      <c r="BO784" s="20">
        <f t="shared" si="98"/>
        <v>0</v>
      </c>
      <c r="BP784" s="20">
        <f t="shared" si="99"/>
        <v>105</v>
      </c>
      <c r="BQ784" s="51">
        <f t="shared" si="102"/>
        <v>34.44</v>
      </c>
      <c r="BR784" s="56" t="s">
        <v>201</v>
      </c>
      <c r="BS784" s="91" t="s">
        <v>1266</v>
      </c>
      <c r="BT784" s="34"/>
      <c r="BU784" s="35" t="s">
        <v>1261</v>
      </c>
    </row>
    <row r="785" s="1" customFormat="1" customHeight="1" spans="1:73">
      <c r="A785" s="41" t="s">
        <v>1260</v>
      </c>
      <c r="B785" s="15">
        <v>484</v>
      </c>
      <c r="C785" s="16">
        <v>55</v>
      </c>
      <c r="D785" s="29"/>
      <c r="E785" s="30"/>
      <c r="F785" s="29"/>
      <c r="G785" s="29"/>
      <c r="H785" s="29"/>
      <c r="I785" s="29"/>
      <c r="J785" s="29"/>
      <c r="K785" s="29">
        <v>55</v>
      </c>
      <c r="L785" s="29"/>
      <c r="M785" s="29"/>
      <c r="N785" s="29"/>
      <c r="O785" s="29"/>
      <c r="P785" s="29"/>
      <c r="Q785" s="30"/>
      <c r="R785" s="29"/>
      <c r="S785" s="29"/>
      <c r="T785" s="29"/>
      <c r="U785" s="29"/>
      <c r="V785" s="29"/>
      <c r="W785" s="29"/>
      <c r="X785" s="29"/>
      <c r="Y785" s="30"/>
      <c r="Z785" s="29"/>
      <c r="AA785" s="29"/>
      <c r="AB785" s="29"/>
      <c r="AC785" s="29"/>
      <c r="AD785" s="29"/>
      <c r="AE785" s="29"/>
      <c r="AF785" s="29"/>
      <c r="AG785" s="30"/>
      <c r="AH785" s="29"/>
      <c r="AI785" s="29"/>
      <c r="AJ785" s="29"/>
      <c r="AK785" s="30"/>
      <c r="AL785" s="29"/>
      <c r="AM785" s="30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0">
        <f t="shared" si="97"/>
        <v>0</v>
      </c>
      <c r="BO785" s="20">
        <f t="shared" si="98"/>
        <v>55</v>
      </c>
      <c r="BP785" s="20">
        <f t="shared" si="99"/>
        <v>0</v>
      </c>
      <c r="BQ785" s="51">
        <f t="shared" si="102"/>
        <v>0</v>
      </c>
      <c r="BR785" s="56" t="s">
        <v>922</v>
      </c>
      <c r="BS785" s="91" t="s">
        <v>910</v>
      </c>
      <c r="BT785" s="34"/>
      <c r="BU785" s="35" t="s">
        <v>1261</v>
      </c>
    </row>
    <row r="786" s="1" customFormat="1" customHeight="1" spans="1:73">
      <c r="A786" s="41" t="s">
        <v>1267</v>
      </c>
      <c r="B786" s="15">
        <v>270</v>
      </c>
      <c r="C786" s="16">
        <v>70</v>
      </c>
      <c r="D786" s="29"/>
      <c r="E786" s="30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30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30"/>
      <c r="AH786" s="29"/>
      <c r="AI786" s="29"/>
      <c r="AJ786" s="29"/>
      <c r="AK786" s="30"/>
      <c r="AL786" s="29"/>
      <c r="AM786" s="30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30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0">
        <f t="shared" si="97"/>
        <v>0</v>
      </c>
      <c r="BO786" s="20">
        <f t="shared" si="98"/>
        <v>0</v>
      </c>
      <c r="BP786" s="20">
        <f t="shared" si="99"/>
        <v>70</v>
      </c>
      <c r="BQ786" s="51">
        <f t="shared" si="102"/>
        <v>18.9</v>
      </c>
      <c r="BR786" s="56" t="s">
        <v>155</v>
      </c>
      <c r="BS786" s="91" t="s">
        <v>1268</v>
      </c>
      <c r="BT786" s="57"/>
      <c r="BU786" s="35" t="s">
        <v>1261</v>
      </c>
    </row>
    <row r="787" s="1" customFormat="1" customHeight="1" spans="1:73">
      <c r="A787" s="41" t="s">
        <v>1267</v>
      </c>
      <c r="B787" s="15">
        <v>300</v>
      </c>
      <c r="C787" s="16">
        <v>234</v>
      </c>
      <c r="D787" s="29"/>
      <c r="E787" s="30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30"/>
      <c r="R787" s="29"/>
      <c r="S787" s="29"/>
      <c r="T787" s="29"/>
      <c r="U787" s="29"/>
      <c r="V787" s="29"/>
      <c r="W787" s="29"/>
      <c r="X787" s="29"/>
      <c r="Y787" s="30"/>
      <c r="Z787" s="29"/>
      <c r="AA787" s="29"/>
      <c r="AB787" s="29"/>
      <c r="AC787" s="29"/>
      <c r="AD787" s="29"/>
      <c r="AE787" s="29"/>
      <c r="AF787" s="29"/>
      <c r="AG787" s="30"/>
      <c r="AH787" s="29"/>
      <c r="AI787" s="29"/>
      <c r="AJ787" s="29"/>
      <c r="AK787" s="30"/>
      <c r="AL787" s="29"/>
      <c r="AM787" s="30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30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0">
        <f t="shared" si="97"/>
        <v>0</v>
      </c>
      <c r="BO787" s="20">
        <f t="shared" si="98"/>
        <v>0</v>
      </c>
      <c r="BP787" s="20">
        <f t="shared" si="99"/>
        <v>234</v>
      </c>
      <c r="BQ787" s="51">
        <f t="shared" si="102"/>
        <v>70.2</v>
      </c>
      <c r="BR787" s="56" t="s">
        <v>1269</v>
      </c>
      <c r="BS787" s="91" t="s">
        <v>1270</v>
      </c>
      <c r="BT787" s="57"/>
      <c r="BU787" s="35" t="s">
        <v>1261</v>
      </c>
    </row>
    <row r="788" s="1" customFormat="1" customHeight="1" spans="1:73">
      <c r="A788" s="48" t="s">
        <v>1271</v>
      </c>
      <c r="B788" s="15">
        <v>210</v>
      </c>
      <c r="C788" s="16">
        <v>195</v>
      </c>
      <c r="D788" s="29"/>
      <c r="E788" s="30"/>
      <c r="F788" s="29"/>
      <c r="G788" s="29"/>
      <c r="H788" s="29"/>
      <c r="I788" s="29"/>
      <c r="J788" s="29"/>
      <c r="K788" s="29"/>
      <c r="L788" s="29"/>
      <c r="M788" s="29"/>
      <c r="N788" s="29"/>
      <c r="O788" s="30"/>
      <c r="P788" s="29"/>
      <c r="Q788" s="30"/>
      <c r="R788" s="29"/>
      <c r="S788" s="29"/>
      <c r="T788" s="29"/>
      <c r="U788" s="30"/>
      <c r="V788" s="29"/>
      <c r="W788" s="29"/>
      <c r="X788" s="29"/>
      <c r="Y788" s="29"/>
      <c r="Z788" s="29"/>
      <c r="AA788" s="30"/>
      <c r="AB788" s="29"/>
      <c r="AC788" s="29"/>
      <c r="AD788" s="29"/>
      <c r="AE788" s="29"/>
      <c r="AF788" s="29"/>
      <c r="AG788" s="30"/>
      <c r="AH788" s="29"/>
      <c r="AI788" s="30"/>
      <c r="AJ788" s="29"/>
      <c r="AK788" s="30"/>
      <c r="AL788" s="29"/>
      <c r="AM788" s="29"/>
      <c r="AN788" s="29"/>
      <c r="AO788" s="29"/>
      <c r="AP788" s="29"/>
      <c r="AQ788" s="29"/>
      <c r="AR788" s="29"/>
      <c r="AS788" s="29"/>
      <c r="AT788" s="29"/>
      <c r="AU788" s="30"/>
      <c r="AV788" s="29"/>
      <c r="AW788" s="29"/>
      <c r="AX788" s="29"/>
      <c r="AY788" s="82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0">
        <f t="shared" si="97"/>
        <v>0</v>
      </c>
      <c r="BO788" s="20">
        <f t="shared" si="98"/>
        <v>0</v>
      </c>
      <c r="BP788" s="20">
        <f t="shared" si="99"/>
        <v>195</v>
      </c>
      <c r="BQ788" s="51">
        <f t="shared" si="102"/>
        <v>40.95</v>
      </c>
      <c r="BR788" s="56" t="s">
        <v>188</v>
      </c>
      <c r="BS788" s="91" t="s">
        <v>1272</v>
      </c>
      <c r="BT788" s="36"/>
      <c r="BU788" s="35" t="s">
        <v>1273</v>
      </c>
    </row>
    <row r="789" s="1" customFormat="1" customHeight="1" spans="1:73">
      <c r="A789" s="53" t="s">
        <v>1274</v>
      </c>
      <c r="B789" s="15"/>
      <c r="C789" s="16"/>
      <c r="D789" s="29"/>
      <c r="E789" s="30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30"/>
      <c r="X789" s="29"/>
      <c r="Y789" s="29"/>
      <c r="Z789" s="29"/>
      <c r="AA789" s="29"/>
      <c r="AB789" s="29"/>
      <c r="AC789" s="30"/>
      <c r="AD789" s="29"/>
      <c r="AE789" s="30"/>
      <c r="AF789" s="29"/>
      <c r="AG789" s="30"/>
      <c r="AH789" s="29"/>
      <c r="AI789" s="29"/>
      <c r="AJ789" s="29"/>
      <c r="AK789" s="30"/>
      <c r="AL789" s="29"/>
      <c r="AM789" s="30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0">
        <f t="shared" si="97"/>
        <v>0</v>
      </c>
      <c r="BO789" s="20">
        <f t="shared" si="98"/>
        <v>0</v>
      </c>
      <c r="BP789" s="20">
        <f t="shared" si="99"/>
        <v>0</v>
      </c>
      <c r="BQ789" s="51"/>
      <c r="BR789" s="56"/>
      <c r="BS789" s="91"/>
      <c r="BT789" s="57"/>
      <c r="BU789" s="35"/>
    </row>
    <row r="790" s="1" customFormat="1" customHeight="1" spans="1:73">
      <c r="A790" s="37" t="s">
        <v>1275</v>
      </c>
      <c r="B790" s="15">
        <v>120</v>
      </c>
      <c r="C790" s="16">
        <v>12</v>
      </c>
      <c r="D790" s="29"/>
      <c r="E790" s="30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30"/>
      <c r="X790" s="29"/>
      <c r="Y790" s="29"/>
      <c r="Z790" s="29"/>
      <c r="AA790" s="29"/>
      <c r="AB790" s="29"/>
      <c r="AC790" s="30"/>
      <c r="AD790" s="29"/>
      <c r="AE790" s="30"/>
      <c r="AF790" s="29"/>
      <c r="AG790" s="30"/>
      <c r="AH790" s="29"/>
      <c r="AI790" s="29"/>
      <c r="AJ790" s="29"/>
      <c r="AK790" s="30"/>
      <c r="AL790" s="29"/>
      <c r="AM790" s="30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0">
        <f t="shared" si="97"/>
        <v>0</v>
      </c>
      <c r="BO790" s="20">
        <f t="shared" si="98"/>
        <v>0</v>
      </c>
      <c r="BP790" s="20">
        <f t="shared" si="99"/>
        <v>12</v>
      </c>
      <c r="BQ790" s="51">
        <f t="shared" ref="BQ790:BQ799" si="103">B790*BP790/1000</f>
        <v>1.44</v>
      </c>
      <c r="BR790" s="56" t="s">
        <v>912</v>
      </c>
      <c r="BS790" s="91" t="s">
        <v>913</v>
      </c>
      <c r="BT790" s="57"/>
      <c r="BU790" s="35" t="s">
        <v>1276</v>
      </c>
    </row>
    <row r="791" s="1" customFormat="1" customHeight="1" spans="1:73">
      <c r="A791" s="37" t="s">
        <v>1275</v>
      </c>
      <c r="B791" s="15">
        <v>120</v>
      </c>
      <c r="C791" s="16">
        <v>100</v>
      </c>
      <c r="D791" s="29"/>
      <c r="E791" s="30"/>
      <c r="F791" s="29"/>
      <c r="G791" s="30"/>
      <c r="H791" s="29"/>
      <c r="I791" s="29"/>
      <c r="J791" s="29"/>
      <c r="K791" s="29"/>
      <c r="L791" s="29"/>
      <c r="M791" s="30"/>
      <c r="N791" s="29"/>
      <c r="O791" s="29"/>
      <c r="P791" s="29"/>
      <c r="Q791" s="29"/>
      <c r="R791" s="29"/>
      <c r="S791" s="29"/>
      <c r="T791" s="29"/>
      <c r="U791" s="29"/>
      <c r="V791" s="29"/>
      <c r="W791" s="82"/>
      <c r="X791" s="29"/>
      <c r="Y791" s="29"/>
      <c r="Z791" s="29"/>
      <c r="AA791" s="29"/>
      <c r="AB791" s="29"/>
      <c r="AC791" s="29"/>
      <c r="AD791" s="29"/>
      <c r="AE791" s="29"/>
      <c r="AF791" s="29"/>
      <c r="AG791" s="30"/>
      <c r="AH791" s="29"/>
      <c r="AI791" s="29"/>
      <c r="AJ791" s="29"/>
      <c r="AK791" s="30"/>
      <c r="AL791" s="29"/>
      <c r="AM791" s="29"/>
      <c r="AN791" s="29"/>
      <c r="AO791" s="29"/>
      <c r="AP791" s="29"/>
      <c r="AQ791" s="29"/>
      <c r="AR791" s="29"/>
      <c r="AS791" s="30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30"/>
      <c r="BF791" s="29"/>
      <c r="BG791" s="29"/>
      <c r="BH791" s="29"/>
      <c r="BI791" s="29"/>
      <c r="BJ791" s="29"/>
      <c r="BK791" s="29"/>
      <c r="BL791" s="29"/>
      <c r="BM791" s="29"/>
      <c r="BN791" s="20">
        <f t="shared" si="97"/>
        <v>0</v>
      </c>
      <c r="BO791" s="20">
        <f t="shared" si="98"/>
        <v>0</v>
      </c>
      <c r="BP791" s="20">
        <f t="shared" si="99"/>
        <v>100</v>
      </c>
      <c r="BQ791" s="51">
        <f t="shared" si="103"/>
        <v>12</v>
      </c>
      <c r="BR791" s="56" t="s">
        <v>1277</v>
      </c>
      <c r="BS791" s="91" t="s">
        <v>1278</v>
      </c>
      <c r="BT791" s="36"/>
      <c r="BU791" s="35" t="s">
        <v>1276</v>
      </c>
    </row>
    <row r="792" s="1" customFormat="1" customHeight="1" spans="1:73">
      <c r="A792" s="37" t="s">
        <v>1275</v>
      </c>
      <c r="B792" s="15">
        <v>150</v>
      </c>
      <c r="C792" s="16">
        <v>400</v>
      </c>
      <c r="D792" s="29"/>
      <c r="E792" s="30"/>
      <c r="F792" s="29"/>
      <c r="G792" s="30"/>
      <c r="H792" s="29"/>
      <c r="I792" s="29"/>
      <c r="J792" s="29"/>
      <c r="K792" s="29"/>
      <c r="L792" s="29"/>
      <c r="M792" s="30"/>
      <c r="N792" s="29"/>
      <c r="O792" s="29"/>
      <c r="P792" s="29"/>
      <c r="Q792" s="29"/>
      <c r="R792" s="29"/>
      <c r="S792" s="29"/>
      <c r="T792" s="29"/>
      <c r="U792" s="29"/>
      <c r="V792" s="29"/>
      <c r="W792" s="82"/>
      <c r="X792" s="29"/>
      <c r="Y792" s="29"/>
      <c r="Z792" s="29"/>
      <c r="AA792" s="29"/>
      <c r="AB792" s="29"/>
      <c r="AC792" s="29"/>
      <c r="AD792" s="29"/>
      <c r="AE792" s="29"/>
      <c r="AF792" s="29"/>
      <c r="AG792" s="30"/>
      <c r="AH792" s="29"/>
      <c r="AI792" s="29"/>
      <c r="AJ792" s="29"/>
      <c r="AK792" s="30"/>
      <c r="AL792" s="29"/>
      <c r="AM792" s="29"/>
      <c r="AN792" s="29"/>
      <c r="AO792" s="29"/>
      <c r="AP792" s="29"/>
      <c r="AQ792" s="29"/>
      <c r="AR792" s="29"/>
      <c r="AS792" s="30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30"/>
      <c r="BF792" s="29"/>
      <c r="BG792" s="29"/>
      <c r="BH792" s="29"/>
      <c r="BI792" s="29"/>
      <c r="BJ792" s="29"/>
      <c r="BK792" s="29"/>
      <c r="BL792" s="29"/>
      <c r="BM792" s="29"/>
      <c r="BN792" s="20">
        <f t="shared" si="97"/>
        <v>0</v>
      </c>
      <c r="BO792" s="20">
        <f t="shared" si="98"/>
        <v>0</v>
      </c>
      <c r="BP792" s="20">
        <f t="shared" si="99"/>
        <v>400</v>
      </c>
      <c r="BQ792" s="51">
        <f t="shared" si="103"/>
        <v>60</v>
      </c>
      <c r="BR792" s="56" t="s">
        <v>847</v>
      </c>
      <c r="BS792" s="91" t="s">
        <v>848</v>
      </c>
      <c r="BT792" s="36"/>
      <c r="BU792" s="35" t="s">
        <v>1276</v>
      </c>
    </row>
    <row r="793" s="1" customFormat="1" customHeight="1" spans="1:73">
      <c r="A793" s="37" t="s">
        <v>1275</v>
      </c>
      <c r="B793" s="15">
        <v>218</v>
      </c>
      <c r="C793" s="16">
        <v>4</v>
      </c>
      <c r="D793" s="29"/>
      <c r="E793" s="30"/>
      <c r="F793" s="29"/>
      <c r="G793" s="30"/>
      <c r="H793" s="29"/>
      <c r="I793" s="29"/>
      <c r="J793" s="29"/>
      <c r="K793" s="29"/>
      <c r="L793" s="29"/>
      <c r="M793" s="30"/>
      <c r="N793" s="29"/>
      <c r="O793" s="29"/>
      <c r="P793" s="29"/>
      <c r="Q793" s="29"/>
      <c r="R793" s="29"/>
      <c r="S793" s="29"/>
      <c r="T793" s="29"/>
      <c r="U793" s="29"/>
      <c r="V793" s="29"/>
      <c r="W793" s="82"/>
      <c r="X793" s="29"/>
      <c r="Y793" s="29"/>
      <c r="Z793" s="29"/>
      <c r="AA793" s="29"/>
      <c r="AB793" s="29"/>
      <c r="AC793" s="29"/>
      <c r="AD793" s="29"/>
      <c r="AE793" s="29"/>
      <c r="AF793" s="29"/>
      <c r="AG793" s="30"/>
      <c r="AH793" s="29"/>
      <c r="AI793" s="29"/>
      <c r="AJ793" s="29"/>
      <c r="AK793" s="30"/>
      <c r="AL793" s="29"/>
      <c r="AM793" s="29"/>
      <c r="AN793" s="29"/>
      <c r="AO793" s="29"/>
      <c r="AP793" s="29"/>
      <c r="AQ793" s="29"/>
      <c r="AR793" s="29"/>
      <c r="AS793" s="30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0">
        <f t="shared" si="97"/>
        <v>0</v>
      </c>
      <c r="BO793" s="20">
        <f t="shared" si="98"/>
        <v>0</v>
      </c>
      <c r="BP793" s="20">
        <f t="shared" si="99"/>
        <v>4</v>
      </c>
      <c r="BQ793" s="51">
        <f t="shared" si="103"/>
        <v>0.872</v>
      </c>
      <c r="BR793" s="56" t="s">
        <v>1279</v>
      </c>
      <c r="BS793" s="91" t="s">
        <v>1280</v>
      </c>
      <c r="BT793" s="36"/>
      <c r="BU793" s="35" t="s">
        <v>1276</v>
      </c>
    </row>
    <row r="794" s="1" customFormat="1" customHeight="1" spans="1:73">
      <c r="A794" s="37" t="s">
        <v>1275</v>
      </c>
      <c r="B794" s="15">
        <v>260</v>
      </c>
      <c r="C794" s="16">
        <v>94</v>
      </c>
      <c r="D794" s="29"/>
      <c r="E794" s="30"/>
      <c r="F794" s="29"/>
      <c r="G794" s="30"/>
      <c r="H794" s="29"/>
      <c r="I794" s="29"/>
      <c r="J794" s="29"/>
      <c r="K794" s="29"/>
      <c r="L794" s="29"/>
      <c r="M794" s="30"/>
      <c r="N794" s="29"/>
      <c r="O794" s="29"/>
      <c r="P794" s="29"/>
      <c r="Q794" s="29"/>
      <c r="R794" s="29"/>
      <c r="S794" s="29"/>
      <c r="T794" s="29"/>
      <c r="U794" s="29"/>
      <c r="V794" s="29"/>
      <c r="W794" s="82"/>
      <c r="X794" s="29"/>
      <c r="Y794" s="29"/>
      <c r="Z794" s="29"/>
      <c r="AA794" s="29"/>
      <c r="AB794" s="29"/>
      <c r="AC794" s="29"/>
      <c r="AD794" s="29"/>
      <c r="AE794" s="29"/>
      <c r="AF794" s="29"/>
      <c r="AG794" s="30"/>
      <c r="AH794" s="29"/>
      <c r="AI794" s="29"/>
      <c r="AJ794" s="29"/>
      <c r="AK794" s="30"/>
      <c r="AL794" s="29"/>
      <c r="AM794" s="29"/>
      <c r="AN794" s="29"/>
      <c r="AO794" s="29"/>
      <c r="AP794" s="29"/>
      <c r="AQ794" s="29"/>
      <c r="AR794" s="29"/>
      <c r="AS794" s="30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30"/>
      <c r="BF794" s="29"/>
      <c r="BG794" s="29"/>
      <c r="BH794" s="29"/>
      <c r="BI794" s="29"/>
      <c r="BJ794" s="29"/>
      <c r="BK794" s="29"/>
      <c r="BL794" s="29"/>
      <c r="BM794" s="29"/>
      <c r="BN794" s="20">
        <f t="shared" si="97"/>
        <v>0</v>
      </c>
      <c r="BO794" s="20">
        <f t="shared" si="98"/>
        <v>0</v>
      </c>
      <c r="BP794" s="20">
        <f t="shared" si="99"/>
        <v>94</v>
      </c>
      <c r="BQ794" s="51">
        <f t="shared" si="103"/>
        <v>24.44</v>
      </c>
      <c r="BR794" s="56" t="s">
        <v>836</v>
      </c>
      <c r="BS794" s="91" t="s">
        <v>1170</v>
      </c>
      <c r="BT794" s="36"/>
      <c r="BU794" s="35" t="s">
        <v>1276</v>
      </c>
    </row>
    <row r="795" s="1" customFormat="1" customHeight="1" spans="1:73">
      <c r="A795" s="37" t="s">
        <v>1275</v>
      </c>
      <c r="B795" s="15">
        <v>270</v>
      </c>
      <c r="C795" s="16">
        <v>480</v>
      </c>
      <c r="D795" s="29"/>
      <c r="E795" s="30"/>
      <c r="F795" s="29"/>
      <c r="G795" s="30"/>
      <c r="H795" s="29"/>
      <c r="I795" s="29"/>
      <c r="J795" s="29"/>
      <c r="K795" s="29"/>
      <c r="L795" s="29"/>
      <c r="M795" s="30"/>
      <c r="N795" s="29"/>
      <c r="O795" s="29"/>
      <c r="P795" s="29"/>
      <c r="Q795" s="29"/>
      <c r="R795" s="29"/>
      <c r="S795" s="29"/>
      <c r="T795" s="29"/>
      <c r="U795" s="29"/>
      <c r="V795" s="29"/>
      <c r="W795" s="82"/>
      <c r="X795" s="29"/>
      <c r="Y795" s="29"/>
      <c r="Z795" s="29"/>
      <c r="AA795" s="29"/>
      <c r="AB795" s="29"/>
      <c r="AC795" s="29"/>
      <c r="AD795" s="29"/>
      <c r="AE795" s="29"/>
      <c r="AF795" s="29"/>
      <c r="AG795" s="30"/>
      <c r="AH795" s="29"/>
      <c r="AI795" s="30"/>
      <c r="AJ795" s="29"/>
      <c r="AK795" s="30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0">
        <f t="shared" si="97"/>
        <v>0</v>
      </c>
      <c r="BO795" s="20">
        <f t="shared" si="98"/>
        <v>0</v>
      </c>
      <c r="BP795" s="20">
        <f t="shared" si="99"/>
        <v>480</v>
      </c>
      <c r="BQ795" s="51">
        <f t="shared" si="103"/>
        <v>129.6</v>
      </c>
      <c r="BR795" s="56" t="s">
        <v>836</v>
      </c>
      <c r="BS795" s="91" t="s">
        <v>795</v>
      </c>
      <c r="BT795" s="36" t="s">
        <v>1281</v>
      </c>
      <c r="BU795" s="35" t="s">
        <v>1276</v>
      </c>
    </row>
    <row r="796" s="1" customFormat="1" customHeight="1" spans="1:73">
      <c r="A796" s="37" t="s">
        <v>1275</v>
      </c>
      <c r="B796" s="15">
        <v>330</v>
      </c>
      <c r="C796" s="16">
        <v>100</v>
      </c>
      <c r="D796" s="29"/>
      <c r="E796" s="30"/>
      <c r="F796" s="29"/>
      <c r="G796" s="30"/>
      <c r="H796" s="29"/>
      <c r="I796" s="29"/>
      <c r="J796" s="29"/>
      <c r="K796" s="29"/>
      <c r="L796" s="29"/>
      <c r="M796" s="30"/>
      <c r="N796" s="29"/>
      <c r="O796" s="29"/>
      <c r="P796" s="29"/>
      <c r="Q796" s="29"/>
      <c r="R796" s="29"/>
      <c r="S796" s="29"/>
      <c r="T796" s="29"/>
      <c r="U796" s="29"/>
      <c r="V796" s="29"/>
      <c r="W796" s="82"/>
      <c r="X796" s="29"/>
      <c r="Y796" s="29"/>
      <c r="Z796" s="29"/>
      <c r="AA796" s="29"/>
      <c r="AB796" s="29"/>
      <c r="AC796" s="29"/>
      <c r="AD796" s="29"/>
      <c r="AE796" s="29"/>
      <c r="AF796" s="29"/>
      <c r="AG796" s="30"/>
      <c r="AH796" s="29"/>
      <c r="AI796" s="29"/>
      <c r="AJ796" s="29"/>
      <c r="AK796" s="30"/>
      <c r="AL796" s="29"/>
      <c r="AM796" s="29"/>
      <c r="AN796" s="29"/>
      <c r="AO796" s="29"/>
      <c r="AP796" s="29"/>
      <c r="AQ796" s="29"/>
      <c r="AR796" s="29"/>
      <c r="AS796" s="30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30"/>
      <c r="BF796" s="29"/>
      <c r="BG796" s="29"/>
      <c r="BH796" s="29"/>
      <c r="BI796" s="29"/>
      <c r="BJ796" s="29"/>
      <c r="BK796" s="29"/>
      <c r="BL796" s="29"/>
      <c r="BM796" s="29"/>
      <c r="BN796" s="20">
        <f t="shared" si="97"/>
        <v>0</v>
      </c>
      <c r="BO796" s="20">
        <f t="shared" si="98"/>
        <v>0</v>
      </c>
      <c r="BP796" s="20">
        <f t="shared" si="99"/>
        <v>100</v>
      </c>
      <c r="BQ796" s="51">
        <f t="shared" si="103"/>
        <v>33</v>
      </c>
      <c r="BR796" s="56" t="s">
        <v>1277</v>
      </c>
      <c r="BS796" s="91" t="s">
        <v>1278</v>
      </c>
      <c r="BT796" s="36" t="s">
        <v>1282</v>
      </c>
      <c r="BU796" s="35" t="s">
        <v>1276</v>
      </c>
    </row>
    <row r="797" s="1" customFormat="1" customHeight="1" spans="1:73">
      <c r="A797" s="37" t="s">
        <v>1283</v>
      </c>
      <c r="B797" s="39">
        <v>142</v>
      </c>
      <c r="C797" s="29">
        <v>400</v>
      </c>
      <c r="D797" s="29"/>
      <c r="E797" s="30"/>
      <c r="F797" s="29"/>
      <c r="G797" s="30"/>
      <c r="H797" s="29"/>
      <c r="I797" s="29"/>
      <c r="J797" s="29"/>
      <c r="K797" s="29"/>
      <c r="L797" s="29"/>
      <c r="M797" s="30"/>
      <c r="N797" s="29"/>
      <c r="O797" s="29"/>
      <c r="P797" s="29"/>
      <c r="Q797" s="29"/>
      <c r="R797" s="29"/>
      <c r="S797" s="29"/>
      <c r="T797" s="29"/>
      <c r="U797" s="29"/>
      <c r="V797" s="29"/>
      <c r="W797" s="82"/>
      <c r="X797" s="29"/>
      <c r="Y797" s="29"/>
      <c r="Z797" s="29"/>
      <c r="AA797" s="29"/>
      <c r="AB797" s="29"/>
      <c r="AC797" s="29"/>
      <c r="AD797" s="29"/>
      <c r="AE797" s="29"/>
      <c r="AF797" s="29"/>
      <c r="AG797" s="30"/>
      <c r="AH797" s="29"/>
      <c r="AI797" s="29"/>
      <c r="AJ797" s="29"/>
      <c r="AK797" s="30"/>
      <c r="AL797" s="29"/>
      <c r="AM797" s="29"/>
      <c r="AN797" s="29"/>
      <c r="AO797" s="29"/>
      <c r="AP797" s="29"/>
      <c r="AQ797" s="29"/>
      <c r="AR797" s="29"/>
      <c r="AS797" s="30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30"/>
      <c r="BF797" s="29"/>
      <c r="BG797" s="29"/>
      <c r="BH797" s="29"/>
      <c r="BI797" s="29"/>
      <c r="BJ797" s="29"/>
      <c r="BK797" s="29"/>
      <c r="BL797" s="29"/>
      <c r="BM797" s="29"/>
      <c r="BN797" s="20">
        <f t="shared" si="97"/>
        <v>0</v>
      </c>
      <c r="BO797" s="20">
        <f t="shared" si="98"/>
        <v>0</v>
      </c>
      <c r="BP797" s="20">
        <f t="shared" si="99"/>
        <v>400</v>
      </c>
      <c r="BQ797" s="51">
        <f t="shared" si="103"/>
        <v>56.8</v>
      </c>
      <c r="BR797" s="56" t="s">
        <v>847</v>
      </c>
      <c r="BS797" s="91" t="s">
        <v>848</v>
      </c>
      <c r="BT797" s="36"/>
      <c r="BU797" s="35" t="s">
        <v>1276</v>
      </c>
    </row>
    <row r="798" s="1" customFormat="1" customHeight="1" spans="1:73">
      <c r="A798" s="37" t="s">
        <v>1283</v>
      </c>
      <c r="B798" s="15">
        <v>255</v>
      </c>
      <c r="C798" s="16">
        <v>100</v>
      </c>
      <c r="D798" s="29"/>
      <c r="E798" s="30"/>
      <c r="F798" s="29"/>
      <c r="G798" s="30"/>
      <c r="H798" s="29"/>
      <c r="I798" s="29"/>
      <c r="J798" s="29"/>
      <c r="K798" s="29"/>
      <c r="L798" s="29"/>
      <c r="M798" s="30"/>
      <c r="N798" s="29"/>
      <c r="O798" s="29"/>
      <c r="P798" s="29"/>
      <c r="Q798" s="29"/>
      <c r="R798" s="29"/>
      <c r="S798" s="29"/>
      <c r="T798" s="29"/>
      <c r="U798" s="29"/>
      <c r="V798" s="29"/>
      <c r="W798" s="82"/>
      <c r="X798" s="29"/>
      <c r="Y798" s="29"/>
      <c r="Z798" s="29"/>
      <c r="AA798" s="29"/>
      <c r="AB798" s="29"/>
      <c r="AC798" s="29"/>
      <c r="AD798" s="29"/>
      <c r="AE798" s="29"/>
      <c r="AF798" s="29"/>
      <c r="AG798" s="30"/>
      <c r="AH798" s="29"/>
      <c r="AI798" s="29"/>
      <c r="AJ798" s="29"/>
      <c r="AK798" s="30"/>
      <c r="AL798" s="29"/>
      <c r="AM798" s="29"/>
      <c r="AN798" s="29"/>
      <c r="AO798" s="29"/>
      <c r="AP798" s="29"/>
      <c r="AQ798" s="29"/>
      <c r="AR798" s="29"/>
      <c r="AS798" s="30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0">
        <f t="shared" si="97"/>
        <v>0</v>
      </c>
      <c r="BO798" s="20">
        <f t="shared" si="98"/>
        <v>0</v>
      </c>
      <c r="BP798" s="20">
        <f t="shared" si="99"/>
        <v>100</v>
      </c>
      <c r="BQ798" s="51">
        <f t="shared" si="103"/>
        <v>25.5</v>
      </c>
      <c r="BR798" s="56" t="s">
        <v>847</v>
      </c>
      <c r="BS798" s="91" t="s">
        <v>848</v>
      </c>
      <c r="BT798" s="36"/>
      <c r="BU798" s="35" t="s">
        <v>1276</v>
      </c>
    </row>
    <row r="799" s="1" customFormat="1" customHeight="1" spans="1:73">
      <c r="A799" s="37" t="s">
        <v>1283</v>
      </c>
      <c r="B799" s="39">
        <v>315</v>
      </c>
      <c r="C799" s="29">
        <v>500</v>
      </c>
      <c r="D799" s="29"/>
      <c r="E799" s="30"/>
      <c r="F799" s="29"/>
      <c r="G799" s="30"/>
      <c r="H799" s="29"/>
      <c r="I799" s="29"/>
      <c r="J799" s="29"/>
      <c r="K799" s="29"/>
      <c r="L799" s="29"/>
      <c r="M799" s="30">
        <v>300</v>
      </c>
      <c r="N799" s="29"/>
      <c r="O799" s="29"/>
      <c r="P799" s="29"/>
      <c r="Q799" s="29"/>
      <c r="R799" s="29"/>
      <c r="S799" s="29"/>
      <c r="T799" s="29"/>
      <c r="U799" s="29"/>
      <c r="V799" s="29"/>
      <c r="W799" s="82"/>
      <c r="X799" s="29"/>
      <c r="Y799" s="29"/>
      <c r="Z799" s="29"/>
      <c r="AA799" s="29"/>
      <c r="AB799" s="29"/>
      <c r="AC799" s="29"/>
      <c r="AD799" s="29"/>
      <c r="AE799" s="29"/>
      <c r="AF799" s="29"/>
      <c r="AG799" s="30"/>
      <c r="AH799" s="29"/>
      <c r="AI799" s="29"/>
      <c r="AJ799" s="29"/>
      <c r="AK799" s="30"/>
      <c r="AL799" s="29"/>
      <c r="AM799" s="29"/>
      <c r="AN799" s="29"/>
      <c r="AO799" s="29"/>
      <c r="AP799" s="29"/>
      <c r="AQ799" s="29"/>
      <c r="AR799" s="29"/>
      <c r="AS799" s="30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30"/>
      <c r="BF799" s="29"/>
      <c r="BG799" s="29"/>
      <c r="BH799" s="29"/>
      <c r="BI799" s="29"/>
      <c r="BJ799" s="29"/>
      <c r="BK799" s="29"/>
      <c r="BL799" s="29"/>
      <c r="BM799" s="29"/>
      <c r="BN799" s="20">
        <f t="shared" si="97"/>
        <v>0</v>
      </c>
      <c r="BO799" s="20">
        <f t="shared" si="98"/>
        <v>300</v>
      </c>
      <c r="BP799" s="20">
        <f t="shared" si="99"/>
        <v>200</v>
      </c>
      <c r="BQ799" s="51">
        <f t="shared" si="103"/>
        <v>63</v>
      </c>
      <c r="BR799" s="68" t="s">
        <v>847</v>
      </c>
      <c r="BS799" s="91" t="s">
        <v>848</v>
      </c>
      <c r="BT799" s="36"/>
      <c r="BU799" s="35" t="s">
        <v>1276</v>
      </c>
    </row>
    <row r="800" s="1" customFormat="1" customHeight="1" spans="1:73">
      <c r="A800" s="53" t="s">
        <v>1131</v>
      </c>
      <c r="B800" s="15"/>
      <c r="C800" s="16"/>
      <c r="D800" s="29"/>
      <c r="E800" s="30"/>
      <c r="F800" s="29"/>
      <c r="G800" s="30"/>
      <c r="H800" s="29"/>
      <c r="I800" s="29"/>
      <c r="J800" s="29"/>
      <c r="K800" s="29"/>
      <c r="L800" s="29"/>
      <c r="M800" s="30"/>
      <c r="N800" s="29"/>
      <c r="O800" s="29"/>
      <c r="P800" s="29"/>
      <c r="Q800" s="29"/>
      <c r="R800" s="29"/>
      <c r="S800" s="29"/>
      <c r="T800" s="29"/>
      <c r="U800" s="29"/>
      <c r="V800" s="29"/>
      <c r="W800" s="82"/>
      <c r="X800" s="29"/>
      <c r="Y800" s="29"/>
      <c r="Z800" s="29"/>
      <c r="AA800" s="29"/>
      <c r="AB800" s="29"/>
      <c r="AC800" s="29"/>
      <c r="AD800" s="29"/>
      <c r="AE800" s="29"/>
      <c r="AF800" s="29"/>
      <c r="AG800" s="30"/>
      <c r="AH800" s="29"/>
      <c r="AI800" s="29"/>
      <c r="AJ800" s="29"/>
      <c r="AK800" s="30"/>
      <c r="AL800" s="29"/>
      <c r="AM800" s="29"/>
      <c r="AN800" s="29"/>
      <c r="AO800" s="29"/>
      <c r="AP800" s="29"/>
      <c r="AQ800" s="29"/>
      <c r="AR800" s="29"/>
      <c r="AS800" s="30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30"/>
      <c r="BF800" s="29"/>
      <c r="BG800" s="29"/>
      <c r="BH800" s="29"/>
      <c r="BI800" s="29"/>
      <c r="BJ800" s="29"/>
      <c r="BK800" s="29"/>
      <c r="BL800" s="29"/>
      <c r="BM800" s="29"/>
      <c r="BN800" s="20">
        <f t="shared" si="97"/>
        <v>0</v>
      </c>
      <c r="BO800" s="20">
        <f t="shared" si="98"/>
        <v>0</v>
      </c>
      <c r="BP800" s="20">
        <f t="shared" si="99"/>
        <v>0</v>
      </c>
      <c r="BQ800" s="51"/>
      <c r="BR800" s="56"/>
      <c r="BS800" s="91"/>
      <c r="BT800" s="36"/>
      <c r="BU800" s="35"/>
    </row>
    <row r="801" s="1" customFormat="1" customHeight="1" spans="1:73">
      <c r="A801" s="37" t="s">
        <v>1284</v>
      </c>
      <c r="B801" s="15">
        <v>56</v>
      </c>
      <c r="C801" s="16">
        <v>38</v>
      </c>
      <c r="D801" s="29"/>
      <c r="E801" s="30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30"/>
      <c r="AH801" s="29"/>
      <c r="AI801" s="29"/>
      <c r="AJ801" s="29"/>
      <c r="AK801" s="30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0">
        <f t="shared" si="97"/>
        <v>0</v>
      </c>
      <c r="BO801" s="20">
        <f t="shared" si="98"/>
        <v>0</v>
      </c>
      <c r="BP801" s="20">
        <f t="shared" si="99"/>
        <v>38</v>
      </c>
      <c r="BQ801" s="51">
        <f t="shared" ref="BQ801:BQ804" si="104">B801*BP801/1000</f>
        <v>2.128</v>
      </c>
      <c r="BR801" s="56" t="s">
        <v>1285</v>
      </c>
      <c r="BS801" s="91" t="s">
        <v>1280</v>
      </c>
      <c r="BT801" s="34" t="s">
        <v>1286</v>
      </c>
      <c r="BU801" s="35" t="s">
        <v>1287</v>
      </c>
    </row>
    <row r="802" s="1" customFormat="1" customHeight="1" spans="1:73">
      <c r="A802" s="37" t="s">
        <v>1288</v>
      </c>
      <c r="B802" s="99">
        <v>95</v>
      </c>
      <c r="C802" s="100">
        <v>4</v>
      </c>
      <c r="D802" s="88"/>
      <c r="E802" s="101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101"/>
      <c r="AH802" s="88"/>
      <c r="AI802" s="88"/>
      <c r="AJ802" s="88"/>
      <c r="AK802" s="101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  <c r="BJ802" s="88"/>
      <c r="BK802" s="88"/>
      <c r="BL802" s="88"/>
      <c r="BM802" s="88"/>
      <c r="BN802" s="20">
        <f t="shared" si="97"/>
        <v>0</v>
      </c>
      <c r="BO802" s="20">
        <f t="shared" si="98"/>
        <v>0</v>
      </c>
      <c r="BP802" s="20">
        <f t="shared" si="99"/>
        <v>4</v>
      </c>
      <c r="BQ802" s="51">
        <f t="shared" si="104"/>
        <v>0.38</v>
      </c>
      <c r="BR802" s="143" t="s">
        <v>984</v>
      </c>
      <c r="BS802" s="91" t="s">
        <v>985</v>
      </c>
      <c r="BT802" s="144"/>
      <c r="BU802" s="35" t="s">
        <v>1287</v>
      </c>
    </row>
    <row r="803" s="1" customFormat="1" customHeight="1" spans="1:73">
      <c r="A803" s="37" t="s">
        <v>1289</v>
      </c>
      <c r="B803" s="99">
        <v>174</v>
      </c>
      <c r="C803" s="100">
        <v>20</v>
      </c>
      <c r="D803" s="88"/>
      <c r="E803" s="101"/>
      <c r="F803" s="88"/>
      <c r="G803" s="88"/>
      <c r="H803" s="88"/>
      <c r="I803" s="88"/>
      <c r="J803" s="88"/>
      <c r="K803" s="88"/>
      <c r="L803" s="88"/>
      <c r="M803" s="88"/>
      <c r="N803" s="88"/>
      <c r="O803" s="101"/>
      <c r="P803" s="88"/>
      <c r="Q803" s="101"/>
      <c r="R803" s="88"/>
      <c r="S803" s="88"/>
      <c r="T803" s="88"/>
      <c r="U803" s="101"/>
      <c r="V803" s="88"/>
      <c r="W803" s="88"/>
      <c r="X803" s="88"/>
      <c r="Y803" s="88"/>
      <c r="Z803" s="88"/>
      <c r="AA803" s="101"/>
      <c r="AB803" s="88"/>
      <c r="AC803" s="88"/>
      <c r="AD803" s="88"/>
      <c r="AE803" s="88"/>
      <c r="AF803" s="88"/>
      <c r="AG803" s="101"/>
      <c r="AH803" s="88"/>
      <c r="AI803" s="101"/>
      <c r="AJ803" s="88"/>
      <c r="AK803" s="101"/>
      <c r="AL803" s="88"/>
      <c r="AM803" s="88"/>
      <c r="AN803" s="88"/>
      <c r="AO803" s="88"/>
      <c r="AP803" s="88"/>
      <c r="AQ803" s="88"/>
      <c r="AR803" s="88"/>
      <c r="AS803" s="88"/>
      <c r="AT803" s="88"/>
      <c r="AU803" s="101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  <c r="BJ803" s="88"/>
      <c r="BK803" s="88"/>
      <c r="BL803" s="88"/>
      <c r="BM803" s="88"/>
      <c r="BN803" s="20">
        <f t="shared" si="97"/>
        <v>0</v>
      </c>
      <c r="BO803" s="20">
        <f t="shared" si="98"/>
        <v>0</v>
      </c>
      <c r="BP803" s="20">
        <f t="shared" si="99"/>
        <v>20</v>
      </c>
      <c r="BQ803" s="51">
        <f t="shared" si="104"/>
        <v>3.48</v>
      </c>
      <c r="BR803" s="143" t="s">
        <v>1290</v>
      </c>
      <c r="BS803" s="91" t="s">
        <v>1291</v>
      </c>
      <c r="BT803" s="102"/>
      <c r="BU803" s="35" t="s">
        <v>1292</v>
      </c>
    </row>
    <row r="804" s="1" customFormat="1" customHeight="1" spans="1:73">
      <c r="A804" s="37" t="s">
        <v>1289</v>
      </c>
      <c r="B804" s="99">
        <v>205</v>
      </c>
      <c r="C804" s="100">
        <v>15</v>
      </c>
      <c r="D804" s="88"/>
      <c r="E804" s="101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29"/>
      <c r="Q804" s="88"/>
      <c r="R804" s="88"/>
      <c r="S804" s="88"/>
      <c r="T804" s="29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101"/>
      <c r="AH804" s="88"/>
      <c r="AI804" s="88"/>
      <c r="AJ804" s="88"/>
      <c r="AK804" s="101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  <c r="BJ804" s="88"/>
      <c r="BK804" s="88"/>
      <c r="BL804" s="88"/>
      <c r="BM804" s="88"/>
      <c r="BN804" s="20">
        <f t="shared" si="97"/>
        <v>0</v>
      </c>
      <c r="BO804" s="20">
        <f t="shared" si="98"/>
        <v>0</v>
      </c>
      <c r="BP804" s="20">
        <f t="shared" si="99"/>
        <v>15</v>
      </c>
      <c r="BQ804" s="51">
        <f t="shared" si="104"/>
        <v>3.075</v>
      </c>
      <c r="BR804" s="143" t="s">
        <v>1023</v>
      </c>
      <c r="BS804" s="91" t="s">
        <v>1024</v>
      </c>
      <c r="BT804" s="102"/>
      <c r="BU804" s="35" t="s">
        <v>1292</v>
      </c>
    </row>
    <row r="805" s="1" customFormat="1" customHeight="1" spans="1:73">
      <c r="A805" s="53" t="s">
        <v>1131</v>
      </c>
      <c r="B805" s="104"/>
      <c r="C805" s="104"/>
      <c r="D805" s="105"/>
      <c r="E805" s="105"/>
      <c r="F805" s="105"/>
      <c r="G805" s="106"/>
      <c r="H805" s="105"/>
      <c r="I805" s="105"/>
      <c r="J805" s="105"/>
      <c r="K805" s="105"/>
      <c r="L805" s="105"/>
      <c r="M805" s="105"/>
      <c r="N805" s="105"/>
      <c r="O805" s="105"/>
      <c r="P805" s="106"/>
      <c r="Q805" s="105"/>
      <c r="R805" s="106"/>
      <c r="S805" s="105"/>
      <c r="T805" s="105"/>
      <c r="U805" s="105"/>
      <c r="V805" s="106"/>
      <c r="W805" s="106"/>
      <c r="X805" s="105"/>
      <c r="Y805" s="106"/>
      <c r="Z805" s="105"/>
      <c r="AA805" s="105"/>
      <c r="AB805" s="105"/>
      <c r="AC805" s="106"/>
      <c r="AD805" s="105"/>
      <c r="AE805" s="105"/>
      <c r="AF805" s="105"/>
      <c r="AG805" s="106"/>
      <c r="AH805" s="105"/>
      <c r="AI805" s="105"/>
      <c r="AJ805" s="105"/>
      <c r="AK805" s="105"/>
      <c r="AL805" s="105"/>
      <c r="AM805" s="106"/>
      <c r="AN805" s="105"/>
      <c r="AO805" s="106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6"/>
      <c r="AZ805" s="105"/>
      <c r="BA805" s="105"/>
      <c r="BB805" s="105"/>
      <c r="BC805" s="105"/>
      <c r="BD805" s="105"/>
      <c r="BE805" s="106"/>
      <c r="BF805" s="105"/>
      <c r="BG805" s="105"/>
      <c r="BH805" s="105"/>
      <c r="BI805" s="106"/>
      <c r="BJ805" s="105"/>
      <c r="BK805" s="105"/>
      <c r="BL805" s="105"/>
      <c r="BM805" s="105"/>
      <c r="BN805" s="20">
        <f t="shared" si="97"/>
        <v>0</v>
      </c>
      <c r="BO805" s="20">
        <f t="shared" si="98"/>
        <v>0</v>
      </c>
      <c r="BP805" s="20">
        <f t="shared" si="99"/>
        <v>0</v>
      </c>
      <c r="BQ805" s="51"/>
      <c r="BR805" s="107"/>
      <c r="BS805" s="108"/>
      <c r="BT805" s="102"/>
      <c r="BU805" s="109"/>
    </row>
    <row r="806" s="1" customFormat="1" customHeight="1" spans="1:73">
      <c r="A806" s="92" t="s">
        <v>1293</v>
      </c>
      <c r="B806" s="15">
        <v>185</v>
      </c>
      <c r="C806" s="16">
        <v>81</v>
      </c>
      <c r="D806" s="29"/>
      <c r="E806" s="30"/>
      <c r="F806" s="29"/>
      <c r="G806" s="29"/>
      <c r="H806" s="29"/>
      <c r="I806" s="29"/>
      <c r="J806" s="29"/>
      <c r="K806" s="29"/>
      <c r="L806" s="29"/>
      <c r="M806" s="29"/>
      <c r="N806" s="29"/>
      <c r="O806" s="30"/>
      <c r="P806" s="29"/>
      <c r="Q806" s="30"/>
      <c r="R806" s="29"/>
      <c r="S806" s="29"/>
      <c r="T806" s="29"/>
      <c r="U806" s="30"/>
      <c r="V806" s="29"/>
      <c r="W806" s="29"/>
      <c r="X806" s="29"/>
      <c r="Y806" s="29"/>
      <c r="Z806" s="29"/>
      <c r="AA806" s="30"/>
      <c r="AB806" s="29"/>
      <c r="AC806" s="29"/>
      <c r="AD806" s="29"/>
      <c r="AE806" s="29"/>
      <c r="AF806" s="29"/>
      <c r="AG806" s="30"/>
      <c r="AH806" s="29"/>
      <c r="AI806" s="30"/>
      <c r="AJ806" s="29"/>
      <c r="AK806" s="30"/>
      <c r="AL806" s="29"/>
      <c r="AM806" s="29"/>
      <c r="AN806" s="29"/>
      <c r="AO806" s="29"/>
      <c r="AP806" s="29"/>
      <c r="AQ806" s="29"/>
      <c r="AR806" s="29"/>
      <c r="AS806" s="29"/>
      <c r="AT806" s="29"/>
      <c r="AU806" s="30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0">
        <f t="shared" si="97"/>
        <v>0</v>
      </c>
      <c r="BO806" s="20">
        <f t="shared" si="98"/>
        <v>0</v>
      </c>
      <c r="BP806" s="20">
        <f t="shared" si="99"/>
        <v>81</v>
      </c>
      <c r="BQ806" s="51">
        <f t="shared" ref="BQ806:BQ812" si="105">B806*BP806/1000</f>
        <v>14.985</v>
      </c>
      <c r="BR806" s="56" t="s">
        <v>1294</v>
      </c>
      <c r="BS806" s="91" t="s">
        <v>1146</v>
      </c>
      <c r="BT806" s="36" t="s">
        <v>1295</v>
      </c>
      <c r="BU806" s="35" t="s">
        <v>1296</v>
      </c>
    </row>
    <row r="807" s="1" customFormat="1" customHeight="1" spans="1:73">
      <c r="A807" s="53" t="s">
        <v>1297</v>
      </c>
      <c r="B807" s="15"/>
      <c r="C807" s="16"/>
      <c r="D807" s="29"/>
      <c r="E807" s="30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30"/>
      <c r="AH807" s="29"/>
      <c r="AI807" s="29"/>
      <c r="AJ807" s="29"/>
      <c r="AK807" s="30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0">
        <f t="shared" si="97"/>
        <v>0</v>
      </c>
      <c r="BO807" s="20">
        <f t="shared" si="98"/>
        <v>0</v>
      </c>
      <c r="BP807" s="20">
        <f t="shared" si="99"/>
        <v>0</v>
      </c>
      <c r="BQ807" s="51"/>
      <c r="BR807" s="56"/>
      <c r="BS807" s="91"/>
      <c r="BT807" s="36"/>
      <c r="BU807" s="35"/>
    </row>
    <row r="808" s="1" customFormat="1" customHeight="1" spans="1:73">
      <c r="A808" s="37" t="s">
        <v>1298</v>
      </c>
      <c r="B808" s="15">
        <v>74</v>
      </c>
      <c r="C808" s="16">
        <v>110</v>
      </c>
      <c r="D808" s="29"/>
      <c r="E808" s="30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30"/>
      <c r="AH808" s="29"/>
      <c r="AI808" s="29"/>
      <c r="AJ808" s="29"/>
      <c r="AK808" s="30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0">
        <f t="shared" si="97"/>
        <v>0</v>
      </c>
      <c r="BO808" s="20">
        <f t="shared" si="98"/>
        <v>0</v>
      </c>
      <c r="BP808" s="20">
        <f t="shared" si="99"/>
        <v>110</v>
      </c>
      <c r="BQ808" s="51">
        <f t="shared" si="105"/>
        <v>8.14</v>
      </c>
      <c r="BR808" s="56" t="s">
        <v>429</v>
      </c>
      <c r="BS808" s="91" t="s">
        <v>886</v>
      </c>
      <c r="BT808" s="36"/>
      <c r="BU808" s="35" t="s">
        <v>1299</v>
      </c>
    </row>
    <row r="809" s="1" customFormat="1" customHeight="1" spans="1:73">
      <c r="A809" s="37" t="s">
        <v>1300</v>
      </c>
      <c r="B809" s="15">
        <v>180</v>
      </c>
      <c r="C809" s="16">
        <v>25</v>
      </c>
      <c r="D809" s="29"/>
      <c r="E809" s="30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30"/>
      <c r="AH809" s="29"/>
      <c r="AI809" s="29"/>
      <c r="AJ809" s="29"/>
      <c r="AK809" s="30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0">
        <f t="shared" ref="BN809:BN872" si="106">D809+F809+H809+J809+L809+N809+P809+R809+T809+V809+X809+Z809+AB809+AD809+AF809+AH809+AJ809+AL809+AN809+AP809+AR809+AT809+AV809+AX809+AZ809+BB809+BD809+BF809+BH809+BJ809+BL809</f>
        <v>0</v>
      </c>
      <c r="BO809" s="20">
        <f t="shared" ref="BO809:BO872" si="107">E809+G809+I809+K809+M809+O809+Q809+S809+U809+W809+Y809+AA809+AC809+AE809+AG809+AI809+AK809+AM809+AO809+AQ809+AS809+AU809+AW809+AY809+BA809+BC809+BE809+BG809+BI809+BK809+BM809</f>
        <v>0</v>
      </c>
      <c r="BP809" s="20">
        <f t="shared" ref="BP809:BP872" si="108">C809+BN809-BO809</f>
        <v>25</v>
      </c>
      <c r="BQ809" s="51">
        <f t="shared" si="105"/>
        <v>4.5</v>
      </c>
      <c r="BR809" s="56" t="s">
        <v>1189</v>
      </c>
      <c r="BS809" s="91" t="s">
        <v>1190</v>
      </c>
      <c r="BT809" s="36"/>
      <c r="BU809" s="35" t="s">
        <v>1299</v>
      </c>
    </row>
    <row r="810" s="1" customFormat="1" customHeight="1" spans="1:73">
      <c r="A810" s="37" t="s">
        <v>1300</v>
      </c>
      <c r="B810" s="15">
        <v>210</v>
      </c>
      <c r="C810" s="16">
        <v>4</v>
      </c>
      <c r="D810" s="29"/>
      <c r="E810" s="30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30"/>
      <c r="X810" s="29"/>
      <c r="Y810" s="29"/>
      <c r="Z810" s="29"/>
      <c r="AA810" s="29"/>
      <c r="AB810" s="29"/>
      <c r="AC810" s="30"/>
      <c r="AD810" s="29"/>
      <c r="AE810" s="30"/>
      <c r="AF810" s="29"/>
      <c r="AG810" s="30"/>
      <c r="AH810" s="29"/>
      <c r="AI810" s="29"/>
      <c r="AJ810" s="29"/>
      <c r="AK810" s="30"/>
      <c r="AL810" s="29"/>
      <c r="AM810" s="30"/>
      <c r="AN810" s="29"/>
      <c r="AO810" s="29"/>
      <c r="AP810" s="29"/>
      <c r="AQ810" s="29"/>
      <c r="AR810" s="29"/>
      <c r="AS810" s="82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0">
        <f t="shared" si="106"/>
        <v>0</v>
      </c>
      <c r="BO810" s="20">
        <f t="shared" si="107"/>
        <v>0</v>
      </c>
      <c r="BP810" s="20">
        <f t="shared" si="108"/>
        <v>4</v>
      </c>
      <c r="BQ810" s="51">
        <f t="shared" si="105"/>
        <v>0.84</v>
      </c>
      <c r="BR810" s="56" t="s">
        <v>685</v>
      </c>
      <c r="BS810" s="91" t="s">
        <v>666</v>
      </c>
      <c r="BT810" s="36" t="s">
        <v>1301</v>
      </c>
      <c r="BU810" s="35" t="s">
        <v>1299</v>
      </c>
    </row>
    <row r="811" s="1" customFormat="1" customHeight="1" spans="1:73">
      <c r="A811" s="37" t="s">
        <v>1298</v>
      </c>
      <c r="B811" s="15">
        <v>250</v>
      </c>
      <c r="C811" s="16">
        <v>220</v>
      </c>
      <c r="D811" s="29"/>
      <c r="E811" s="30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30"/>
      <c r="X811" s="29"/>
      <c r="Y811" s="29"/>
      <c r="Z811" s="29"/>
      <c r="AA811" s="29"/>
      <c r="AB811" s="29"/>
      <c r="AC811" s="30"/>
      <c r="AD811" s="29"/>
      <c r="AE811" s="30"/>
      <c r="AF811" s="29"/>
      <c r="AG811" s="30"/>
      <c r="AH811" s="29"/>
      <c r="AI811" s="29"/>
      <c r="AJ811" s="29"/>
      <c r="AK811" s="30"/>
      <c r="AL811" s="29"/>
      <c r="AM811" s="29"/>
      <c r="AN811" s="29"/>
      <c r="AO811" s="29"/>
      <c r="AP811" s="29"/>
      <c r="AQ811" s="29"/>
      <c r="AR811" s="29"/>
      <c r="AS811" s="82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0">
        <f t="shared" si="106"/>
        <v>0</v>
      </c>
      <c r="BO811" s="20">
        <f t="shared" si="107"/>
        <v>0</v>
      </c>
      <c r="BP811" s="20">
        <f t="shared" si="108"/>
        <v>220</v>
      </c>
      <c r="BQ811" s="51">
        <f t="shared" si="105"/>
        <v>55</v>
      </c>
      <c r="BR811" s="56" t="s">
        <v>429</v>
      </c>
      <c r="BS811" s="91" t="s">
        <v>886</v>
      </c>
      <c r="BT811" s="36"/>
      <c r="BU811" s="35" t="s">
        <v>1299</v>
      </c>
    </row>
    <row r="812" s="1" customFormat="1" customHeight="1" spans="1:73">
      <c r="A812" s="37" t="s">
        <v>1300</v>
      </c>
      <c r="B812" s="15">
        <v>315</v>
      </c>
      <c r="C812" s="16">
        <v>75</v>
      </c>
      <c r="D812" s="29"/>
      <c r="E812" s="30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30"/>
      <c r="X812" s="29"/>
      <c r="Y812" s="29"/>
      <c r="Z812" s="29"/>
      <c r="AA812" s="29"/>
      <c r="AB812" s="29"/>
      <c r="AC812" s="30"/>
      <c r="AD812" s="29"/>
      <c r="AE812" s="30"/>
      <c r="AF812" s="29"/>
      <c r="AG812" s="30"/>
      <c r="AH812" s="29"/>
      <c r="AI812" s="29"/>
      <c r="AJ812" s="29"/>
      <c r="AK812" s="30"/>
      <c r="AL812" s="29"/>
      <c r="AM812" s="30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0">
        <f t="shared" si="106"/>
        <v>0</v>
      </c>
      <c r="BO812" s="20">
        <f t="shared" si="107"/>
        <v>0</v>
      </c>
      <c r="BP812" s="20">
        <f t="shared" si="108"/>
        <v>75</v>
      </c>
      <c r="BQ812" s="51">
        <f t="shared" si="105"/>
        <v>23.625</v>
      </c>
      <c r="BR812" s="56" t="s">
        <v>685</v>
      </c>
      <c r="BS812" s="91" t="s">
        <v>666</v>
      </c>
      <c r="BT812" s="36" t="s">
        <v>1302</v>
      </c>
      <c r="BU812" s="35" t="s">
        <v>1299</v>
      </c>
    </row>
    <row r="813" s="1" customFormat="1" customHeight="1" spans="1:73">
      <c r="A813" s="53" t="s">
        <v>1303</v>
      </c>
      <c r="B813" s="15"/>
      <c r="C813" s="16"/>
      <c r="D813" s="29"/>
      <c r="E813" s="30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30"/>
      <c r="X813" s="29"/>
      <c r="Y813" s="29"/>
      <c r="Z813" s="29"/>
      <c r="AA813" s="29"/>
      <c r="AB813" s="29"/>
      <c r="AC813" s="30"/>
      <c r="AD813" s="29"/>
      <c r="AE813" s="30"/>
      <c r="AF813" s="29"/>
      <c r="AG813" s="30"/>
      <c r="AH813" s="29"/>
      <c r="AI813" s="29"/>
      <c r="AJ813" s="29"/>
      <c r="AK813" s="30"/>
      <c r="AL813" s="29"/>
      <c r="AM813" s="30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0">
        <f t="shared" si="106"/>
        <v>0</v>
      </c>
      <c r="BO813" s="20">
        <f t="shared" si="107"/>
        <v>0</v>
      </c>
      <c r="BP813" s="20">
        <f t="shared" si="108"/>
        <v>0</v>
      </c>
      <c r="BQ813" s="51"/>
      <c r="BR813" s="56"/>
      <c r="BS813" s="91"/>
      <c r="BT813" s="57"/>
      <c r="BU813" s="112"/>
    </row>
    <row r="814" s="1" customFormat="1" customHeight="1" spans="1:73">
      <c r="A814" s="15" t="s">
        <v>1304</v>
      </c>
      <c r="B814" s="15">
        <v>95</v>
      </c>
      <c r="C814" s="16">
        <v>10</v>
      </c>
      <c r="D814" s="29"/>
      <c r="E814" s="30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30"/>
      <c r="X814" s="29"/>
      <c r="Y814" s="29"/>
      <c r="Z814" s="29"/>
      <c r="AA814" s="29"/>
      <c r="AB814" s="29"/>
      <c r="AC814" s="30"/>
      <c r="AD814" s="29"/>
      <c r="AE814" s="30"/>
      <c r="AF814" s="29"/>
      <c r="AG814" s="30"/>
      <c r="AH814" s="29"/>
      <c r="AI814" s="29"/>
      <c r="AJ814" s="29"/>
      <c r="AK814" s="30"/>
      <c r="AL814" s="30"/>
      <c r="AM814" s="30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0">
        <f t="shared" si="106"/>
        <v>0</v>
      </c>
      <c r="BO814" s="20">
        <f t="shared" si="107"/>
        <v>0</v>
      </c>
      <c r="BP814" s="20">
        <f t="shared" si="108"/>
        <v>10</v>
      </c>
      <c r="BQ814" s="51">
        <f t="shared" ref="BQ814:BQ818" si="109">B814*BP814/1000</f>
        <v>0.95</v>
      </c>
      <c r="BR814" s="56" t="s">
        <v>866</v>
      </c>
      <c r="BS814" s="91" t="s">
        <v>924</v>
      </c>
      <c r="BT814" s="57"/>
      <c r="BU814" s="35" t="s">
        <v>1305</v>
      </c>
    </row>
    <row r="815" s="1" customFormat="1" customHeight="1" spans="1:73">
      <c r="A815" s="15" t="s">
        <v>1304</v>
      </c>
      <c r="B815" s="15">
        <v>150</v>
      </c>
      <c r="C815" s="16">
        <v>100</v>
      </c>
      <c r="D815" s="29"/>
      <c r="E815" s="30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30"/>
      <c r="X815" s="29"/>
      <c r="Y815" s="29"/>
      <c r="Z815" s="29"/>
      <c r="AA815" s="29"/>
      <c r="AB815" s="29"/>
      <c r="AC815" s="30"/>
      <c r="AD815" s="29"/>
      <c r="AE815" s="30"/>
      <c r="AF815" s="29"/>
      <c r="AG815" s="30"/>
      <c r="AH815" s="29"/>
      <c r="AI815" s="29"/>
      <c r="AJ815" s="29"/>
      <c r="AK815" s="30"/>
      <c r="AL815" s="30"/>
      <c r="AM815" s="30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0">
        <f t="shared" si="106"/>
        <v>0</v>
      </c>
      <c r="BO815" s="20">
        <f t="shared" si="107"/>
        <v>0</v>
      </c>
      <c r="BP815" s="20">
        <f t="shared" si="108"/>
        <v>100</v>
      </c>
      <c r="BQ815" s="51">
        <f t="shared" si="109"/>
        <v>15</v>
      </c>
      <c r="BR815" s="56" t="s">
        <v>1032</v>
      </c>
      <c r="BS815" s="91" t="s">
        <v>1306</v>
      </c>
      <c r="BT815" s="57"/>
      <c r="BU815" s="35" t="s">
        <v>1305</v>
      </c>
    </row>
    <row r="816" s="1" customFormat="1" customHeight="1" spans="1:73">
      <c r="A816" s="15" t="s">
        <v>1304</v>
      </c>
      <c r="B816" s="15">
        <v>200</v>
      </c>
      <c r="C816" s="16">
        <v>109</v>
      </c>
      <c r="D816" s="29"/>
      <c r="E816" s="30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30"/>
      <c r="X816" s="29"/>
      <c r="Y816" s="29"/>
      <c r="Z816" s="29"/>
      <c r="AA816" s="29"/>
      <c r="AB816" s="29"/>
      <c r="AC816" s="30"/>
      <c r="AD816" s="29"/>
      <c r="AE816" s="30"/>
      <c r="AF816" s="29"/>
      <c r="AG816" s="30"/>
      <c r="AH816" s="29"/>
      <c r="AI816" s="29"/>
      <c r="AJ816" s="29"/>
      <c r="AK816" s="30"/>
      <c r="AL816" s="30"/>
      <c r="AM816" s="30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0">
        <f t="shared" si="106"/>
        <v>0</v>
      </c>
      <c r="BO816" s="20">
        <f t="shared" si="107"/>
        <v>0</v>
      </c>
      <c r="BP816" s="20">
        <f t="shared" si="108"/>
        <v>109</v>
      </c>
      <c r="BQ816" s="51">
        <f t="shared" si="109"/>
        <v>21.8</v>
      </c>
      <c r="BR816" s="56" t="s">
        <v>866</v>
      </c>
      <c r="BS816" s="91" t="s">
        <v>906</v>
      </c>
      <c r="BT816" s="57"/>
      <c r="BU816" s="35" t="s">
        <v>1305</v>
      </c>
    </row>
    <row r="817" s="1" customFormat="1" customHeight="1" spans="1:73">
      <c r="A817" s="15" t="s">
        <v>1304</v>
      </c>
      <c r="B817" s="15">
        <v>210</v>
      </c>
      <c r="C817" s="16">
        <v>60</v>
      </c>
      <c r="D817" s="29"/>
      <c r="E817" s="30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30"/>
      <c r="X817" s="29"/>
      <c r="Y817" s="29"/>
      <c r="Z817" s="29"/>
      <c r="AA817" s="29"/>
      <c r="AB817" s="29"/>
      <c r="AC817" s="30"/>
      <c r="AD817" s="29"/>
      <c r="AE817" s="30"/>
      <c r="AF817" s="29"/>
      <c r="AG817" s="30"/>
      <c r="AH817" s="29"/>
      <c r="AI817" s="29"/>
      <c r="AJ817" s="29"/>
      <c r="AK817" s="30"/>
      <c r="AL817" s="30"/>
      <c r="AM817" s="30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0">
        <f t="shared" si="106"/>
        <v>0</v>
      </c>
      <c r="BO817" s="20">
        <f t="shared" si="107"/>
        <v>0</v>
      </c>
      <c r="BP817" s="20">
        <f t="shared" si="108"/>
        <v>60</v>
      </c>
      <c r="BQ817" s="51">
        <f t="shared" si="109"/>
        <v>12.6</v>
      </c>
      <c r="BR817" s="56" t="s">
        <v>994</v>
      </c>
      <c r="BS817" s="91" t="s">
        <v>995</v>
      </c>
      <c r="BT817" s="57"/>
      <c r="BU817" s="35" t="s">
        <v>1305</v>
      </c>
    </row>
    <row r="818" s="1" customFormat="1" customHeight="1" spans="1:73">
      <c r="A818" s="15" t="s">
        <v>1304</v>
      </c>
      <c r="B818" s="15">
        <v>302</v>
      </c>
      <c r="C818" s="16">
        <v>75</v>
      </c>
      <c r="D818" s="29"/>
      <c r="E818" s="30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30"/>
      <c r="X818" s="29"/>
      <c r="Y818" s="29"/>
      <c r="Z818" s="29"/>
      <c r="AA818" s="29"/>
      <c r="AB818" s="29"/>
      <c r="AC818" s="30"/>
      <c r="AD818" s="29"/>
      <c r="AE818" s="30"/>
      <c r="AF818" s="29"/>
      <c r="AG818" s="30"/>
      <c r="AH818" s="29"/>
      <c r="AI818" s="29"/>
      <c r="AJ818" s="29"/>
      <c r="AK818" s="30"/>
      <c r="AL818" s="30"/>
      <c r="AM818" s="30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0">
        <f t="shared" si="106"/>
        <v>0</v>
      </c>
      <c r="BO818" s="20">
        <f t="shared" si="107"/>
        <v>0</v>
      </c>
      <c r="BP818" s="20">
        <f t="shared" si="108"/>
        <v>75</v>
      </c>
      <c r="BQ818" s="51">
        <f t="shared" si="109"/>
        <v>22.65</v>
      </c>
      <c r="BR818" s="56" t="s">
        <v>1051</v>
      </c>
      <c r="BS818" s="91" t="s">
        <v>1052</v>
      </c>
      <c r="BT818" s="57"/>
      <c r="BU818" s="35" t="s">
        <v>1305</v>
      </c>
    </row>
    <row r="819" s="1" customFormat="1" customHeight="1" spans="1:73">
      <c r="A819" s="53" t="s">
        <v>1307</v>
      </c>
      <c r="B819" s="15"/>
      <c r="C819" s="16"/>
      <c r="D819" s="29"/>
      <c r="E819" s="30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30"/>
      <c r="AH819" s="29"/>
      <c r="AI819" s="29"/>
      <c r="AJ819" s="29"/>
      <c r="AK819" s="30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0">
        <f t="shared" si="106"/>
        <v>0</v>
      </c>
      <c r="BO819" s="20">
        <f t="shared" si="107"/>
        <v>0</v>
      </c>
      <c r="BP819" s="20">
        <f t="shared" si="108"/>
        <v>0</v>
      </c>
      <c r="BQ819" s="51"/>
      <c r="BR819" s="56"/>
      <c r="BS819" s="111"/>
      <c r="BT819" s="36"/>
      <c r="BU819" s="112"/>
    </row>
    <row r="820" s="1" customFormat="1" customHeight="1" spans="1:73">
      <c r="A820" s="15" t="s">
        <v>1308</v>
      </c>
      <c r="B820" s="15">
        <v>70</v>
      </c>
      <c r="C820" s="16">
        <v>11</v>
      </c>
      <c r="D820" s="29"/>
      <c r="E820" s="30"/>
      <c r="F820" s="29"/>
      <c r="G820" s="29"/>
      <c r="H820" s="29"/>
      <c r="I820" s="29"/>
      <c r="J820" s="29"/>
      <c r="K820" s="29"/>
      <c r="L820" s="29"/>
      <c r="M820" s="29">
        <v>11</v>
      </c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30"/>
      <c r="Y820" s="29"/>
      <c r="Z820" s="29"/>
      <c r="AA820" s="29"/>
      <c r="AB820" s="29"/>
      <c r="AC820" s="29"/>
      <c r="AD820" s="29"/>
      <c r="AE820" s="29"/>
      <c r="AF820" s="29"/>
      <c r="AG820" s="30"/>
      <c r="AH820" s="29"/>
      <c r="AI820" s="29"/>
      <c r="AJ820" s="29"/>
      <c r="AK820" s="30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0">
        <f t="shared" si="106"/>
        <v>0</v>
      </c>
      <c r="BO820" s="20">
        <f t="shared" si="107"/>
        <v>11</v>
      </c>
      <c r="BP820" s="20">
        <f t="shared" si="108"/>
        <v>0</v>
      </c>
      <c r="BQ820" s="51">
        <f t="shared" ref="BQ820:BQ840" si="110">B820*BP820/1000</f>
        <v>0</v>
      </c>
      <c r="BR820" s="56" t="s">
        <v>803</v>
      </c>
      <c r="BS820" s="91" t="s">
        <v>804</v>
      </c>
      <c r="BT820" s="36"/>
      <c r="BU820" s="35" t="s">
        <v>1309</v>
      </c>
    </row>
    <row r="821" s="1" customFormat="1" customHeight="1" spans="1:73">
      <c r="A821" s="15" t="s">
        <v>1308</v>
      </c>
      <c r="B821" s="15">
        <v>82</v>
      </c>
      <c r="C821" s="16">
        <v>71</v>
      </c>
      <c r="D821" s="29"/>
      <c r="E821" s="30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30"/>
      <c r="AH821" s="29"/>
      <c r="AI821" s="29"/>
      <c r="AJ821" s="29"/>
      <c r="AK821" s="30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0">
        <f t="shared" si="106"/>
        <v>0</v>
      </c>
      <c r="BO821" s="20">
        <f t="shared" si="107"/>
        <v>0</v>
      </c>
      <c r="BP821" s="20">
        <f t="shared" si="108"/>
        <v>71</v>
      </c>
      <c r="BQ821" s="51">
        <f t="shared" si="110"/>
        <v>5.822</v>
      </c>
      <c r="BR821" s="56" t="s">
        <v>994</v>
      </c>
      <c r="BS821" s="91" t="s">
        <v>1310</v>
      </c>
      <c r="BT821" s="36" t="s">
        <v>1311</v>
      </c>
      <c r="BU821" s="35" t="s">
        <v>1309</v>
      </c>
    </row>
    <row r="822" s="1" customFormat="1" customHeight="1" spans="1:73">
      <c r="A822" s="15" t="s">
        <v>1308</v>
      </c>
      <c r="B822" s="15">
        <v>100</v>
      </c>
      <c r="C822" s="16">
        <v>10</v>
      </c>
      <c r="D822" s="29"/>
      <c r="E822" s="30"/>
      <c r="F822" s="29"/>
      <c r="G822" s="29"/>
      <c r="H822" s="29"/>
      <c r="I822" s="29"/>
      <c r="J822" s="29"/>
      <c r="K822" s="29"/>
      <c r="L822" s="29"/>
      <c r="M822" s="29"/>
      <c r="N822" s="29"/>
      <c r="O822" s="29">
        <v>6</v>
      </c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30"/>
      <c r="AH822" s="29"/>
      <c r="AI822" s="29"/>
      <c r="AJ822" s="29"/>
      <c r="AK822" s="30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0">
        <f t="shared" si="106"/>
        <v>0</v>
      </c>
      <c r="BO822" s="20">
        <f t="shared" si="107"/>
        <v>6</v>
      </c>
      <c r="BP822" s="20">
        <f t="shared" si="108"/>
        <v>4</v>
      </c>
      <c r="BQ822" s="51">
        <f t="shared" si="110"/>
        <v>0.4</v>
      </c>
      <c r="BR822" s="56" t="s">
        <v>394</v>
      </c>
      <c r="BS822" s="91" t="s">
        <v>1251</v>
      </c>
      <c r="BT822" s="36"/>
      <c r="BU822" s="35" t="s">
        <v>1309</v>
      </c>
    </row>
    <row r="823" s="1" customFormat="1" customHeight="1" spans="1:73">
      <c r="A823" s="15" t="s">
        <v>1308</v>
      </c>
      <c r="B823" s="15">
        <v>115</v>
      </c>
      <c r="C823" s="16">
        <v>139</v>
      </c>
      <c r="D823" s="29"/>
      <c r="E823" s="30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30"/>
      <c r="AH823" s="29"/>
      <c r="AI823" s="29"/>
      <c r="AJ823" s="29"/>
      <c r="AK823" s="30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0">
        <f t="shared" si="106"/>
        <v>0</v>
      </c>
      <c r="BO823" s="20">
        <f t="shared" si="107"/>
        <v>0</v>
      </c>
      <c r="BP823" s="20">
        <f t="shared" si="108"/>
        <v>139</v>
      </c>
      <c r="BQ823" s="51">
        <f t="shared" si="110"/>
        <v>15.985</v>
      </c>
      <c r="BR823" s="56" t="s">
        <v>1312</v>
      </c>
      <c r="BS823" s="91" t="s">
        <v>1313</v>
      </c>
      <c r="BT823" s="57"/>
      <c r="BU823" s="35" t="s">
        <v>1309</v>
      </c>
    </row>
    <row r="824" s="1" customFormat="1" customHeight="1" spans="1:73">
      <c r="A824" s="15" t="s">
        <v>1308</v>
      </c>
      <c r="B824" s="15">
        <v>120</v>
      </c>
      <c r="C824" s="16">
        <v>100</v>
      </c>
      <c r="D824" s="29"/>
      <c r="E824" s="30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30"/>
      <c r="AH824" s="29"/>
      <c r="AI824" s="29"/>
      <c r="AJ824" s="29"/>
      <c r="AK824" s="30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0">
        <f t="shared" si="106"/>
        <v>0</v>
      </c>
      <c r="BO824" s="20">
        <f t="shared" si="107"/>
        <v>0</v>
      </c>
      <c r="BP824" s="20">
        <f t="shared" si="108"/>
        <v>100</v>
      </c>
      <c r="BQ824" s="51">
        <f t="shared" si="110"/>
        <v>12</v>
      </c>
      <c r="BR824" s="56" t="s">
        <v>332</v>
      </c>
      <c r="BS824" s="91" t="s">
        <v>753</v>
      </c>
      <c r="BT824" s="57"/>
      <c r="BU824" s="35" t="s">
        <v>1309</v>
      </c>
    </row>
    <row r="825" s="1" customFormat="1" customHeight="1" spans="1:73">
      <c r="A825" s="15" t="s">
        <v>1308</v>
      </c>
      <c r="B825" s="15">
        <v>125</v>
      </c>
      <c r="C825" s="16">
        <v>48</v>
      </c>
      <c r="D825" s="29"/>
      <c r="E825" s="30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30"/>
      <c r="AH825" s="29"/>
      <c r="AI825" s="29"/>
      <c r="AJ825" s="29"/>
      <c r="AK825" s="30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0">
        <f t="shared" si="106"/>
        <v>0</v>
      </c>
      <c r="BO825" s="20">
        <f t="shared" si="107"/>
        <v>0</v>
      </c>
      <c r="BP825" s="20">
        <f t="shared" si="108"/>
        <v>48</v>
      </c>
      <c r="BQ825" s="51">
        <f t="shared" si="110"/>
        <v>6</v>
      </c>
      <c r="BR825" s="56" t="s">
        <v>1314</v>
      </c>
      <c r="BS825" s="91" t="s">
        <v>1315</v>
      </c>
      <c r="BT825" s="57"/>
      <c r="BU825" s="35" t="s">
        <v>1309</v>
      </c>
    </row>
    <row r="826" s="1" customFormat="1" customHeight="1" spans="1:73">
      <c r="A826" s="15" t="s">
        <v>1308</v>
      </c>
      <c r="B826" s="15">
        <v>145</v>
      </c>
      <c r="C826" s="16">
        <v>46</v>
      </c>
      <c r="D826" s="29"/>
      <c r="E826" s="30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30"/>
      <c r="AE826" s="29"/>
      <c r="AF826" s="29"/>
      <c r="AG826" s="30"/>
      <c r="AH826" s="29"/>
      <c r="AI826" s="29"/>
      <c r="AJ826" s="29"/>
      <c r="AK826" s="30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116"/>
      <c r="BK826" s="29"/>
      <c r="BL826" s="29"/>
      <c r="BM826" s="29"/>
      <c r="BN826" s="20">
        <f t="shared" si="106"/>
        <v>0</v>
      </c>
      <c r="BO826" s="20">
        <f t="shared" si="107"/>
        <v>0</v>
      </c>
      <c r="BP826" s="20">
        <f t="shared" si="108"/>
        <v>46</v>
      </c>
      <c r="BQ826" s="51">
        <f t="shared" si="110"/>
        <v>6.67</v>
      </c>
      <c r="BR826" s="56" t="s">
        <v>105</v>
      </c>
      <c r="BS826" s="91" t="s">
        <v>1316</v>
      </c>
      <c r="BT826" s="57"/>
      <c r="BU826" s="35" t="s">
        <v>1309</v>
      </c>
    </row>
    <row r="827" s="1" customFormat="1" customHeight="1" spans="1:73">
      <c r="A827" s="15" t="s">
        <v>1308</v>
      </c>
      <c r="B827" s="15">
        <v>150</v>
      </c>
      <c r="C827" s="16">
        <v>100</v>
      </c>
      <c r="D827" s="29"/>
      <c r="E827" s="30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30"/>
      <c r="AE827" s="29"/>
      <c r="AF827" s="29"/>
      <c r="AG827" s="30"/>
      <c r="AH827" s="29"/>
      <c r="AI827" s="29"/>
      <c r="AJ827" s="29"/>
      <c r="AK827" s="30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116"/>
      <c r="BK827" s="29"/>
      <c r="BL827" s="29"/>
      <c r="BM827" s="29"/>
      <c r="BN827" s="20">
        <f t="shared" si="106"/>
        <v>0</v>
      </c>
      <c r="BO827" s="20">
        <f t="shared" si="107"/>
        <v>0</v>
      </c>
      <c r="BP827" s="20">
        <f t="shared" si="108"/>
        <v>100</v>
      </c>
      <c r="BQ827" s="51">
        <f t="shared" si="110"/>
        <v>15</v>
      </c>
      <c r="BR827" s="56" t="s">
        <v>138</v>
      </c>
      <c r="BS827" s="91" t="s">
        <v>586</v>
      </c>
      <c r="BT827" s="57"/>
      <c r="BU827" s="35" t="s">
        <v>1309</v>
      </c>
    </row>
    <row r="828" s="1" customFormat="1" customHeight="1" spans="1:73">
      <c r="A828" s="15" t="s">
        <v>1308</v>
      </c>
      <c r="B828" s="15">
        <v>155</v>
      </c>
      <c r="C828" s="16">
        <v>80</v>
      </c>
      <c r="D828" s="29"/>
      <c r="E828" s="30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30"/>
      <c r="Y828" s="29"/>
      <c r="Z828" s="29"/>
      <c r="AA828" s="29"/>
      <c r="AB828" s="29"/>
      <c r="AC828" s="29"/>
      <c r="AD828" s="30"/>
      <c r="AE828" s="29"/>
      <c r="AF828" s="29"/>
      <c r="AG828" s="30"/>
      <c r="AH828" s="29"/>
      <c r="AI828" s="29"/>
      <c r="AJ828" s="29"/>
      <c r="AK828" s="30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116"/>
      <c r="BK828" s="29"/>
      <c r="BL828" s="29"/>
      <c r="BM828" s="29"/>
      <c r="BN828" s="20">
        <f t="shared" si="106"/>
        <v>0</v>
      </c>
      <c r="BO828" s="20">
        <f t="shared" si="107"/>
        <v>0</v>
      </c>
      <c r="BP828" s="20">
        <f t="shared" si="108"/>
        <v>80</v>
      </c>
      <c r="BQ828" s="51">
        <f t="shared" si="110"/>
        <v>12.4</v>
      </c>
      <c r="BR828" s="56" t="s">
        <v>803</v>
      </c>
      <c r="BS828" s="91" t="s">
        <v>1313</v>
      </c>
      <c r="BT828" s="57"/>
      <c r="BU828" s="35" t="s">
        <v>1309</v>
      </c>
    </row>
    <row r="829" s="1" customFormat="1" customHeight="1" spans="1:73">
      <c r="A829" s="15" t="s">
        <v>1308</v>
      </c>
      <c r="B829" s="15">
        <v>180</v>
      </c>
      <c r="C829" s="16">
        <v>144</v>
      </c>
      <c r="D829" s="29"/>
      <c r="E829" s="30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30"/>
      <c r="X829" s="29"/>
      <c r="Y829" s="29"/>
      <c r="Z829" s="29"/>
      <c r="AA829" s="29"/>
      <c r="AB829" s="29"/>
      <c r="AC829" s="29"/>
      <c r="AD829" s="29"/>
      <c r="AE829" s="29"/>
      <c r="AF829" s="29"/>
      <c r="AG829" s="30"/>
      <c r="AH829" s="29"/>
      <c r="AI829" s="29"/>
      <c r="AJ829" s="29"/>
      <c r="AK829" s="30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0">
        <f t="shared" si="106"/>
        <v>0</v>
      </c>
      <c r="BO829" s="20">
        <f t="shared" si="107"/>
        <v>0</v>
      </c>
      <c r="BP829" s="20">
        <f t="shared" si="108"/>
        <v>144</v>
      </c>
      <c r="BQ829" s="51">
        <f t="shared" si="110"/>
        <v>25.92</v>
      </c>
      <c r="BR829" s="56" t="s">
        <v>883</v>
      </c>
      <c r="BS829" s="91" t="s">
        <v>1316</v>
      </c>
      <c r="BT829" s="57"/>
      <c r="BU829" s="35" t="s">
        <v>1317</v>
      </c>
    </row>
    <row r="830" s="1" customFormat="1" customHeight="1" spans="1:73">
      <c r="A830" s="15" t="s">
        <v>1308</v>
      </c>
      <c r="B830" s="15">
        <v>185</v>
      </c>
      <c r="C830" s="16">
        <v>100</v>
      </c>
      <c r="D830" s="29"/>
      <c r="E830" s="30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30"/>
      <c r="X830" s="29"/>
      <c r="Y830" s="29"/>
      <c r="Z830" s="29"/>
      <c r="AA830" s="29"/>
      <c r="AB830" s="29"/>
      <c r="AC830" s="29"/>
      <c r="AD830" s="29"/>
      <c r="AE830" s="29"/>
      <c r="AF830" s="29"/>
      <c r="AG830" s="30"/>
      <c r="AH830" s="29"/>
      <c r="AI830" s="29"/>
      <c r="AJ830" s="29"/>
      <c r="AK830" s="30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0">
        <f t="shared" si="106"/>
        <v>0</v>
      </c>
      <c r="BO830" s="20">
        <f t="shared" si="107"/>
        <v>0</v>
      </c>
      <c r="BP830" s="20">
        <f t="shared" si="108"/>
        <v>100</v>
      </c>
      <c r="BQ830" s="51">
        <f t="shared" si="110"/>
        <v>18.5</v>
      </c>
      <c r="BR830" s="56" t="s">
        <v>905</v>
      </c>
      <c r="BS830" s="91" t="s">
        <v>906</v>
      </c>
      <c r="BT830" s="57"/>
      <c r="BU830" s="35" t="s">
        <v>1317</v>
      </c>
    </row>
    <row r="831" s="1" customFormat="1" customHeight="1" spans="1:73">
      <c r="A831" s="15" t="s">
        <v>1308</v>
      </c>
      <c r="B831" s="15">
        <v>190</v>
      </c>
      <c r="C831" s="16">
        <v>30</v>
      </c>
      <c r="D831" s="29"/>
      <c r="E831" s="30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30"/>
      <c r="X831" s="29"/>
      <c r="Y831" s="29"/>
      <c r="Z831" s="29"/>
      <c r="AA831" s="29"/>
      <c r="AB831" s="29"/>
      <c r="AC831" s="29"/>
      <c r="AD831" s="29"/>
      <c r="AE831" s="29"/>
      <c r="AF831" s="29"/>
      <c r="AG831" s="30"/>
      <c r="AH831" s="29"/>
      <c r="AI831" s="29"/>
      <c r="AJ831" s="29"/>
      <c r="AK831" s="30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0">
        <f t="shared" si="106"/>
        <v>0</v>
      </c>
      <c r="BO831" s="20">
        <f t="shared" si="107"/>
        <v>0</v>
      </c>
      <c r="BP831" s="20">
        <f t="shared" si="108"/>
        <v>30</v>
      </c>
      <c r="BQ831" s="51">
        <f t="shared" si="110"/>
        <v>5.7</v>
      </c>
      <c r="BR831" s="56" t="s">
        <v>905</v>
      </c>
      <c r="BS831" s="91" t="s">
        <v>906</v>
      </c>
      <c r="BT831" s="57"/>
      <c r="BU831" s="35" t="s">
        <v>1317</v>
      </c>
    </row>
    <row r="832" s="1" customFormat="1" customHeight="1" spans="1:73">
      <c r="A832" s="15" t="s">
        <v>1308</v>
      </c>
      <c r="B832" s="15">
        <v>200</v>
      </c>
      <c r="C832" s="16">
        <v>72</v>
      </c>
      <c r="D832" s="29"/>
      <c r="E832" s="30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30"/>
      <c r="AH832" s="29"/>
      <c r="AI832" s="29"/>
      <c r="AJ832" s="29"/>
      <c r="AK832" s="30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0">
        <f t="shared" si="106"/>
        <v>0</v>
      </c>
      <c r="BO832" s="20">
        <f t="shared" si="107"/>
        <v>0</v>
      </c>
      <c r="BP832" s="20">
        <f t="shared" si="108"/>
        <v>72</v>
      </c>
      <c r="BQ832" s="51">
        <f t="shared" si="110"/>
        <v>14.4</v>
      </c>
      <c r="BR832" s="56" t="s">
        <v>883</v>
      </c>
      <c r="BS832" s="91" t="s">
        <v>1315</v>
      </c>
      <c r="BT832" s="57"/>
      <c r="BU832" s="35" t="s">
        <v>1317</v>
      </c>
    </row>
    <row r="833" s="1" customFormat="1" customHeight="1" spans="1:73">
      <c r="A833" s="15" t="s">
        <v>1308</v>
      </c>
      <c r="B833" s="15">
        <v>220</v>
      </c>
      <c r="C833" s="16">
        <v>100</v>
      </c>
      <c r="D833" s="29"/>
      <c r="E833" s="30"/>
      <c r="F833" s="29"/>
      <c r="G833" s="29"/>
      <c r="H833" s="29"/>
      <c r="I833" s="29"/>
      <c r="J833" s="29"/>
      <c r="K833" s="29"/>
      <c r="L833" s="29"/>
      <c r="M833" s="29">
        <v>10</v>
      </c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30"/>
      <c r="AH833" s="29"/>
      <c r="AI833" s="29"/>
      <c r="AJ833" s="29"/>
      <c r="AK833" s="30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0">
        <f t="shared" si="106"/>
        <v>0</v>
      </c>
      <c r="BO833" s="20">
        <f t="shared" si="107"/>
        <v>10</v>
      </c>
      <c r="BP833" s="20">
        <f t="shared" si="108"/>
        <v>90</v>
      </c>
      <c r="BQ833" s="51">
        <f t="shared" si="110"/>
        <v>19.8</v>
      </c>
      <c r="BR833" s="56" t="s">
        <v>1318</v>
      </c>
      <c r="BS833" s="91" t="s">
        <v>1319</v>
      </c>
      <c r="BT833" s="57"/>
      <c r="BU833" s="35" t="s">
        <v>1317</v>
      </c>
    </row>
    <row r="834" s="1" customFormat="1" customHeight="1" spans="1:73">
      <c r="A834" s="39" t="s">
        <v>1308</v>
      </c>
      <c r="B834" s="15">
        <v>240</v>
      </c>
      <c r="C834" s="16">
        <v>6</v>
      </c>
      <c r="D834" s="29"/>
      <c r="E834" s="30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30"/>
      <c r="X834" s="29"/>
      <c r="Y834" s="29"/>
      <c r="Z834" s="29"/>
      <c r="AA834" s="29"/>
      <c r="AB834" s="29"/>
      <c r="AC834" s="29"/>
      <c r="AD834" s="29"/>
      <c r="AE834" s="29"/>
      <c r="AF834" s="29"/>
      <c r="AG834" s="30"/>
      <c r="AH834" s="29"/>
      <c r="AI834" s="29"/>
      <c r="AJ834" s="29"/>
      <c r="AK834" s="30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0">
        <f t="shared" si="106"/>
        <v>0</v>
      </c>
      <c r="BO834" s="20">
        <f t="shared" si="107"/>
        <v>0</v>
      </c>
      <c r="BP834" s="20">
        <f t="shared" si="108"/>
        <v>6</v>
      </c>
      <c r="BQ834" s="51">
        <f t="shared" si="110"/>
        <v>1.44</v>
      </c>
      <c r="BR834" s="56" t="s">
        <v>883</v>
      </c>
      <c r="BS834" s="91" t="s">
        <v>1319</v>
      </c>
      <c r="BT834" s="57"/>
      <c r="BU834" s="35" t="s">
        <v>1309</v>
      </c>
    </row>
    <row r="835" s="1" customFormat="1" customHeight="1" spans="1:73">
      <c r="A835" s="15" t="s">
        <v>1308</v>
      </c>
      <c r="B835" s="15">
        <v>250</v>
      </c>
      <c r="C835" s="16">
        <v>110</v>
      </c>
      <c r="D835" s="29"/>
      <c r="E835" s="29"/>
      <c r="F835" s="29"/>
      <c r="G835" s="29"/>
      <c r="H835" s="29"/>
      <c r="I835" s="29"/>
      <c r="J835" s="29"/>
      <c r="K835" s="30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30"/>
      <c r="X835" s="29"/>
      <c r="Y835" s="30"/>
      <c r="Z835" s="29"/>
      <c r="AA835" s="29"/>
      <c r="AB835" s="29"/>
      <c r="AC835" s="29"/>
      <c r="AD835" s="29"/>
      <c r="AE835" s="30"/>
      <c r="AF835" s="29"/>
      <c r="AG835" s="30"/>
      <c r="AH835" s="29"/>
      <c r="AI835" s="30"/>
      <c r="AJ835" s="29"/>
      <c r="AK835" s="30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30"/>
      <c r="BB835" s="29"/>
      <c r="BC835" s="29"/>
      <c r="BD835" s="29"/>
      <c r="BE835" s="29"/>
      <c r="BF835" s="29"/>
      <c r="BG835" s="29"/>
      <c r="BH835" s="29"/>
      <c r="BI835" s="29"/>
      <c r="BJ835" s="29"/>
      <c r="BK835" s="116"/>
      <c r="BL835" s="29"/>
      <c r="BM835" s="29"/>
      <c r="BN835" s="20">
        <f t="shared" si="106"/>
        <v>0</v>
      </c>
      <c r="BO835" s="20">
        <f t="shared" si="107"/>
        <v>0</v>
      </c>
      <c r="BP835" s="20">
        <f t="shared" si="108"/>
        <v>110</v>
      </c>
      <c r="BQ835" s="51">
        <f t="shared" si="110"/>
        <v>27.5</v>
      </c>
      <c r="BR835" s="56" t="s">
        <v>1312</v>
      </c>
      <c r="BS835" s="91" t="s">
        <v>586</v>
      </c>
      <c r="BT835" s="57"/>
      <c r="BU835" s="35" t="s">
        <v>1309</v>
      </c>
    </row>
    <row r="836" s="1" customFormat="1" customHeight="1" spans="1:73">
      <c r="A836" s="15" t="s">
        <v>1308</v>
      </c>
      <c r="B836" s="15">
        <v>260</v>
      </c>
      <c r="C836" s="16">
        <v>100</v>
      </c>
      <c r="D836" s="29"/>
      <c r="E836" s="29"/>
      <c r="F836" s="29"/>
      <c r="G836" s="29"/>
      <c r="H836" s="29"/>
      <c r="I836" s="29"/>
      <c r="J836" s="29"/>
      <c r="K836" s="30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30"/>
      <c r="X836" s="29"/>
      <c r="Y836" s="30"/>
      <c r="Z836" s="29"/>
      <c r="AA836" s="29"/>
      <c r="AB836" s="29"/>
      <c r="AC836" s="29"/>
      <c r="AD836" s="29"/>
      <c r="AE836" s="30"/>
      <c r="AF836" s="29"/>
      <c r="AG836" s="30"/>
      <c r="AH836" s="29"/>
      <c r="AI836" s="30"/>
      <c r="AJ836" s="29"/>
      <c r="AK836" s="30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30"/>
      <c r="BB836" s="29"/>
      <c r="BC836" s="29"/>
      <c r="BD836" s="29"/>
      <c r="BE836" s="29"/>
      <c r="BF836" s="29"/>
      <c r="BG836" s="29"/>
      <c r="BH836" s="29"/>
      <c r="BI836" s="29"/>
      <c r="BJ836" s="29"/>
      <c r="BK836" s="116"/>
      <c r="BL836" s="29"/>
      <c r="BM836" s="29"/>
      <c r="BN836" s="20">
        <f t="shared" si="106"/>
        <v>0</v>
      </c>
      <c r="BO836" s="20">
        <f t="shared" si="107"/>
        <v>0</v>
      </c>
      <c r="BP836" s="20">
        <f t="shared" si="108"/>
        <v>100</v>
      </c>
      <c r="BQ836" s="51">
        <f t="shared" si="110"/>
        <v>26</v>
      </c>
      <c r="BR836" s="56" t="s">
        <v>1318</v>
      </c>
      <c r="BS836" s="91" t="s">
        <v>1319</v>
      </c>
      <c r="BT836" s="57"/>
      <c r="BU836" s="35" t="s">
        <v>1309</v>
      </c>
    </row>
    <row r="837" s="1" customFormat="1" customHeight="1" spans="1:73">
      <c r="A837" s="15" t="s">
        <v>1308</v>
      </c>
      <c r="B837" s="15">
        <v>270</v>
      </c>
      <c r="C837" s="16">
        <v>300</v>
      </c>
      <c r="D837" s="29"/>
      <c r="E837" s="29"/>
      <c r="F837" s="29"/>
      <c r="G837" s="29"/>
      <c r="H837" s="29"/>
      <c r="I837" s="29"/>
      <c r="J837" s="29"/>
      <c r="K837" s="30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30"/>
      <c r="X837" s="29"/>
      <c r="Y837" s="30"/>
      <c r="Z837" s="29"/>
      <c r="AA837" s="29"/>
      <c r="AB837" s="29"/>
      <c r="AC837" s="29"/>
      <c r="AD837" s="29"/>
      <c r="AE837" s="30"/>
      <c r="AF837" s="29"/>
      <c r="AG837" s="30"/>
      <c r="AH837" s="29"/>
      <c r="AI837" s="30"/>
      <c r="AJ837" s="29"/>
      <c r="AK837" s="30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30"/>
      <c r="BB837" s="29"/>
      <c r="BC837" s="29"/>
      <c r="BD837" s="29"/>
      <c r="BE837" s="29"/>
      <c r="BF837" s="29"/>
      <c r="BG837" s="29"/>
      <c r="BH837" s="29"/>
      <c r="BI837" s="29"/>
      <c r="BJ837" s="29"/>
      <c r="BK837" s="116"/>
      <c r="BL837" s="29"/>
      <c r="BM837" s="29"/>
      <c r="BN837" s="20">
        <f t="shared" si="106"/>
        <v>0</v>
      </c>
      <c r="BO837" s="20">
        <f t="shared" si="107"/>
        <v>0</v>
      </c>
      <c r="BP837" s="20">
        <f t="shared" si="108"/>
        <v>300</v>
      </c>
      <c r="BQ837" s="51">
        <f t="shared" si="110"/>
        <v>81</v>
      </c>
      <c r="BR837" s="56" t="s">
        <v>138</v>
      </c>
      <c r="BS837" s="91" t="s">
        <v>586</v>
      </c>
      <c r="BT837" s="57"/>
      <c r="BU837" s="35" t="s">
        <v>1317</v>
      </c>
    </row>
    <row r="838" s="1" customFormat="1" customHeight="1" spans="1:73">
      <c r="A838" s="15" t="s">
        <v>1308</v>
      </c>
      <c r="B838" s="15">
        <v>280</v>
      </c>
      <c r="C838" s="16">
        <v>360</v>
      </c>
      <c r="D838" s="29"/>
      <c r="E838" s="29"/>
      <c r="F838" s="29"/>
      <c r="G838" s="29"/>
      <c r="H838" s="29"/>
      <c r="I838" s="29"/>
      <c r="J838" s="29"/>
      <c r="K838" s="30">
        <v>214</v>
      </c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30"/>
      <c r="Z838" s="29"/>
      <c r="AA838" s="29"/>
      <c r="AB838" s="29"/>
      <c r="AC838" s="29"/>
      <c r="AD838" s="29"/>
      <c r="AE838" s="30"/>
      <c r="AF838" s="29"/>
      <c r="AG838" s="30"/>
      <c r="AH838" s="29"/>
      <c r="AI838" s="30"/>
      <c r="AJ838" s="29"/>
      <c r="AK838" s="30"/>
      <c r="AL838" s="29"/>
      <c r="AM838" s="29"/>
      <c r="AN838" s="29"/>
      <c r="AO838" s="29"/>
      <c r="AP838" s="29"/>
      <c r="AQ838" s="29"/>
      <c r="AR838" s="29"/>
      <c r="AS838" s="29"/>
      <c r="AT838" s="29"/>
      <c r="AU838" s="82"/>
      <c r="AV838" s="29"/>
      <c r="AW838" s="29"/>
      <c r="AX838" s="29"/>
      <c r="AY838" s="29"/>
      <c r="AZ838" s="29"/>
      <c r="BA838" s="30"/>
      <c r="BB838" s="29"/>
      <c r="BC838" s="29"/>
      <c r="BD838" s="29"/>
      <c r="BE838" s="29"/>
      <c r="BF838" s="29"/>
      <c r="BG838" s="29"/>
      <c r="BH838" s="29"/>
      <c r="BI838" s="29"/>
      <c r="BJ838" s="29"/>
      <c r="BK838" s="145"/>
      <c r="BL838" s="29"/>
      <c r="BM838" s="29"/>
      <c r="BN838" s="20">
        <f t="shared" si="106"/>
        <v>0</v>
      </c>
      <c r="BO838" s="20">
        <f t="shared" si="107"/>
        <v>214</v>
      </c>
      <c r="BP838" s="20">
        <f t="shared" si="108"/>
        <v>146</v>
      </c>
      <c r="BQ838" s="51">
        <f t="shared" si="110"/>
        <v>40.88</v>
      </c>
      <c r="BR838" s="56" t="s">
        <v>994</v>
      </c>
      <c r="BS838" s="91" t="s">
        <v>753</v>
      </c>
      <c r="BT838" s="57"/>
      <c r="BU838" s="35" t="s">
        <v>1317</v>
      </c>
    </row>
    <row r="839" s="1" customFormat="1" customHeight="1" spans="1:73">
      <c r="A839" s="15" t="s">
        <v>1308</v>
      </c>
      <c r="B839" s="15">
        <v>320</v>
      </c>
      <c r="C839" s="16">
        <v>215</v>
      </c>
      <c r="D839" s="29"/>
      <c r="E839" s="29"/>
      <c r="F839" s="29"/>
      <c r="G839" s="29"/>
      <c r="H839" s="29"/>
      <c r="I839" s="29"/>
      <c r="J839" s="29"/>
      <c r="K839" s="30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30"/>
      <c r="Z839" s="29"/>
      <c r="AA839" s="29"/>
      <c r="AB839" s="29"/>
      <c r="AC839" s="29"/>
      <c r="AD839" s="29"/>
      <c r="AE839" s="30"/>
      <c r="AF839" s="29"/>
      <c r="AG839" s="30"/>
      <c r="AH839" s="29"/>
      <c r="AI839" s="30"/>
      <c r="AJ839" s="29"/>
      <c r="AK839" s="30"/>
      <c r="AL839" s="29"/>
      <c r="AM839" s="29"/>
      <c r="AN839" s="29"/>
      <c r="AO839" s="29"/>
      <c r="AP839" s="29"/>
      <c r="AQ839" s="29"/>
      <c r="AR839" s="29"/>
      <c r="AS839" s="29"/>
      <c r="AT839" s="29"/>
      <c r="AU839" s="82"/>
      <c r="AV839" s="29"/>
      <c r="AW839" s="29"/>
      <c r="AX839" s="29"/>
      <c r="AY839" s="29"/>
      <c r="AZ839" s="29"/>
      <c r="BA839" s="30"/>
      <c r="BB839" s="29"/>
      <c r="BC839" s="29"/>
      <c r="BD839" s="29"/>
      <c r="BE839" s="29"/>
      <c r="BF839" s="29"/>
      <c r="BG839" s="29"/>
      <c r="BH839" s="29"/>
      <c r="BI839" s="29"/>
      <c r="BJ839" s="29"/>
      <c r="BK839" s="145"/>
      <c r="BL839" s="29"/>
      <c r="BM839" s="29"/>
      <c r="BN839" s="20">
        <f t="shared" si="106"/>
        <v>0</v>
      </c>
      <c r="BO839" s="20">
        <f t="shared" si="107"/>
        <v>0</v>
      </c>
      <c r="BP839" s="20">
        <f t="shared" si="108"/>
        <v>215</v>
      </c>
      <c r="BQ839" s="51">
        <f t="shared" si="110"/>
        <v>68.8</v>
      </c>
      <c r="BR839" s="56" t="s">
        <v>138</v>
      </c>
      <c r="BS839" s="91" t="s">
        <v>586</v>
      </c>
      <c r="BT839" s="57"/>
      <c r="BU839" s="35" t="s">
        <v>1317</v>
      </c>
    </row>
    <row r="840" s="1" customFormat="1" customHeight="1" spans="1:73">
      <c r="A840" s="15" t="s">
        <v>1308</v>
      </c>
      <c r="B840" s="15">
        <v>330</v>
      </c>
      <c r="C840" s="16">
        <v>100</v>
      </c>
      <c r="D840" s="29"/>
      <c r="E840" s="29"/>
      <c r="F840" s="29"/>
      <c r="G840" s="29"/>
      <c r="H840" s="29"/>
      <c r="I840" s="29"/>
      <c r="J840" s="29"/>
      <c r="K840" s="30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30"/>
      <c r="Z840" s="29"/>
      <c r="AA840" s="29"/>
      <c r="AB840" s="29"/>
      <c r="AC840" s="29"/>
      <c r="AD840" s="29"/>
      <c r="AE840" s="30"/>
      <c r="AF840" s="29"/>
      <c r="AG840" s="30"/>
      <c r="AH840" s="29"/>
      <c r="AI840" s="30"/>
      <c r="AJ840" s="29"/>
      <c r="AK840" s="30"/>
      <c r="AL840" s="29"/>
      <c r="AM840" s="29"/>
      <c r="AN840" s="29"/>
      <c r="AO840" s="29"/>
      <c r="AP840" s="29"/>
      <c r="AQ840" s="29"/>
      <c r="AR840" s="29"/>
      <c r="AS840" s="29"/>
      <c r="AT840" s="29"/>
      <c r="AU840" s="82"/>
      <c r="AV840" s="29"/>
      <c r="AW840" s="29"/>
      <c r="AX840" s="29"/>
      <c r="AY840" s="29"/>
      <c r="AZ840" s="29"/>
      <c r="BA840" s="30"/>
      <c r="BB840" s="29"/>
      <c r="BC840" s="29"/>
      <c r="BD840" s="29"/>
      <c r="BE840" s="29"/>
      <c r="BF840" s="29"/>
      <c r="BG840" s="29"/>
      <c r="BH840" s="29"/>
      <c r="BI840" s="29"/>
      <c r="BJ840" s="29"/>
      <c r="BK840" s="145"/>
      <c r="BL840" s="29"/>
      <c r="BM840" s="29"/>
      <c r="BN840" s="20">
        <f t="shared" si="106"/>
        <v>0</v>
      </c>
      <c r="BO840" s="20">
        <f t="shared" si="107"/>
        <v>0</v>
      </c>
      <c r="BP840" s="20">
        <f t="shared" si="108"/>
        <v>100</v>
      </c>
      <c r="BQ840" s="51">
        <f t="shared" si="110"/>
        <v>33</v>
      </c>
      <c r="BR840" s="56" t="s">
        <v>836</v>
      </c>
      <c r="BS840" s="121" t="s">
        <v>837</v>
      </c>
      <c r="BT840" s="96"/>
      <c r="BU840" s="35" t="s">
        <v>1317</v>
      </c>
    </row>
    <row r="841" s="1" customFormat="1" customHeight="1" spans="1:73">
      <c r="A841" s="53" t="s">
        <v>1320</v>
      </c>
      <c r="B841" s="15"/>
      <c r="C841" s="16"/>
      <c r="D841" s="29"/>
      <c r="E841" s="30"/>
      <c r="F841" s="29"/>
      <c r="G841" s="30"/>
      <c r="H841" s="29"/>
      <c r="I841" s="29"/>
      <c r="J841" s="29"/>
      <c r="K841" s="30"/>
      <c r="L841" s="29"/>
      <c r="M841" s="30"/>
      <c r="N841" s="29"/>
      <c r="O841" s="29"/>
      <c r="P841" s="29"/>
      <c r="Q841" s="30"/>
      <c r="R841" s="29"/>
      <c r="S841" s="29"/>
      <c r="T841" s="29"/>
      <c r="U841" s="30"/>
      <c r="V841" s="29"/>
      <c r="W841" s="30"/>
      <c r="X841" s="29"/>
      <c r="Y841" s="30"/>
      <c r="Z841" s="29"/>
      <c r="AA841" s="29"/>
      <c r="AB841" s="29"/>
      <c r="AC841" s="29"/>
      <c r="AD841" s="29"/>
      <c r="AE841" s="29"/>
      <c r="AF841" s="29"/>
      <c r="AG841" s="30"/>
      <c r="AH841" s="29"/>
      <c r="AI841" s="29"/>
      <c r="AJ841" s="29"/>
      <c r="AK841" s="82"/>
      <c r="AL841" s="29"/>
      <c r="AM841" s="29"/>
      <c r="AN841" s="29"/>
      <c r="AO841" s="29"/>
      <c r="AP841" s="29"/>
      <c r="AQ841" s="30"/>
      <c r="AR841" s="29"/>
      <c r="AS841" s="29"/>
      <c r="AT841" s="29"/>
      <c r="AU841" s="30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0">
        <f t="shared" si="106"/>
        <v>0</v>
      </c>
      <c r="BO841" s="20">
        <f t="shared" si="107"/>
        <v>0</v>
      </c>
      <c r="BP841" s="20">
        <f t="shared" si="108"/>
        <v>0</v>
      </c>
      <c r="BQ841" s="51"/>
      <c r="BR841" s="56"/>
      <c r="BS841" s="111"/>
      <c r="BT841" s="36"/>
      <c r="BU841" s="112"/>
    </row>
    <row r="842" s="1" customFormat="1" customHeight="1" spans="1:73">
      <c r="A842" s="15" t="s">
        <v>1321</v>
      </c>
      <c r="B842" s="15">
        <v>80</v>
      </c>
      <c r="C842" s="16">
        <v>280</v>
      </c>
      <c r="D842" s="29"/>
      <c r="E842" s="30"/>
      <c r="F842" s="29"/>
      <c r="G842" s="30"/>
      <c r="H842" s="29"/>
      <c r="I842" s="29"/>
      <c r="J842" s="29"/>
      <c r="K842" s="30"/>
      <c r="L842" s="29"/>
      <c r="M842" s="30"/>
      <c r="N842" s="29"/>
      <c r="O842" s="29"/>
      <c r="P842" s="29"/>
      <c r="Q842" s="30"/>
      <c r="R842" s="29"/>
      <c r="S842" s="29"/>
      <c r="T842" s="29"/>
      <c r="U842" s="30"/>
      <c r="V842" s="29"/>
      <c r="W842" s="30"/>
      <c r="X842" s="29"/>
      <c r="Y842" s="30"/>
      <c r="Z842" s="29"/>
      <c r="AA842" s="29"/>
      <c r="AB842" s="29"/>
      <c r="AC842" s="29"/>
      <c r="AD842" s="29"/>
      <c r="AE842" s="29"/>
      <c r="AF842" s="29"/>
      <c r="AG842" s="30"/>
      <c r="AH842" s="29"/>
      <c r="AI842" s="29"/>
      <c r="AJ842" s="29"/>
      <c r="AK842" s="82"/>
      <c r="AL842" s="29"/>
      <c r="AM842" s="29"/>
      <c r="AN842" s="29"/>
      <c r="AO842" s="29"/>
      <c r="AP842" s="29"/>
      <c r="AQ842" s="30"/>
      <c r="AR842" s="29"/>
      <c r="AS842" s="29"/>
      <c r="AT842" s="29"/>
      <c r="AU842" s="30"/>
      <c r="AV842" s="29"/>
      <c r="AW842" s="29"/>
      <c r="AX842" s="29"/>
      <c r="AY842" s="29"/>
      <c r="AZ842" s="29"/>
      <c r="BA842" s="29"/>
      <c r="BB842" s="29"/>
      <c r="BC842" s="82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0">
        <f t="shared" si="106"/>
        <v>0</v>
      </c>
      <c r="BO842" s="20">
        <f t="shared" si="107"/>
        <v>0</v>
      </c>
      <c r="BP842" s="20">
        <f t="shared" si="108"/>
        <v>280</v>
      </c>
      <c r="BQ842" s="51">
        <f t="shared" ref="BQ842:BQ848" si="111">B842*BP842/1000</f>
        <v>22.4</v>
      </c>
      <c r="BR842" s="56" t="s">
        <v>1322</v>
      </c>
      <c r="BS842" s="27" t="s">
        <v>1323</v>
      </c>
      <c r="BT842" s="36"/>
      <c r="BU842" s="35" t="s">
        <v>1324</v>
      </c>
    </row>
    <row r="843" s="1" customFormat="1" customHeight="1" spans="1:73">
      <c r="A843" s="15" t="s">
        <v>1321</v>
      </c>
      <c r="B843" s="15">
        <v>264</v>
      </c>
      <c r="C843" s="16">
        <v>13</v>
      </c>
      <c r="D843" s="29"/>
      <c r="E843" s="30"/>
      <c r="F843" s="29"/>
      <c r="G843" s="30"/>
      <c r="H843" s="29"/>
      <c r="I843" s="29"/>
      <c r="J843" s="29"/>
      <c r="K843" s="30"/>
      <c r="L843" s="29"/>
      <c r="M843" s="30"/>
      <c r="N843" s="29"/>
      <c r="O843" s="29"/>
      <c r="P843" s="29"/>
      <c r="Q843" s="30"/>
      <c r="R843" s="29"/>
      <c r="S843" s="29"/>
      <c r="T843" s="29"/>
      <c r="U843" s="30"/>
      <c r="V843" s="29"/>
      <c r="W843" s="30"/>
      <c r="X843" s="29"/>
      <c r="Y843" s="30"/>
      <c r="Z843" s="29"/>
      <c r="AA843" s="29"/>
      <c r="AB843" s="29"/>
      <c r="AC843" s="29"/>
      <c r="AD843" s="29"/>
      <c r="AE843" s="29"/>
      <c r="AF843" s="29"/>
      <c r="AG843" s="30"/>
      <c r="AH843" s="29"/>
      <c r="AI843" s="29"/>
      <c r="AJ843" s="29"/>
      <c r="AK843" s="82"/>
      <c r="AL843" s="29"/>
      <c r="AM843" s="29"/>
      <c r="AN843" s="29"/>
      <c r="AO843" s="29"/>
      <c r="AP843" s="29"/>
      <c r="AQ843" s="30"/>
      <c r="AR843" s="29"/>
      <c r="AS843" s="29"/>
      <c r="AT843" s="29"/>
      <c r="AU843" s="30"/>
      <c r="AV843" s="29"/>
      <c r="AW843" s="29"/>
      <c r="AX843" s="29"/>
      <c r="AY843" s="29"/>
      <c r="AZ843" s="29"/>
      <c r="BA843" s="29"/>
      <c r="BB843" s="29"/>
      <c r="BC843" s="82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0">
        <f t="shared" si="106"/>
        <v>0</v>
      </c>
      <c r="BO843" s="20">
        <f t="shared" si="107"/>
        <v>0</v>
      </c>
      <c r="BP843" s="20">
        <f t="shared" si="108"/>
        <v>13</v>
      </c>
      <c r="BQ843" s="51">
        <f t="shared" si="111"/>
        <v>3.432</v>
      </c>
      <c r="BR843" s="56" t="s">
        <v>488</v>
      </c>
      <c r="BS843" s="91" t="s">
        <v>1146</v>
      </c>
      <c r="BT843" s="36" t="s">
        <v>1325</v>
      </c>
      <c r="BU843" s="35" t="s">
        <v>1324</v>
      </c>
    </row>
    <row r="844" s="1" customFormat="1" customHeight="1" spans="1:73">
      <c r="A844" s="53" t="s">
        <v>1326</v>
      </c>
      <c r="B844" s="15"/>
      <c r="C844" s="16"/>
      <c r="D844" s="29"/>
      <c r="E844" s="30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30"/>
      <c r="AH844" s="29"/>
      <c r="AI844" s="29"/>
      <c r="AJ844" s="29"/>
      <c r="AK844" s="30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0">
        <f t="shared" si="106"/>
        <v>0</v>
      </c>
      <c r="BO844" s="20">
        <f t="shared" si="107"/>
        <v>0</v>
      </c>
      <c r="BP844" s="20">
        <f t="shared" si="108"/>
        <v>0</v>
      </c>
      <c r="BQ844" s="51"/>
      <c r="BR844" s="56"/>
      <c r="BS844" s="111"/>
      <c r="BT844" s="36"/>
      <c r="BU844" s="112"/>
    </row>
    <row r="845" s="1" customFormat="1" customHeight="1" spans="1:73">
      <c r="A845" s="15" t="s">
        <v>1327</v>
      </c>
      <c r="B845" s="15">
        <v>140</v>
      </c>
      <c r="C845" s="16">
        <v>16</v>
      </c>
      <c r="D845" s="29"/>
      <c r="E845" s="30"/>
      <c r="F845" s="29"/>
      <c r="G845" s="29"/>
      <c r="H845" s="29"/>
      <c r="I845" s="29"/>
      <c r="J845" s="29"/>
      <c r="K845" s="29"/>
      <c r="L845" s="29"/>
      <c r="M845" s="29"/>
      <c r="N845" s="29"/>
      <c r="O845" s="30"/>
      <c r="P845" s="29"/>
      <c r="Q845" s="30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30"/>
      <c r="AH845" s="29"/>
      <c r="AI845" s="29"/>
      <c r="AJ845" s="29"/>
      <c r="AK845" s="30"/>
      <c r="AL845" s="29"/>
      <c r="AM845" s="29"/>
      <c r="AN845" s="29"/>
      <c r="AO845" s="29"/>
      <c r="AP845" s="29"/>
      <c r="AQ845" s="30"/>
      <c r="AR845" s="29"/>
      <c r="AS845" s="29"/>
      <c r="AT845" s="29"/>
      <c r="AU845" s="29"/>
      <c r="AV845" s="29"/>
      <c r="AW845" s="29"/>
      <c r="AX845" s="29"/>
      <c r="AY845" s="30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82"/>
      <c r="BN845" s="20">
        <f t="shared" si="106"/>
        <v>0</v>
      </c>
      <c r="BO845" s="20">
        <f t="shared" si="107"/>
        <v>0</v>
      </c>
      <c r="BP845" s="20">
        <f t="shared" si="108"/>
        <v>16</v>
      </c>
      <c r="BQ845" s="55">
        <f t="shared" si="111"/>
        <v>2.24</v>
      </c>
      <c r="BR845" s="56" t="s">
        <v>1328</v>
      </c>
      <c r="BS845" s="91" t="s">
        <v>1329</v>
      </c>
      <c r="BT845" s="36"/>
      <c r="BU845" s="35" t="s">
        <v>1330</v>
      </c>
    </row>
    <row r="846" s="1" customFormat="1" customHeight="1" spans="1:73">
      <c r="A846" s="15" t="s">
        <v>1327</v>
      </c>
      <c r="B846" s="15">
        <v>155</v>
      </c>
      <c r="C846" s="16">
        <v>300</v>
      </c>
      <c r="D846" s="29"/>
      <c r="E846" s="30"/>
      <c r="F846" s="29"/>
      <c r="G846" s="29"/>
      <c r="H846" s="29"/>
      <c r="I846" s="29">
        <v>235</v>
      </c>
      <c r="J846" s="29"/>
      <c r="K846" s="29"/>
      <c r="L846" s="29"/>
      <c r="M846" s="29"/>
      <c r="N846" s="29"/>
      <c r="O846" s="29">
        <v>14</v>
      </c>
      <c r="P846" s="29"/>
      <c r="Q846" s="30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30"/>
      <c r="AH846" s="29"/>
      <c r="AI846" s="29"/>
      <c r="AJ846" s="29"/>
      <c r="AK846" s="30"/>
      <c r="AL846" s="29"/>
      <c r="AM846" s="29"/>
      <c r="AN846" s="29"/>
      <c r="AO846" s="29"/>
      <c r="AP846" s="29"/>
      <c r="AQ846" s="30"/>
      <c r="AR846" s="29"/>
      <c r="AS846" s="29"/>
      <c r="AT846" s="29"/>
      <c r="AU846" s="29"/>
      <c r="AV846" s="29"/>
      <c r="AW846" s="29"/>
      <c r="AX846" s="29"/>
      <c r="AY846" s="30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82"/>
      <c r="BN846" s="20">
        <f t="shared" si="106"/>
        <v>0</v>
      </c>
      <c r="BO846" s="20">
        <f t="shared" si="107"/>
        <v>249</v>
      </c>
      <c r="BP846" s="20">
        <f t="shared" si="108"/>
        <v>51</v>
      </c>
      <c r="BQ846" s="55">
        <f t="shared" si="111"/>
        <v>7.905</v>
      </c>
      <c r="BR846" s="56" t="s">
        <v>332</v>
      </c>
      <c r="BS846" s="91" t="s">
        <v>753</v>
      </c>
      <c r="BT846" s="36"/>
      <c r="BU846" s="35" t="s">
        <v>1330</v>
      </c>
    </row>
    <row r="847" s="1" customFormat="1" customHeight="1" spans="1:73">
      <c r="A847" s="15" t="s">
        <v>1327</v>
      </c>
      <c r="B847" s="15">
        <v>325</v>
      </c>
      <c r="C847" s="16">
        <v>300</v>
      </c>
      <c r="D847" s="29"/>
      <c r="E847" s="30"/>
      <c r="F847" s="29"/>
      <c r="G847" s="29"/>
      <c r="H847" s="29"/>
      <c r="I847" s="29">
        <v>236</v>
      </c>
      <c r="J847" s="29"/>
      <c r="K847" s="29"/>
      <c r="L847" s="29"/>
      <c r="M847" s="29"/>
      <c r="N847" s="29"/>
      <c r="O847" s="30"/>
      <c r="P847" s="29"/>
      <c r="Q847" s="30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30"/>
      <c r="AH847" s="29"/>
      <c r="AI847" s="29"/>
      <c r="AJ847" s="29"/>
      <c r="AK847" s="30"/>
      <c r="AL847" s="29"/>
      <c r="AM847" s="29"/>
      <c r="AN847" s="29"/>
      <c r="AO847" s="29"/>
      <c r="AP847" s="29"/>
      <c r="AQ847" s="30"/>
      <c r="AR847" s="29"/>
      <c r="AS847" s="29"/>
      <c r="AT847" s="29"/>
      <c r="AU847" s="29"/>
      <c r="AV847" s="29"/>
      <c r="AW847" s="29"/>
      <c r="AX847" s="29"/>
      <c r="AY847" s="30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82"/>
      <c r="BN847" s="20">
        <f t="shared" si="106"/>
        <v>0</v>
      </c>
      <c r="BO847" s="20">
        <f t="shared" si="107"/>
        <v>236</v>
      </c>
      <c r="BP847" s="20">
        <f t="shared" si="108"/>
        <v>64</v>
      </c>
      <c r="BQ847" s="55">
        <f t="shared" si="111"/>
        <v>20.8</v>
      </c>
      <c r="BR847" s="56" t="s">
        <v>332</v>
      </c>
      <c r="BS847" s="91" t="s">
        <v>753</v>
      </c>
      <c r="BT847" s="36"/>
      <c r="BU847" s="35" t="s">
        <v>1330</v>
      </c>
    </row>
    <row r="848" s="1" customFormat="1" customHeight="1" spans="1:73">
      <c r="A848" s="15" t="s">
        <v>1327</v>
      </c>
      <c r="B848" s="15">
        <v>480</v>
      </c>
      <c r="C848" s="16">
        <v>100</v>
      </c>
      <c r="D848" s="29"/>
      <c r="E848" s="30"/>
      <c r="F848" s="29"/>
      <c r="G848" s="29"/>
      <c r="H848" s="29"/>
      <c r="I848" s="29"/>
      <c r="J848" s="29"/>
      <c r="K848" s="29"/>
      <c r="L848" s="29"/>
      <c r="M848" s="29"/>
      <c r="N848" s="29"/>
      <c r="O848" s="30"/>
      <c r="P848" s="29"/>
      <c r="Q848" s="30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30"/>
      <c r="AH848" s="29"/>
      <c r="AI848" s="29"/>
      <c r="AJ848" s="29"/>
      <c r="AK848" s="30"/>
      <c r="AL848" s="29"/>
      <c r="AM848" s="29"/>
      <c r="AN848" s="29"/>
      <c r="AO848" s="29"/>
      <c r="AP848" s="29"/>
      <c r="AQ848" s="30"/>
      <c r="AR848" s="29"/>
      <c r="AS848" s="29"/>
      <c r="AT848" s="29"/>
      <c r="AU848" s="29"/>
      <c r="AV848" s="29"/>
      <c r="AW848" s="29"/>
      <c r="AX848" s="29"/>
      <c r="AY848" s="30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82"/>
      <c r="BN848" s="20">
        <f t="shared" si="106"/>
        <v>0</v>
      </c>
      <c r="BO848" s="20">
        <f t="shared" si="107"/>
        <v>0</v>
      </c>
      <c r="BP848" s="20">
        <f t="shared" si="108"/>
        <v>100</v>
      </c>
      <c r="BQ848" s="55">
        <f t="shared" si="111"/>
        <v>48</v>
      </c>
      <c r="BR848" s="56" t="s">
        <v>332</v>
      </c>
      <c r="BS848" s="91" t="s">
        <v>753</v>
      </c>
      <c r="BT848" s="36"/>
      <c r="BU848" s="35" t="s">
        <v>1330</v>
      </c>
    </row>
    <row r="849" s="1" customFormat="1" customHeight="1" spans="1:73">
      <c r="A849" s="53" t="s">
        <v>1331</v>
      </c>
      <c r="B849" s="15"/>
      <c r="C849" s="16"/>
      <c r="D849" s="29"/>
      <c r="E849" s="30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30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30"/>
      <c r="AH849" s="29"/>
      <c r="AI849" s="29"/>
      <c r="AJ849" s="29"/>
      <c r="AK849" s="30"/>
      <c r="AL849" s="29"/>
      <c r="AM849" s="29"/>
      <c r="AN849" s="29"/>
      <c r="AO849" s="29"/>
      <c r="AP849" s="29"/>
      <c r="AQ849" s="29"/>
      <c r="AR849" s="29"/>
      <c r="AS849" s="29"/>
      <c r="AT849" s="29"/>
      <c r="AU849" s="30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0">
        <f t="shared" si="106"/>
        <v>0</v>
      </c>
      <c r="BO849" s="20">
        <f t="shared" si="107"/>
        <v>0</v>
      </c>
      <c r="BP849" s="20">
        <f t="shared" si="108"/>
        <v>0</v>
      </c>
      <c r="BQ849" s="51"/>
      <c r="BR849" s="56"/>
      <c r="BS849" s="111"/>
      <c r="BT849" s="36"/>
      <c r="BU849" s="35"/>
    </row>
    <row r="850" s="1" customFormat="1" customHeight="1" spans="1:73">
      <c r="A850" s="15" t="s">
        <v>1332</v>
      </c>
      <c r="B850" s="15">
        <v>75</v>
      </c>
      <c r="C850" s="16">
        <v>157</v>
      </c>
      <c r="D850" s="29"/>
      <c r="E850" s="30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30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30"/>
      <c r="AH850" s="29"/>
      <c r="AI850" s="29"/>
      <c r="AJ850" s="29"/>
      <c r="AK850" s="30"/>
      <c r="AL850" s="29"/>
      <c r="AM850" s="29"/>
      <c r="AN850" s="29"/>
      <c r="AO850" s="29"/>
      <c r="AP850" s="29"/>
      <c r="AQ850" s="29"/>
      <c r="AR850" s="29"/>
      <c r="AS850" s="29"/>
      <c r="AT850" s="29"/>
      <c r="AU850" s="30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0">
        <f t="shared" si="106"/>
        <v>0</v>
      </c>
      <c r="BO850" s="20">
        <f t="shared" si="107"/>
        <v>0</v>
      </c>
      <c r="BP850" s="20">
        <f t="shared" si="108"/>
        <v>157</v>
      </c>
      <c r="BQ850" s="51">
        <f t="shared" ref="BQ850:BQ871" si="112">B850*BP850/1000</f>
        <v>11.775</v>
      </c>
      <c r="BR850" s="56" t="s">
        <v>994</v>
      </c>
      <c r="BS850" s="91" t="s">
        <v>753</v>
      </c>
      <c r="BT850" s="36"/>
      <c r="BU850" s="35"/>
    </row>
    <row r="851" s="1" customFormat="1" customHeight="1" spans="1:73">
      <c r="A851" s="15" t="s">
        <v>1332</v>
      </c>
      <c r="B851" s="15">
        <v>80</v>
      </c>
      <c r="C851" s="16">
        <v>114</v>
      </c>
      <c r="D851" s="29"/>
      <c r="E851" s="30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30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30"/>
      <c r="AH851" s="29"/>
      <c r="AI851" s="29"/>
      <c r="AJ851" s="29"/>
      <c r="AK851" s="30"/>
      <c r="AL851" s="29"/>
      <c r="AM851" s="29"/>
      <c r="AN851" s="29"/>
      <c r="AO851" s="29"/>
      <c r="AP851" s="29"/>
      <c r="AQ851" s="29"/>
      <c r="AR851" s="29"/>
      <c r="AS851" s="29"/>
      <c r="AT851" s="29"/>
      <c r="AU851" s="30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0">
        <f t="shared" si="106"/>
        <v>0</v>
      </c>
      <c r="BO851" s="20">
        <f t="shared" si="107"/>
        <v>0</v>
      </c>
      <c r="BP851" s="20">
        <f t="shared" si="108"/>
        <v>114</v>
      </c>
      <c r="BQ851" s="51">
        <f t="shared" si="112"/>
        <v>9.12</v>
      </c>
      <c r="BR851" s="56" t="s">
        <v>1333</v>
      </c>
      <c r="BS851" s="91" t="s">
        <v>1334</v>
      </c>
      <c r="BT851" s="36"/>
      <c r="BU851" s="35" t="s">
        <v>1335</v>
      </c>
    </row>
    <row r="852" s="1" customFormat="1" customHeight="1" spans="1:73">
      <c r="A852" s="15" t="s">
        <v>1332</v>
      </c>
      <c r="B852" s="15">
        <v>90</v>
      </c>
      <c r="C852" s="16">
        <v>27</v>
      </c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30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30"/>
      <c r="AH852" s="29"/>
      <c r="AI852" s="29"/>
      <c r="AJ852" s="29"/>
      <c r="AK852" s="30"/>
      <c r="AL852" s="29"/>
      <c r="AM852" s="29"/>
      <c r="AN852" s="29"/>
      <c r="AO852" s="29"/>
      <c r="AP852" s="29"/>
      <c r="AQ852" s="29"/>
      <c r="AR852" s="29"/>
      <c r="AS852" s="29"/>
      <c r="AT852" s="29"/>
      <c r="AU852" s="30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0">
        <f t="shared" si="106"/>
        <v>0</v>
      </c>
      <c r="BO852" s="20">
        <f t="shared" si="107"/>
        <v>0</v>
      </c>
      <c r="BP852" s="20">
        <f t="shared" si="108"/>
        <v>27</v>
      </c>
      <c r="BQ852" s="51">
        <f t="shared" si="112"/>
        <v>2.43</v>
      </c>
      <c r="BR852" s="56" t="s">
        <v>242</v>
      </c>
      <c r="BS852" s="91" t="s">
        <v>1336</v>
      </c>
      <c r="BT852" s="57"/>
      <c r="BU852" s="35" t="s">
        <v>1335</v>
      </c>
    </row>
    <row r="853" s="1" customFormat="1" customHeight="1" spans="1:73">
      <c r="A853" s="15" t="s">
        <v>1332</v>
      </c>
      <c r="B853" s="15">
        <v>94</v>
      </c>
      <c r="C853" s="16">
        <v>100</v>
      </c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30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30"/>
      <c r="AH853" s="29"/>
      <c r="AI853" s="29"/>
      <c r="AJ853" s="29"/>
      <c r="AK853" s="30"/>
      <c r="AL853" s="29"/>
      <c r="AM853" s="29"/>
      <c r="AN853" s="29"/>
      <c r="AO853" s="29"/>
      <c r="AP853" s="29"/>
      <c r="AQ853" s="29"/>
      <c r="AR853" s="29"/>
      <c r="AS853" s="29"/>
      <c r="AT853" s="29"/>
      <c r="AU853" s="30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0">
        <f t="shared" si="106"/>
        <v>0</v>
      </c>
      <c r="BO853" s="20">
        <f t="shared" si="107"/>
        <v>0</v>
      </c>
      <c r="BP853" s="20">
        <f t="shared" si="108"/>
        <v>100</v>
      </c>
      <c r="BQ853" s="51">
        <f t="shared" si="112"/>
        <v>9.4</v>
      </c>
      <c r="BR853" s="56" t="s">
        <v>242</v>
      </c>
      <c r="BS853" s="91" t="s">
        <v>1336</v>
      </c>
      <c r="BT853" s="57"/>
      <c r="BU853" s="35" t="s">
        <v>1335</v>
      </c>
    </row>
    <row r="854" s="1" customFormat="1" customHeight="1" spans="1:73">
      <c r="A854" s="15" t="s">
        <v>1332</v>
      </c>
      <c r="B854" s="15">
        <v>105</v>
      </c>
      <c r="C854" s="16">
        <v>113</v>
      </c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30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30"/>
      <c r="AH854" s="29"/>
      <c r="AI854" s="29"/>
      <c r="AJ854" s="29"/>
      <c r="AK854" s="30"/>
      <c r="AL854" s="29"/>
      <c r="AM854" s="29"/>
      <c r="AN854" s="29"/>
      <c r="AO854" s="29"/>
      <c r="AP854" s="29"/>
      <c r="AQ854" s="29"/>
      <c r="AR854" s="29"/>
      <c r="AS854" s="29"/>
      <c r="AT854" s="29"/>
      <c r="AU854" s="30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0">
        <f t="shared" si="106"/>
        <v>0</v>
      </c>
      <c r="BO854" s="20">
        <f t="shared" si="107"/>
        <v>0</v>
      </c>
      <c r="BP854" s="20">
        <f t="shared" si="108"/>
        <v>113</v>
      </c>
      <c r="BQ854" s="51">
        <f t="shared" si="112"/>
        <v>11.865</v>
      </c>
      <c r="BR854" s="56" t="s">
        <v>1314</v>
      </c>
      <c r="BS854" s="91" t="s">
        <v>753</v>
      </c>
      <c r="BT854" s="57"/>
      <c r="BU854" s="35" t="s">
        <v>1335</v>
      </c>
    </row>
    <row r="855" s="1" customFormat="1" customHeight="1" spans="1:73">
      <c r="A855" s="15" t="s">
        <v>1332</v>
      </c>
      <c r="B855" s="15">
        <v>130</v>
      </c>
      <c r="C855" s="16">
        <v>91</v>
      </c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30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30"/>
      <c r="AH855" s="29"/>
      <c r="AI855" s="29"/>
      <c r="AJ855" s="29"/>
      <c r="AK855" s="30"/>
      <c r="AL855" s="29"/>
      <c r="AM855" s="29"/>
      <c r="AN855" s="29"/>
      <c r="AO855" s="29"/>
      <c r="AP855" s="29"/>
      <c r="AQ855" s="29"/>
      <c r="AR855" s="29"/>
      <c r="AS855" s="29"/>
      <c r="AT855" s="29"/>
      <c r="AU855" s="30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0">
        <f t="shared" si="106"/>
        <v>0</v>
      </c>
      <c r="BO855" s="20">
        <f t="shared" si="107"/>
        <v>0</v>
      </c>
      <c r="BP855" s="20">
        <f t="shared" si="108"/>
        <v>91</v>
      </c>
      <c r="BQ855" s="51">
        <f t="shared" si="112"/>
        <v>11.83</v>
      </c>
      <c r="BR855" s="56" t="s">
        <v>1318</v>
      </c>
      <c r="BS855" s="91" t="s">
        <v>1319</v>
      </c>
      <c r="BT855" s="57"/>
      <c r="BU855" s="35" t="s">
        <v>1335</v>
      </c>
    </row>
    <row r="856" s="1" customFormat="1" customHeight="1" spans="1:73">
      <c r="A856" s="15" t="s">
        <v>1332</v>
      </c>
      <c r="B856" s="15">
        <v>155</v>
      </c>
      <c r="C856" s="16">
        <v>200</v>
      </c>
      <c r="D856" s="29"/>
      <c r="E856" s="29"/>
      <c r="F856" s="29"/>
      <c r="G856" s="29"/>
      <c r="H856" s="29"/>
      <c r="I856" s="29">
        <v>200</v>
      </c>
      <c r="J856" s="29"/>
      <c r="K856" s="29"/>
      <c r="L856" s="29"/>
      <c r="M856" s="29"/>
      <c r="N856" s="29"/>
      <c r="O856" s="29"/>
      <c r="P856" s="29"/>
      <c r="Q856" s="30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30"/>
      <c r="AH856" s="29"/>
      <c r="AI856" s="29"/>
      <c r="AJ856" s="29"/>
      <c r="AK856" s="30"/>
      <c r="AL856" s="29"/>
      <c r="AM856" s="29"/>
      <c r="AN856" s="29"/>
      <c r="AO856" s="29"/>
      <c r="AP856" s="29"/>
      <c r="AQ856" s="29"/>
      <c r="AR856" s="29"/>
      <c r="AS856" s="29"/>
      <c r="AT856" s="29"/>
      <c r="AU856" s="30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0">
        <f t="shared" si="106"/>
        <v>0</v>
      </c>
      <c r="BO856" s="20">
        <f t="shared" si="107"/>
        <v>200</v>
      </c>
      <c r="BP856" s="20">
        <f t="shared" si="108"/>
        <v>0</v>
      </c>
      <c r="BQ856" s="51">
        <f t="shared" si="112"/>
        <v>0</v>
      </c>
      <c r="BR856" s="56" t="s">
        <v>332</v>
      </c>
      <c r="BS856" s="91" t="s">
        <v>753</v>
      </c>
      <c r="BT856" s="57"/>
      <c r="BU856" s="35" t="s">
        <v>1335</v>
      </c>
    </row>
    <row r="857" s="1" customFormat="1" customHeight="1" spans="1:73">
      <c r="A857" s="15" t="s">
        <v>1332</v>
      </c>
      <c r="B857" s="15">
        <v>160</v>
      </c>
      <c r="C857" s="16">
        <v>59</v>
      </c>
      <c r="D857" s="29"/>
      <c r="E857" s="29"/>
      <c r="F857" s="29"/>
      <c r="G857" s="29"/>
      <c r="H857" s="29"/>
      <c r="I857" s="29">
        <v>35</v>
      </c>
      <c r="J857" s="29"/>
      <c r="K857" s="29"/>
      <c r="L857" s="29"/>
      <c r="M857" s="29"/>
      <c r="N857" s="29"/>
      <c r="O857" s="29">
        <v>14</v>
      </c>
      <c r="P857" s="29"/>
      <c r="Q857" s="30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30"/>
      <c r="AH857" s="29"/>
      <c r="AI857" s="29"/>
      <c r="AJ857" s="29"/>
      <c r="AK857" s="30"/>
      <c r="AL857" s="29"/>
      <c r="AM857" s="146"/>
      <c r="AN857" s="29"/>
      <c r="AO857" s="29"/>
      <c r="AP857" s="29"/>
      <c r="AQ857" s="29"/>
      <c r="AR857" s="29"/>
      <c r="AS857" s="29"/>
      <c r="AT857" s="29"/>
      <c r="AU857" s="30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0">
        <f t="shared" si="106"/>
        <v>0</v>
      </c>
      <c r="BO857" s="20">
        <f t="shared" si="107"/>
        <v>49</v>
      </c>
      <c r="BP857" s="20">
        <f t="shared" si="108"/>
        <v>10</v>
      </c>
      <c r="BQ857" s="51">
        <f t="shared" si="112"/>
        <v>1.6</v>
      </c>
      <c r="BR857" s="56" t="s">
        <v>833</v>
      </c>
      <c r="BS857" s="91" t="s">
        <v>834</v>
      </c>
      <c r="BT857" s="57"/>
      <c r="BU857" s="35" t="s">
        <v>1335</v>
      </c>
    </row>
    <row r="858" s="1" customFormat="1" customHeight="1" spans="1:73">
      <c r="A858" s="15" t="s">
        <v>1332</v>
      </c>
      <c r="B858" s="15">
        <v>175</v>
      </c>
      <c r="C858" s="16">
        <v>70</v>
      </c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30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30"/>
      <c r="AH858" s="29"/>
      <c r="AI858" s="29"/>
      <c r="AJ858" s="29"/>
      <c r="AK858" s="30"/>
      <c r="AL858" s="29"/>
      <c r="AM858" s="29"/>
      <c r="AN858" s="29"/>
      <c r="AO858" s="29"/>
      <c r="AP858" s="29"/>
      <c r="AQ858" s="29"/>
      <c r="AR858" s="29"/>
      <c r="AS858" s="29"/>
      <c r="AT858" s="29"/>
      <c r="AU858" s="30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0">
        <f t="shared" si="106"/>
        <v>0</v>
      </c>
      <c r="BO858" s="20">
        <f t="shared" si="107"/>
        <v>0</v>
      </c>
      <c r="BP858" s="20">
        <f t="shared" si="108"/>
        <v>70</v>
      </c>
      <c r="BQ858" s="51">
        <f t="shared" si="112"/>
        <v>12.25</v>
      </c>
      <c r="BR858" s="56" t="s">
        <v>1318</v>
      </c>
      <c r="BS858" s="91" t="s">
        <v>1319</v>
      </c>
      <c r="BT858" s="57"/>
      <c r="BU858" s="35" t="s">
        <v>1335</v>
      </c>
    </row>
    <row r="859" s="1" customFormat="1" customHeight="1" spans="1:73">
      <c r="A859" s="15" t="s">
        <v>1332</v>
      </c>
      <c r="B859" s="15">
        <v>190</v>
      </c>
      <c r="C859" s="16">
        <v>61.5</v>
      </c>
      <c r="D859" s="29"/>
      <c r="E859" s="29"/>
      <c r="F859" s="29"/>
      <c r="G859" s="29"/>
      <c r="H859" s="29"/>
      <c r="I859" s="29"/>
      <c r="J859" s="29"/>
      <c r="K859" s="29">
        <v>61.5</v>
      </c>
      <c r="L859" s="29"/>
      <c r="M859" s="29"/>
      <c r="N859" s="29"/>
      <c r="O859" s="29"/>
      <c r="P859" s="29"/>
      <c r="Q859" s="30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30"/>
      <c r="AH859" s="29"/>
      <c r="AI859" s="29"/>
      <c r="AJ859" s="29"/>
      <c r="AK859" s="30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0">
        <f t="shared" si="106"/>
        <v>0</v>
      </c>
      <c r="BO859" s="20">
        <f t="shared" si="107"/>
        <v>61.5</v>
      </c>
      <c r="BP859" s="20">
        <f t="shared" si="108"/>
        <v>0</v>
      </c>
      <c r="BQ859" s="51">
        <f t="shared" si="112"/>
        <v>0</v>
      </c>
      <c r="BR859" s="56" t="s">
        <v>994</v>
      </c>
      <c r="BS859" s="91" t="s">
        <v>995</v>
      </c>
      <c r="BT859" s="57"/>
      <c r="BU859" s="35" t="s">
        <v>1335</v>
      </c>
    </row>
    <row r="860" s="1" customFormat="1" customHeight="1" spans="1:73">
      <c r="A860" s="15" t="s">
        <v>1332</v>
      </c>
      <c r="B860" s="15">
        <v>200</v>
      </c>
      <c r="C860" s="16">
        <v>0</v>
      </c>
      <c r="D860" s="29"/>
      <c r="E860" s="29"/>
      <c r="F860" s="29"/>
      <c r="G860" s="29"/>
      <c r="H860" s="29"/>
      <c r="I860" s="29"/>
      <c r="J860" s="29">
        <v>16</v>
      </c>
      <c r="K860" s="29">
        <v>16</v>
      </c>
      <c r="L860" s="29"/>
      <c r="M860" s="29"/>
      <c r="N860" s="29"/>
      <c r="O860" s="29"/>
      <c r="P860" s="29"/>
      <c r="Q860" s="30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30"/>
      <c r="AH860" s="29"/>
      <c r="AI860" s="29"/>
      <c r="AJ860" s="29"/>
      <c r="AK860" s="30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0">
        <f t="shared" si="106"/>
        <v>16</v>
      </c>
      <c r="BO860" s="20">
        <f t="shared" si="107"/>
        <v>16</v>
      </c>
      <c r="BP860" s="20">
        <f t="shared" si="108"/>
        <v>0</v>
      </c>
      <c r="BQ860" s="51">
        <f t="shared" si="112"/>
        <v>0</v>
      </c>
      <c r="BR860" s="56" t="s">
        <v>384</v>
      </c>
      <c r="BS860" s="91" t="s">
        <v>736</v>
      </c>
      <c r="BT860" s="57"/>
      <c r="BU860" s="35" t="s">
        <v>1335</v>
      </c>
    </row>
    <row r="861" s="1" customFormat="1" customHeight="1" spans="1:73">
      <c r="A861" s="39" t="s">
        <v>1332</v>
      </c>
      <c r="B861" s="15">
        <v>206</v>
      </c>
      <c r="C861" s="29">
        <v>36</v>
      </c>
      <c r="D861" s="29"/>
      <c r="E861" s="29"/>
      <c r="F861" s="29"/>
      <c r="G861" s="29"/>
      <c r="H861" s="29"/>
      <c r="I861" s="29"/>
      <c r="J861" s="29"/>
      <c r="K861" s="29"/>
      <c r="L861" s="29"/>
      <c r="M861" s="29">
        <v>2</v>
      </c>
      <c r="N861" s="29"/>
      <c r="O861" s="29"/>
      <c r="P861" s="29"/>
      <c r="Q861" s="30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30"/>
      <c r="AH861" s="29"/>
      <c r="AI861" s="29"/>
      <c r="AJ861" s="29"/>
      <c r="AK861" s="30"/>
      <c r="AL861" s="29"/>
      <c r="AM861" s="29"/>
      <c r="AN861" s="29"/>
      <c r="AO861" s="29"/>
      <c r="AP861" s="29"/>
      <c r="AQ861" s="29"/>
      <c r="AR861" s="29"/>
      <c r="AS861" s="29"/>
      <c r="AT861" s="29"/>
      <c r="AU861" s="30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0">
        <f t="shared" si="106"/>
        <v>0</v>
      </c>
      <c r="BO861" s="20">
        <f t="shared" si="107"/>
        <v>2</v>
      </c>
      <c r="BP861" s="20">
        <f t="shared" si="108"/>
        <v>34</v>
      </c>
      <c r="BQ861" s="51">
        <f t="shared" si="112"/>
        <v>7.004</v>
      </c>
      <c r="BR861" s="56" t="s">
        <v>309</v>
      </c>
      <c r="BS861" s="91" t="s">
        <v>1337</v>
      </c>
      <c r="BT861" s="57"/>
      <c r="BU861" s="35" t="s">
        <v>1338</v>
      </c>
    </row>
    <row r="862" s="1" customFormat="1" customHeight="1" spans="1:73">
      <c r="A862" s="15" t="s">
        <v>1332</v>
      </c>
      <c r="B862" s="15">
        <v>230</v>
      </c>
      <c r="C862" s="16">
        <v>12</v>
      </c>
      <c r="D862" s="29"/>
      <c r="E862" s="29"/>
      <c r="F862" s="29"/>
      <c r="G862" s="29"/>
      <c r="H862" s="29"/>
      <c r="I862" s="29"/>
      <c r="J862" s="29"/>
      <c r="K862" s="29"/>
      <c r="L862" s="29"/>
      <c r="M862" s="29">
        <v>2</v>
      </c>
      <c r="N862" s="29"/>
      <c r="O862" s="29"/>
      <c r="P862" s="29"/>
      <c r="Q862" s="30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30"/>
      <c r="AH862" s="29"/>
      <c r="AI862" s="29"/>
      <c r="AJ862" s="29"/>
      <c r="AK862" s="30"/>
      <c r="AL862" s="29"/>
      <c r="AM862" s="29"/>
      <c r="AN862" s="29"/>
      <c r="AO862" s="29"/>
      <c r="AP862" s="29"/>
      <c r="AQ862" s="29"/>
      <c r="AR862" s="29"/>
      <c r="AS862" s="29"/>
      <c r="AT862" s="29"/>
      <c r="AU862" s="30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0">
        <f t="shared" si="106"/>
        <v>0</v>
      </c>
      <c r="BO862" s="20">
        <f t="shared" si="107"/>
        <v>2</v>
      </c>
      <c r="BP862" s="20">
        <f t="shared" si="108"/>
        <v>10</v>
      </c>
      <c r="BQ862" s="51">
        <f t="shared" si="112"/>
        <v>2.3</v>
      </c>
      <c r="BR862" s="68" t="s">
        <v>1312</v>
      </c>
      <c r="BS862" s="91" t="s">
        <v>1313</v>
      </c>
      <c r="BT862" s="57"/>
      <c r="BU862" s="44" t="s">
        <v>1338</v>
      </c>
    </row>
    <row r="863" s="1" customFormat="1" customHeight="1" spans="1:73">
      <c r="A863" s="15" t="s">
        <v>1332</v>
      </c>
      <c r="B863" s="15">
        <v>235</v>
      </c>
      <c r="C863" s="16">
        <v>60</v>
      </c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30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30"/>
      <c r="AH863" s="29"/>
      <c r="AI863" s="29"/>
      <c r="AJ863" s="29"/>
      <c r="AK863" s="30"/>
      <c r="AL863" s="29"/>
      <c r="AM863" s="29"/>
      <c r="AN863" s="29"/>
      <c r="AO863" s="29"/>
      <c r="AP863" s="29"/>
      <c r="AQ863" s="29"/>
      <c r="AR863" s="29"/>
      <c r="AS863" s="29"/>
      <c r="AT863" s="29"/>
      <c r="AU863" s="30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0">
        <f t="shared" si="106"/>
        <v>0</v>
      </c>
      <c r="BO863" s="20">
        <f t="shared" si="107"/>
        <v>0</v>
      </c>
      <c r="BP863" s="20">
        <f t="shared" si="108"/>
        <v>60</v>
      </c>
      <c r="BQ863" s="51">
        <f t="shared" si="112"/>
        <v>14.1</v>
      </c>
      <c r="BR863" s="56" t="s">
        <v>420</v>
      </c>
      <c r="BS863" s="91" t="s">
        <v>1214</v>
      </c>
      <c r="BT863" s="57"/>
      <c r="BU863" s="35" t="s">
        <v>1338</v>
      </c>
    </row>
    <row r="864" s="1" customFormat="1" customHeight="1" spans="1:73">
      <c r="A864" s="15" t="s">
        <v>1332</v>
      </c>
      <c r="B864" s="15">
        <v>240</v>
      </c>
      <c r="C864" s="16">
        <v>22</v>
      </c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30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30"/>
      <c r="AH864" s="29"/>
      <c r="AI864" s="29"/>
      <c r="AJ864" s="29"/>
      <c r="AK864" s="30"/>
      <c r="AL864" s="29"/>
      <c r="AM864" s="29"/>
      <c r="AN864" s="29"/>
      <c r="AO864" s="29"/>
      <c r="AP864" s="29"/>
      <c r="AQ864" s="29"/>
      <c r="AR864" s="29"/>
      <c r="AS864" s="29"/>
      <c r="AT864" s="29"/>
      <c r="AU864" s="30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0">
        <f t="shared" si="106"/>
        <v>0</v>
      </c>
      <c r="BO864" s="20">
        <f t="shared" si="107"/>
        <v>0</v>
      </c>
      <c r="BP864" s="20">
        <f t="shared" si="108"/>
        <v>22</v>
      </c>
      <c r="BQ864" s="51">
        <f t="shared" si="112"/>
        <v>5.28</v>
      </c>
      <c r="BR864" s="56" t="s">
        <v>1318</v>
      </c>
      <c r="BS864" s="91" t="s">
        <v>1319</v>
      </c>
      <c r="BT864" s="57"/>
      <c r="BU864" s="35" t="s">
        <v>1338</v>
      </c>
    </row>
    <row r="865" s="1" customFormat="1" customHeight="1" spans="1:73">
      <c r="A865" s="39" t="s">
        <v>1332</v>
      </c>
      <c r="B865" s="39">
        <v>250</v>
      </c>
      <c r="C865" s="29">
        <v>28</v>
      </c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30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30"/>
      <c r="AH865" s="29"/>
      <c r="AI865" s="29"/>
      <c r="AJ865" s="29"/>
      <c r="AK865" s="30"/>
      <c r="AL865" s="29"/>
      <c r="AM865" s="29"/>
      <c r="AN865" s="29"/>
      <c r="AO865" s="29"/>
      <c r="AP865" s="29"/>
      <c r="AQ865" s="29"/>
      <c r="AR865" s="29"/>
      <c r="AS865" s="29"/>
      <c r="AT865" s="29"/>
      <c r="AU865" s="30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0">
        <f t="shared" si="106"/>
        <v>0</v>
      </c>
      <c r="BO865" s="20">
        <f t="shared" si="107"/>
        <v>0</v>
      </c>
      <c r="BP865" s="20">
        <f t="shared" si="108"/>
        <v>28</v>
      </c>
      <c r="BQ865" s="51">
        <f t="shared" si="112"/>
        <v>7</v>
      </c>
      <c r="BR865" s="68" t="s">
        <v>1312</v>
      </c>
      <c r="BS865" s="91" t="s">
        <v>1313</v>
      </c>
      <c r="BT865" s="79" t="s">
        <v>1339</v>
      </c>
      <c r="BU865" s="44" t="s">
        <v>1338</v>
      </c>
    </row>
    <row r="866" s="1" customFormat="1" customHeight="1" spans="1:73">
      <c r="A866" s="15" t="s">
        <v>1332</v>
      </c>
      <c r="B866" s="15">
        <v>260</v>
      </c>
      <c r="C866" s="16">
        <v>100</v>
      </c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30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30"/>
      <c r="AH866" s="29"/>
      <c r="AI866" s="29"/>
      <c r="AJ866" s="29"/>
      <c r="AK866" s="30"/>
      <c r="AL866" s="29"/>
      <c r="AM866" s="29"/>
      <c r="AN866" s="29"/>
      <c r="AO866" s="29"/>
      <c r="AP866" s="29"/>
      <c r="AQ866" s="29"/>
      <c r="AR866" s="29"/>
      <c r="AS866" s="29"/>
      <c r="AT866" s="29"/>
      <c r="AU866" s="30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0">
        <f t="shared" si="106"/>
        <v>0</v>
      </c>
      <c r="BO866" s="20">
        <f t="shared" si="107"/>
        <v>0</v>
      </c>
      <c r="BP866" s="20">
        <f t="shared" si="108"/>
        <v>100</v>
      </c>
      <c r="BQ866" s="51">
        <f t="shared" si="112"/>
        <v>26</v>
      </c>
      <c r="BR866" s="56" t="s">
        <v>1314</v>
      </c>
      <c r="BS866" s="91" t="s">
        <v>1315</v>
      </c>
      <c r="BT866" s="57"/>
      <c r="BU866" s="35" t="s">
        <v>1338</v>
      </c>
    </row>
    <row r="867" s="1" customFormat="1" customHeight="1" spans="1:73">
      <c r="A867" s="15" t="s">
        <v>1332</v>
      </c>
      <c r="B867" s="15">
        <v>270</v>
      </c>
      <c r="C867" s="16">
        <v>135</v>
      </c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30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30"/>
      <c r="AH867" s="29"/>
      <c r="AI867" s="29"/>
      <c r="AJ867" s="29"/>
      <c r="AK867" s="30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0">
        <f t="shared" si="106"/>
        <v>0</v>
      </c>
      <c r="BO867" s="20">
        <f t="shared" si="107"/>
        <v>0</v>
      </c>
      <c r="BP867" s="20">
        <f t="shared" si="108"/>
        <v>135</v>
      </c>
      <c r="BQ867" s="51">
        <f t="shared" si="112"/>
        <v>36.45</v>
      </c>
      <c r="BR867" s="56" t="s">
        <v>1290</v>
      </c>
      <c r="BS867" s="91" t="s">
        <v>837</v>
      </c>
      <c r="BT867" s="57"/>
      <c r="BU867" s="35" t="s">
        <v>1338</v>
      </c>
    </row>
    <row r="868" s="1" customFormat="1" customHeight="1" spans="1:73">
      <c r="A868" s="15" t="s">
        <v>1332</v>
      </c>
      <c r="B868" s="15">
        <v>280</v>
      </c>
      <c r="C868" s="16">
        <v>366</v>
      </c>
      <c r="D868" s="29"/>
      <c r="E868" s="29"/>
      <c r="F868" s="29"/>
      <c r="G868" s="29"/>
      <c r="H868" s="29"/>
      <c r="I868" s="29"/>
      <c r="J868" s="29"/>
      <c r="K868" s="29">
        <v>211</v>
      </c>
      <c r="L868" s="29"/>
      <c r="M868" s="29"/>
      <c r="N868" s="29"/>
      <c r="O868" s="29"/>
      <c r="P868" s="29"/>
      <c r="Q868" s="30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30"/>
      <c r="AH868" s="29"/>
      <c r="AI868" s="29"/>
      <c r="AJ868" s="29"/>
      <c r="AK868" s="30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0">
        <f t="shared" si="106"/>
        <v>0</v>
      </c>
      <c r="BO868" s="20">
        <f t="shared" si="107"/>
        <v>211</v>
      </c>
      <c r="BP868" s="20">
        <f t="shared" si="108"/>
        <v>155</v>
      </c>
      <c r="BQ868" s="51">
        <f t="shared" si="112"/>
        <v>43.4</v>
      </c>
      <c r="BR868" s="56" t="s">
        <v>688</v>
      </c>
      <c r="BS868" s="91" t="s">
        <v>753</v>
      </c>
      <c r="BT868" s="57"/>
      <c r="BU868" s="35" t="s">
        <v>1338</v>
      </c>
    </row>
    <row r="869" s="1" customFormat="1" customHeight="1" spans="1:73">
      <c r="A869" s="15" t="s">
        <v>1332</v>
      </c>
      <c r="B869" s="15">
        <v>290</v>
      </c>
      <c r="C869" s="16">
        <v>57</v>
      </c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30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30"/>
      <c r="AH869" s="29"/>
      <c r="AI869" s="29"/>
      <c r="AJ869" s="29"/>
      <c r="AK869" s="30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0">
        <f t="shared" si="106"/>
        <v>0</v>
      </c>
      <c r="BO869" s="20">
        <f t="shared" si="107"/>
        <v>0</v>
      </c>
      <c r="BP869" s="20">
        <f t="shared" si="108"/>
        <v>57</v>
      </c>
      <c r="BQ869" s="51">
        <f t="shared" si="112"/>
        <v>16.53</v>
      </c>
      <c r="BR869" s="56" t="s">
        <v>420</v>
      </c>
      <c r="BS869" s="91" t="s">
        <v>821</v>
      </c>
      <c r="BT869" s="57"/>
      <c r="BU869" s="35" t="s">
        <v>1338</v>
      </c>
    </row>
    <row r="870" s="1" customFormat="1" customHeight="1" spans="1:73">
      <c r="A870" s="15" t="s">
        <v>1332</v>
      </c>
      <c r="B870" s="15">
        <v>294</v>
      </c>
      <c r="C870" s="16">
        <v>332</v>
      </c>
      <c r="D870" s="29"/>
      <c r="E870" s="29"/>
      <c r="F870" s="29"/>
      <c r="G870" s="29"/>
      <c r="H870" s="29"/>
      <c r="I870" s="29"/>
      <c r="J870" s="29"/>
      <c r="K870" s="29">
        <v>315</v>
      </c>
      <c r="L870" s="29"/>
      <c r="M870" s="29"/>
      <c r="N870" s="29"/>
      <c r="O870" s="29"/>
      <c r="P870" s="29"/>
      <c r="Q870" s="30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30"/>
      <c r="AH870" s="29"/>
      <c r="AI870" s="29"/>
      <c r="AJ870" s="29"/>
      <c r="AK870" s="30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0">
        <f t="shared" si="106"/>
        <v>0</v>
      </c>
      <c r="BO870" s="20">
        <f t="shared" si="107"/>
        <v>315</v>
      </c>
      <c r="BP870" s="20">
        <f t="shared" si="108"/>
        <v>17</v>
      </c>
      <c r="BQ870" s="51">
        <f t="shared" si="112"/>
        <v>4.998</v>
      </c>
      <c r="BR870" s="56" t="s">
        <v>994</v>
      </c>
      <c r="BS870" s="91" t="s">
        <v>753</v>
      </c>
      <c r="BT870" s="57"/>
      <c r="BU870" s="35" t="s">
        <v>1338</v>
      </c>
    </row>
    <row r="871" s="1" customFormat="1" customHeight="1" spans="1:73">
      <c r="A871" s="15" t="s">
        <v>1332</v>
      </c>
      <c r="B871" s="15">
        <v>304</v>
      </c>
      <c r="C871" s="16">
        <v>6</v>
      </c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30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30"/>
      <c r="AH871" s="29"/>
      <c r="AI871" s="29"/>
      <c r="AJ871" s="29"/>
      <c r="AK871" s="30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0">
        <f t="shared" si="106"/>
        <v>0</v>
      </c>
      <c r="BO871" s="20">
        <f t="shared" si="107"/>
        <v>0</v>
      </c>
      <c r="BP871" s="20">
        <f t="shared" si="108"/>
        <v>6</v>
      </c>
      <c r="BQ871" s="51">
        <f t="shared" si="112"/>
        <v>1.824</v>
      </c>
      <c r="BR871" s="56" t="s">
        <v>683</v>
      </c>
      <c r="BS871" s="91" t="s">
        <v>684</v>
      </c>
      <c r="BT871" s="57"/>
      <c r="BU871" s="35" t="s">
        <v>1338</v>
      </c>
    </row>
    <row r="872" s="1" customFormat="1" customHeight="1" spans="1:73">
      <c r="A872" s="53" t="s">
        <v>1340</v>
      </c>
      <c r="B872" s="15"/>
      <c r="C872" s="16"/>
      <c r="D872" s="29"/>
      <c r="E872" s="30"/>
      <c r="F872" s="29"/>
      <c r="G872" s="29"/>
      <c r="H872" s="29"/>
      <c r="I872" s="30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30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30"/>
      <c r="AH872" s="29"/>
      <c r="AI872" s="29"/>
      <c r="AJ872" s="29"/>
      <c r="AK872" s="30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30"/>
      <c r="BF872" s="29"/>
      <c r="BG872" s="29"/>
      <c r="BH872" s="29"/>
      <c r="BI872" s="29"/>
      <c r="BJ872" s="29"/>
      <c r="BK872" s="29"/>
      <c r="BL872" s="29"/>
      <c r="BM872" s="29"/>
      <c r="BN872" s="20">
        <f t="shared" si="106"/>
        <v>0</v>
      </c>
      <c r="BO872" s="20">
        <f t="shared" si="107"/>
        <v>0</v>
      </c>
      <c r="BP872" s="20">
        <f t="shared" si="108"/>
        <v>0</v>
      </c>
      <c r="BQ872" s="51"/>
      <c r="BR872" s="56"/>
      <c r="BS872" s="111"/>
      <c r="BT872" s="36"/>
      <c r="BU872" s="112"/>
    </row>
    <row r="873" s="1" customFormat="1" customHeight="1" spans="1:73">
      <c r="A873" s="15" t="s">
        <v>1341</v>
      </c>
      <c r="B873" s="15">
        <v>105</v>
      </c>
      <c r="C873" s="16">
        <v>94</v>
      </c>
      <c r="D873" s="29"/>
      <c r="E873" s="101"/>
      <c r="F873" s="29"/>
      <c r="G873" s="88"/>
      <c r="H873" s="29"/>
      <c r="I873" s="30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30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30"/>
      <c r="AH873" s="29"/>
      <c r="AI873" s="29"/>
      <c r="AJ873" s="29"/>
      <c r="AK873" s="30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30"/>
      <c r="BF873" s="29"/>
      <c r="BG873" s="29"/>
      <c r="BH873" s="29"/>
      <c r="BI873" s="29"/>
      <c r="BJ873" s="29"/>
      <c r="BK873" s="29"/>
      <c r="BL873" s="29"/>
      <c r="BM873" s="29"/>
      <c r="BN873" s="20">
        <f t="shared" ref="BN873:BN936" si="113">D873+F873+H873+J873+L873+N873+P873+R873+T873+V873+X873+Z873+AB873+AD873+AF873+AH873+AJ873+AL873+AN873+AP873+AR873+AT873+AV873+AX873+AZ873+BB873+BD873+BF873+BH873+BJ873+BL873</f>
        <v>0</v>
      </c>
      <c r="BO873" s="20">
        <f t="shared" ref="BO873:BO936" si="114">E873+G873+I873+K873+M873+O873+Q873+S873+U873+W873+Y873+AA873+AC873+AE873+AG873+AI873+AK873+AM873+AO873+AQ873+AS873+AU873+AW873+AY873+BA873+BC873+BE873+BG873+BI873+BK873+BM873</f>
        <v>0</v>
      </c>
      <c r="BP873" s="20">
        <f t="shared" ref="BP873:BP936" si="115">C873+BN873-BO873</f>
        <v>94</v>
      </c>
      <c r="BQ873" s="51">
        <f t="shared" ref="BQ873:BQ887" si="116">B873*BP873/1000</f>
        <v>9.87</v>
      </c>
      <c r="BR873" s="56" t="s">
        <v>1333</v>
      </c>
      <c r="BS873" s="27" t="s">
        <v>821</v>
      </c>
      <c r="BT873" s="57"/>
      <c r="BU873" s="35" t="s">
        <v>1342</v>
      </c>
    </row>
    <row r="874" s="1" customFormat="1" customHeight="1" spans="1:73">
      <c r="A874" s="15" t="s">
        <v>1341</v>
      </c>
      <c r="B874" s="15">
        <v>130</v>
      </c>
      <c r="C874" s="16">
        <v>94</v>
      </c>
      <c r="D874" s="29"/>
      <c r="E874" s="101"/>
      <c r="F874" s="29"/>
      <c r="G874" s="88"/>
      <c r="H874" s="29"/>
      <c r="I874" s="30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30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30"/>
      <c r="AH874" s="29"/>
      <c r="AI874" s="29"/>
      <c r="AJ874" s="29"/>
      <c r="AK874" s="30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30"/>
      <c r="BF874" s="29"/>
      <c r="BG874" s="29"/>
      <c r="BH874" s="29"/>
      <c r="BI874" s="29"/>
      <c r="BJ874" s="29"/>
      <c r="BK874" s="29"/>
      <c r="BL874" s="29"/>
      <c r="BM874" s="29"/>
      <c r="BN874" s="20">
        <f t="shared" si="113"/>
        <v>0</v>
      </c>
      <c r="BO874" s="20">
        <f t="shared" si="114"/>
        <v>0</v>
      </c>
      <c r="BP874" s="20">
        <f t="shared" si="115"/>
        <v>94</v>
      </c>
      <c r="BQ874" s="51">
        <f t="shared" si="116"/>
        <v>12.22</v>
      </c>
      <c r="BR874" s="56" t="s">
        <v>820</v>
      </c>
      <c r="BS874" s="27" t="s">
        <v>821</v>
      </c>
      <c r="BT874" s="57"/>
      <c r="BU874" s="35" t="s">
        <v>1342</v>
      </c>
    </row>
    <row r="875" s="1" customFormat="1" customHeight="1" spans="1:73">
      <c r="A875" s="15" t="s">
        <v>1341</v>
      </c>
      <c r="B875" s="15">
        <v>135</v>
      </c>
      <c r="C875" s="16">
        <v>82</v>
      </c>
      <c r="D875" s="29"/>
      <c r="E875" s="101"/>
      <c r="F875" s="29"/>
      <c r="G875" s="88"/>
      <c r="H875" s="29"/>
      <c r="I875" s="30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30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30"/>
      <c r="AH875" s="29"/>
      <c r="AI875" s="29"/>
      <c r="AJ875" s="29"/>
      <c r="AK875" s="30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30"/>
      <c r="BF875" s="29"/>
      <c r="BG875" s="29"/>
      <c r="BH875" s="29"/>
      <c r="BI875" s="29"/>
      <c r="BJ875" s="29"/>
      <c r="BK875" s="29"/>
      <c r="BL875" s="29"/>
      <c r="BM875" s="29"/>
      <c r="BN875" s="20">
        <f t="shared" si="113"/>
        <v>0</v>
      </c>
      <c r="BO875" s="20">
        <f t="shared" si="114"/>
        <v>0</v>
      </c>
      <c r="BP875" s="20">
        <f t="shared" si="115"/>
        <v>82</v>
      </c>
      <c r="BQ875" s="51">
        <f t="shared" si="116"/>
        <v>11.07</v>
      </c>
      <c r="BR875" s="56" t="s">
        <v>332</v>
      </c>
      <c r="BS875" s="27" t="s">
        <v>753</v>
      </c>
      <c r="BT875" s="57"/>
      <c r="BU875" s="35" t="s">
        <v>1342</v>
      </c>
    </row>
    <row r="876" s="1" customFormat="1" customHeight="1" spans="1:73">
      <c r="A876" s="15" t="s">
        <v>1341</v>
      </c>
      <c r="B876" s="15">
        <v>160</v>
      </c>
      <c r="C876" s="16">
        <v>78</v>
      </c>
      <c r="D876" s="29"/>
      <c r="E876" s="101"/>
      <c r="F876" s="29"/>
      <c r="G876" s="88"/>
      <c r="H876" s="29"/>
      <c r="I876" s="30"/>
      <c r="J876" s="29"/>
      <c r="K876" s="29">
        <v>78</v>
      </c>
      <c r="L876" s="29"/>
      <c r="M876" s="29"/>
      <c r="N876" s="29"/>
      <c r="O876" s="29"/>
      <c r="P876" s="29"/>
      <c r="Q876" s="29"/>
      <c r="R876" s="29"/>
      <c r="S876" s="29"/>
      <c r="T876" s="29"/>
      <c r="U876" s="30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30"/>
      <c r="AH876" s="29"/>
      <c r="AI876" s="29"/>
      <c r="AJ876" s="29"/>
      <c r="AK876" s="30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30"/>
      <c r="BF876" s="29"/>
      <c r="BG876" s="29"/>
      <c r="BH876" s="29"/>
      <c r="BI876" s="29"/>
      <c r="BJ876" s="29"/>
      <c r="BK876" s="29"/>
      <c r="BL876" s="29"/>
      <c r="BM876" s="29"/>
      <c r="BN876" s="20">
        <f t="shared" si="113"/>
        <v>0</v>
      </c>
      <c r="BO876" s="20">
        <f t="shared" si="114"/>
        <v>78</v>
      </c>
      <c r="BP876" s="20">
        <f t="shared" si="115"/>
        <v>0</v>
      </c>
      <c r="BQ876" s="51">
        <f t="shared" si="116"/>
        <v>0</v>
      </c>
      <c r="BR876" s="56" t="s">
        <v>192</v>
      </c>
      <c r="BS876" s="27" t="s">
        <v>839</v>
      </c>
      <c r="BT876" s="57"/>
      <c r="BU876" s="35" t="s">
        <v>1342</v>
      </c>
    </row>
    <row r="877" s="1" customFormat="1" customHeight="1" spans="1:73">
      <c r="A877" s="15" t="s">
        <v>1341</v>
      </c>
      <c r="B877" s="15">
        <v>165</v>
      </c>
      <c r="C877" s="16">
        <v>40</v>
      </c>
      <c r="D877" s="29"/>
      <c r="E877" s="101"/>
      <c r="F877" s="29"/>
      <c r="G877" s="88"/>
      <c r="H877" s="29"/>
      <c r="I877" s="30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30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30"/>
      <c r="AH877" s="29"/>
      <c r="AI877" s="29"/>
      <c r="AJ877" s="29"/>
      <c r="AK877" s="30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30"/>
      <c r="BF877" s="29"/>
      <c r="BG877" s="29"/>
      <c r="BH877" s="29"/>
      <c r="BI877" s="29"/>
      <c r="BJ877" s="29"/>
      <c r="BK877" s="29"/>
      <c r="BL877" s="29"/>
      <c r="BM877" s="29"/>
      <c r="BN877" s="20">
        <f t="shared" si="113"/>
        <v>0</v>
      </c>
      <c r="BO877" s="20">
        <f t="shared" si="114"/>
        <v>0</v>
      </c>
      <c r="BP877" s="20">
        <f t="shared" si="115"/>
        <v>40</v>
      </c>
      <c r="BQ877" s="51">
        <f t="shared" si="116"/>
        <v>6.6</v>
      </c>
      <c r="BR877" s="56" t="s">
        <v>1343</v>
      </c>
      <c r="BS877" s="27" t="s">
        <v>1316</v>
      </c>
      <c r="BT877" s="57"/>
      <c r="BU877" s="35" t="s">
        <v>1342</v>
      </c>
    </row>
    <row r="878" s="1" customFormat="1" customHeight="1" spans="1:73">
      <c r="A878" s="15" t="s">
        <v>1341</v>
      </c>
      <c r="B878" s="15">
        <v>175</v>
      </c>
      <c r="C878" s="16">
        <v>100</v>
      </c>
      <c r="D878" s="29"/>
      <c r="E878" s="101"/>
      <c r="F878" s="29"/>
      <c r="G878" s="88"/>
      <c r="H878" s="29"/>
      <c r="I878" s="30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30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30"/>
      <c r="AH878" s="29"/>
      <c r="AI878" s="29"/>
      <c r="AJ878" s="29"/>
      <c r="AK878" s="30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30"/>
      <c r="BF878" s="29"/>
      <c r="BG878" s="29"/>
      <c r="BH878" s="29"/>
      <c r="BI878" s="29"/>
      <c r="BJ878" s="29"/>
      <c r="BK878" s="29"/>
      <c r="BL878" s="29"/>
      <c r="BM878" s="29"/>
      <c r="BN878" s="20">
        <f t="shared" si="113"/>
        <v>0</v>
      </c>
      <c r="BO878" s="20">
        <f t="shared" si="114"/>
        <v>0</v>
      </c>
      <c r="BP878" s="20">
        <f t="shared" si="115"/>
        <v>100</v>
      </c>
      <c r="BQ878" s="51">
        <f t="shared" si="116"/>
        <v>17.5</v>
      </c>
      <c r="BR878" s="56" t="s">
        <v>332</v>
      </c>
      <c r="BS878" s="27" t="s">
        <v>753</v>
      </c>
      <c r="BT878" s="57"/>
      <c r="BU878" s="35" t="s">
        <v>1342</v>
      </c>
    </row>
    <row r="879" s="1" customFormat="1" customHeight="1" spans="1:73">
      <c r="A879" s="15" t="s">
        <v>1341</v>
      </c>
      <c r="B879" s="15">
        <v>195</v>
      </c>
      <c r="C879" s="16">
        <v>10</v>
      </c>
      <c r="D879" s="29"/>
      <c r="E879" s="101"/>
      <c r="F879" s="29"/>
      <c r="G879" s="88"/>
      <c r="H879" s="29"/>
      <c r="I879" s="30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30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30"/>
      <c r="AH879" s="29"/>
      <c r="AI879" s="29"/>
      <c r="AJ879" s="29"/>
      <c r="AK879" s="30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30"/>
      <c r="BF879" s="29"/>
      <c r="BG879" s="30"/>
      <c r="BH879" s="29"/>
      <c r="BI879" s="29"/>
      <c r="BJ879" s="29"/>
      <c r="BK879" s="29"/>
      <c r="BL879" s="29"/>
      <c r="BM879" s="29"/>
      <c r="BN879" s="20">
        <f t="shared" si="113"/>
        <v>0</v>
      </c>
      <c r="BO879" s="20">
        <f t="shared" si="114"/>
        <v>0</v>
      </c>
      <c r="BP879" s="20">
        <f t="shared" si="115"/>
        <v>10</v>
      </c>
      <c r="BQ879" s="51">
        <f t="shared" si="116"/>
        <v>1.95</v>
      </c>
      <c r="BR879" s="56" t="s">
        <v>1344</v>
      </c>
      <c r="BS879" s="27" t="s">
        <v>1345</v>
      </c>
      <c r="BT879" s="57"/>
      <c r="BU879" s="35" t="s">
        <v>1342</v>
      </c>
    </row>
    <row r="880" s="1" customFormat="1" customHeight="1" spans="1:73">
      <c r="A880" s="15" t="s">
        <v>1341</v>
      </c>
      <c r="B880" s="15">
        <v>205</v>
      </c>
      <c r="C880" s="16">
        <v>20</v>
      </c>
      <c r="D880" s="29"/>
      <c r="E880" s="101"/>
      <c r="F880" s="29"/>
      <c r="G880" s="88"/>
      <c r="H880" s="29"/>
      <c r="I880" s="30"/>
      <c r="J880" s="29"/>
      <c r="K880" s="29">
        <v>20</v>
      </c>
      <c r="L880" s="29"/>
      <c r="M880" s="29"/>
      <c r="N880" s="29"/>
      <c r="O880" s="29"/>
      <c r="P880" s="29"/>
      <c r="Q880" s="29"/>
      <c r="R880" s="29"/>
      <c r="S880" s="29"/>
      <c r="T880" s="29"/>
      <c r="U880" s="30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30"/>
      <c r="AH880" s="29"/>
      <c r="AI880" s="29"/>
      <c r="AJ880" s="29"/>
      <c r="AK880" s="30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30"/>
      <c r="BF880" s="29"/>
      <c r="BG880" s="30"/>
      <c r="BH880" s="29"/>
      <c r="BI880" s="29"/>
      <c r="BJ880" s="29"/>
      <c r="BK880" s="29"/>
      <c r="BL880" s="29"/>
      <c r="BM880" s="29"/>
      <c r="BN880" s="20">
        <f t="shared" si="113"/>
        <v>0</v>
      </c>
      <c r="BO880" s="20">
        <f t="shared" si="114"/>
        <v>20</v>
      </c>
      <c r="BP880" s="20">
        <f t="shared" si="115"/>
        <v>0</v>
      </c>
      <c r="BQ880" s="51">
        <f t="shared" si="116"/>
        <v>0</v>
      </c>
      <c r="BR880" s="56" t="s">
        <v>820</v>
      </c>
      <c r="BS880" s="27" t="s">
        <v>821</v>
      </c>
      <c r="BT880" s="57"/>
      <c r="BU880" s="35" t="s">
        <v>1342</v>
      </c>
    </row>
    <row r="881" s="1" customFormat="1" customHeight="1" spans="1:73">
      <c r="A881" s="15" t="s">
        <v>1341</v>
      </c>
      <c r="B881" s="15">
        <v>225</v>
      </c>
      <c r="C881" s="16">
        <v>56</v>
      </c>
      <c r="D881" s="29"/>
      <c r="E881" s="101"/>
      <c r="F881" s="29"/>
      <c r="G881" s="88"/>
      <c r="H881" s="29"/>
      <c r="I881" s="30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30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30"/>
      <c r="AH881" s="29"/>
      <c r="AI881" s="29"/>
      <c r="AJ881" s="29"/>
      <c r="AK881" s="30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30"/>
      <c r="BF881" s="29"/>
      <c r="BG881" s="30"/>
      <c r="BH881" s="29"/>
      <c r="BI881" s="29"/>
      <c r="BJ881" s="29"/>
      <c r="BK881" s="29"/>
      <c r="BL881" s="29"/>
      <c r="BM881" s="29"/>
      <c r="BN881" s="20">
        <f t="shared" si="113"/>
        <v>0</v>
      </c>
      <c r="BO881" s="20">
        <f t="shared" si="114"/>
        <v>0</v>
      </c>
      <c r="BP881" s="20">
        <f t="shared" si="115"/>
        <v>56</v>
      </c>
      <c r="BQ881" s="51">
        <f t="shared" si="116"/>
        <v>12.6</v>
      </c>
      <c r="BR881" s="56" t="s">
        <v>833</v>
      </c>
      <c r="BS881" s="27" t="s">
        <v>834</v>
      </c>
      <c r="BT881" s="57"/>
      <c r="BU881" s="35" t="s">
        <v>1342</v>
      </c>
    </row>
    <row r="882" s="1" customFormat="1" customHeight="1" spans="1:73">
      <c r="A882" s="15" t="s">
        <v>1341</v>
      </c>
      <c r="B882" s="15">
        <v>235</v>
      </c>
      <c r="C882" s="16">
        <v>135</v>
      </c>
      <c r="D882" s="29"/>
      <c r="E882" s="101"/>
      <c r="F882" s="29"/>
      <c r="G882" s="88"/>
      <c r="H882" s="29"/>
      <c r="I882" s="30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30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30"/>
      <c r="AH882" s="29"/>
      <c r="AI882" s="29"/>
      <c r="AJ882" s="29"/>
      <c r="AK882" s="30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30"/>
      <c r="BF882" s="29"/>
      <c r="BG882" s="29"/>
      <c r="BH882" s="29"/>
      <c r="BI882" s="29"/>
      <c r="BJ882" s="29"/>
      <c r="BK882" s="29"/>
      <c r="BL882" s="29"/>
      <c r="BM882" s="29"/>
      <c r="BN882" s="20">
        <f t="shared" si="113"/>
        <v>0</v>
      </c>
      <c r="BO882" s="20">
        <f t="shared" si="114"/>
        <v>0</v>
      </c>
      <c r="BP882" s="20">
        <f t="shared" si="115"/>
        <v>135</v>
      </c>
      <c r="BQ882" s="51">
        <f t="shared" si="116"/>
        <v>31.725</v>
      </c>
      <c r="BR882" s="56" t="s">
        <v>994</v>
      </c>
      <c r="BS882" s="27" t="s">
        <v>995</v>
      </c>
      <c r="BT882" s="57"/>
      <c r="BU882" s="35" t="s">
        <v>1342</v>
      </c>
    </row>
    <row r="883" s="1" customFormat="1" customHeight="1" spans="1:73">
      <c r="A883" s="39" t="s">
        <v>1341</v>
      </c>
      <c r="B883" s="15">
        <v>280</v>
      </c>
      <c r="C883" s="29">
        <v>91</v>
      </c>
      <c r="D883" s="29"/>
      <c r="E883" s="147"/>
      <c r="F883" s="29"/>
      <c r="G883" s="147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30"/>
      <c r="AH883" s="29"/>
      <c r="AI883" s="29"/>
      <c r="AJ883" s="29"/>
      <c r="AK883" s="30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0">
        <f t="shared" si="113"/>
        <v>0</v>
      </c>
      <c r="BO883" s="20">
        <f t="shared" si="114"/>
        <v>0</v>
      </c>
      <c r="BP883" s="20">
        <f t="shared" si="115"/>
        <v>91</v>
      </c>
      <c r="BQ883" s="51">
        <f t="shared" si="116"/>
        <v>25.48</v>
      </c>
      <c r="BR883" s="56" t="s">
        <v>309</v>
      </c>
      <c r="BS883" s="27" t="s">
        <v>1337</v>
      </c>
      <c r="BT883" s="57"/>
      <c r="BU883" s="35" t="s">
        <v>1342</v>
      </c>
    </row>
    <row r="884" s="1" customFormat="1" customHeight="1" spans="1:73">
      <c r="A884" s="39" t="s">
        <v>1341</v>
      </c>
      <c r="B884" s="15">
        <v>295</v>
      </c>
      <c r="C884" s="29">
        <v>65</v>
      </c>
      <c r="D884" s="29"/>
      <c r="E884" s="147"/>
      <c r="F884" s="29"/>
      <c r="G884" s="147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30"/>
      <c r="AH884" s="29"/>
      <c r="AI884" s="29"/>
      <c r="AJ884" s="29"/>
      <c r="AK884" s="30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0">
        <f t="shared" si="113"/>
        <v>0</v>
      </c>
      <c r="BO884" s="20">
        <f t="shared" si="114"/>
        <v>0</v>
      </c>
      <c r="BP884" s="20">
        <f t="shared" si="115"/>
        <v>65</v>
      </c>
      <c r="BQ884" s="51">
        <f t="shared" si="116"/>
        <v>19.175</v>
      </c>
      <c r="BR884" s="56" t="s">
        <v>1344</v>
      </c>
      <c r="BS884" s="27" t="s">
        <v>1345</v>
      </c>
      <c r="BT884" s="57"/>
      <c r="BU884" s="35" t="s">
        <v>1342</v>
      </c>
    </row>
    <row r="885" s="1" customFormat="1" customHeight="1" spans="1:73">
      <c r="A885" s="39" t="s">
        <v>1341</v>
      </c>
      <c r="B885" s="15">
        <v>310</v>
      </c>
      <c r="C885" s="29">
        <v>68</v>
      </c>
      <c r="D885" s="29"/>
      <c r="E885" s="147"/>
      <c r="F885" s="29"/>
      <c r="G885" s="147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30"/>
      <c r="AH885" s="29"/>
      <c r="AI885" s="29"/>
      <c r="AJ885" s="29"/>
      <c r="AK885" s="30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0">
        <f t="shared" si="113"/>
        <v>0</v>
      </c>
      <c r="BO885" s="20">
        <f t="shared" si="114"/>
        <v>0</v>
      </c>
      <c r="BP885" s="20">
        <f t="shared" si="115"/>
        <v>68</v>
      </c>
      <c r="BQ885" s="51">
        <f t="shared" si="116"/>
        <v>21.08</v>
      </c>
      <c r="BR885" s="56" t="s">
        <v>352</v>
      </c>
      <c r="BS885" s="27" t="s">
        <v>1346</v>
      </c>
      <c r="BT885" s="57"/>
      <c r="BU885" s="35" t="s">
        <v>1342</v>
      </c>
    </row>
    <row r="886" s="1" customFormat="1" customHeight="1" spans="1:73">
      <c r="A886" s="39" t="s">
        <v>1341</v>
      </c>
      <c r="B886" s="15">
        <v>325</v>
      </c>
      <c r="C886" s="29">
        <v>200</v>
      </c>
      <c r="D886" s="29"/>
      <c r="E886" s="147"/>
      <c r="F886" s="29"/>
      <c r="G886" s="147"/>
      <c r="H886" s="29"/>
      <c r="I886" s="29">
        <v>200</v>
      </c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30"/>
      <c r="AH886" s="29"/>
      <c r="AI886" s="29"/>
      <c r="AJ886" s="29"/>
      <c r="AK886" s="30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0">
        <f t="shared" si="113"/>
        <v>0</v>
      </c>
      <c r="BO886" s="20">
        <f t="shared" si="114"/>
        <v>200</v>
      </c>
      <c r="BP886" s="20">
        <f t="shared" si="115"/>
        <v>0</v>
      </c>
      <c r="BQ886" s="51">
        <f t="shared" si="116"/>
        <v>0</v>
      </c>
      <c r="BR886" s="56" t="s">
        <v>332</v>
      </c>
      <c r="BS886" s="27" t="s">
        <v>753</v>
      </c>
      <c r="BT886" s="57"/>
      <c r="BU886" s="35" t="s">
        <v>1342</v>
      </c>
    </row>
    <row r="887" s="1" customFormat="1" customHeight="1" spans="1:73">
      <c r="A887" s="39" t="s">
        <v>1341</v>
      </c>
      <c r="B887" s="15">
        <v>370</v>
      </c>
      <c r="C887" s="29">
        <v>100</v>
      </c>
      <c r="D887" s="29"/>
      <c r="E887" s="147"/>
      <c r="F887" s="29"/>
      <c r="G887" s="147"/>
      <c r="H887" s="29"/>
      <c r="I887" s="29">
        <v>36</v>
      </c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30"/>
      <c r="AH887" s="29"/>
      <c r="AI887" s="29"/>
      <c r="AJ887" s="29"/>
      <c r="AK887" s="30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0">
        <f t="shared" si="113"/>
        <v>0</v>
      </c>
      <c r="BO887" s="20">
        <f t="shared" si="114"/>
        <v>36</v>
      </c>
      <c r="BP887" s="20">
        <f t="shared" si="115"/>
        <v>64</v>
      </c>
      <c r="BQ887" s="51">
        <f t="shared" si="116"/>
        <v>23.68</v>
      </c>
      <c r="BR887" s="56" t="s">
        <v>352</v>
      </c>
      <c r="BS887" s="27" t="s">
        <v>1346</v>
      </c>
      <c r="BT887" s="57"/>
      <c r="BU887" s="35" t="s">
        <v>1342</v>
      </c>
    </row>
    <row r="888" s="1" customFormat="1" customHeight="1" spans="1:73">
      <c r="A888" s="53" t="s">
        <v>1347</v>
      </c>
      <c r="B888" s="15"/>
      <c r="C888" s="16"/>
      <c r="D888" s="29"/>
      <c r="E888" s="30"/>
      <c r="F888" s="29"/>
      <c r="G888" s="30"/>
      <c r="H888" s="29"/>
      <c r="I888" s="29"/>
      <c r="J888" s="29"/>
      <c r="K888" s="29"/>
      <c r="L888" s="29"/>
      <c r="M888" s="30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30"/>
      <c r="Z888" s="29"/>
      <c r="AA888" s="29"/>
      <c r="AB888" s="29"/>
      <c r="AC888" s="30"/>
      <c r="AD888" s="29"/>
      <c r="AE888" s="29"/>
      <c r="AF888" s="29"/>
      <c r="AG888" s="30"/>
      <c r="AH888" s="29"/>
      <c r="AI888" s="30"/>
      <c r="AJ888" s="29"/>
      <c r="AK888" s="30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82"/>
      <c r="BB888" s="29"/>
      <c r="BC888" s="30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0">
        <f t="shared" si="113"/>
        <v>0</v>
      </c>
      <c r="BO888" s="20">
        <f t="shared" si="114"/>
        <v>0</v>
      </c>
      <c r="BP888" s="20">
        <f t="shared" si="115"/>
        <v>0</v>
      </c>
      <c r="BQ888" s="51"/>
      <c r="BR888" s="56"/>
      <c r="BS888" s="111"/>
      <c r="BT888" s="36"/>
      <c r="BU888" s="112"/>
    </row>
    <row r="889" s="1" customFormat="1" customHeight="1" spans="1:73">
      <c r="A889" s="141" t="s">
        <v>1348</v>
      </c>
      <c r="B889" s="15">
        <v>90</v>
      </c>
      <c r="C889" s="16">
        <v>300</v>
      </c>
      <c r="D889" s="29"/>
      <c r="E889" s="30"/>
      <c r="F889" s="29"/>
      <c r="G889" s="29"/>
      <c r="H889" s="29"/>
      <c r="I889" s="30"/>
      <c r="J889" s="29"/>
      <c r="K889" s="29"/>
      <c r="L889" s="29"/>
      <c r="M889" s="29"/>
      <c r="N889" s="29"/>
      <c r="O889" s="30"/>
      <c r="P889" s="29"/>
      <c r="Q889" s="29"/>
      <c r="R889" s="29"/>
      <c r="S889" s="30"/>
      <c r="T889" s="29"/>
      <c r="U889" s="29"/>
      <c r="V889" s="29"/>
      <c r="W889" s="29"/>
      <c r="X889" s="29"/>
      <c r="Y889" s="29"/>
      <c r="Z889" s="29"/>
      <c r="AA889" s="30"/>
      <c r="AB889" s="29"/>
      <c r="AC889" s="30"/>
      <c r="AD889" s="29"/>
      <c r="AE889" s="82"/>
      <c r="AF889" s="29"/>
      <c r="AG889" s="30"/>
      <c r="AH889" s="29"/>
      <c r="AI889" s="29"/>
      <c r="AJ889" s="29"/>
      <c r="AK889" s="30"/>
      <c r="AL889" s="29"/>
      <c r="AM889" s="29"/>
      <c r="AN889" s="29"/>
      <c r="AO889" s="29"/>
      <c r="AP889" s="29"/>
      <c r="AQ889" s="29"/>
      <c r="AR889" s="29"/>
      <c r="AS889" s="29"/>
      <c r="AT889" s="29"/>
      <c r="AU889" s="30"/>
      <c r="AV889" s="29"/>
      <c r="AW889" s="29"/>
      <c r="AX889" s="29"/>
      <c r="AY889" s="29"/>
      <c r="AZ889" s="29"/>
      <c r="BA889" s="30"/>
      <c r="BB889" s="29"/>
      <c r="BC889" s="29"/>
      <c r="BD889" s="29"/>
      <c r="BE889" s="82"/>
      <c r="BF889" s="29"/>
      <c r="BG889" s="82"/>
      <c r="BH889" s="29"/>
      <c r="BI889" s="29"/>
      <c r="BJ889" s="29"/>
      <c r="BK889" s="29"/>
      <c r="BL889" s="29"/>
      <c r="BM889" s="29"/>
      <c r="BN889" s="20">
        <f t="shared" si="113"/>
        <v>0</v>
      </c>
      <c r="BO889" s="20">
        <f t="shared" si="114"/>
        <v>0</v>
      </c>
      <c r="BP889" s="20">
        <f t="shared" si="115"/>
        <v>300</v>
      </c>
      <c r="BQ889" s="51">
        <f t="shared" ref="BQ889:BQ891" si="117">B889*BP889/1000</f>
        <v>27</v>
      </c>
      <c r="BR889" s="56" t="s">
        <v>1349</v>
      </c>
      <c r="BS889" s="91" t="s">
        <v>1323</v>
      </c>
      <c r="BT889" s="36" t="s">
        <v>1350</v>
      </c>
      <c r="BU889" s="35" t="s">
        <v>1351</v>
      </c>
    </row>
    <row r="890" s="1" customFormat="1" customHeight="1" spans="1:73">
      <c r="A890" s="53" t="s">
        <v>1352</v>
      </c>
      <c r="B890" s="104">
        <v>85</v>
      </c>
      <c r="C890" s="106">
        <v>786</v>
      </c>
      <c r="D890" s="105"/>
      <c r="E890" s="105"/>
      <c r="F890" s="105"/>
      <c r="G890" s="106"/>
      <c r="H890" s="105"/>
      <c r="I890" s="105"/>
      <c r="J890" s="105"/>
      <c r="K890" s="105"/>
      <c r="L890" s="105"/>
      <c r="M890" s="105"/>
      <c r="N890" s="105"/>
      <c r="O890" s="105"/>
      <c r="P890" s="106"/>
      <c r="Q890" s="105"/>
      <c r="R890" s="106"/>
      <c r="S890" s="105"/>
      <c r="T890" s="105"/>
      <c r="U890" s="105"/>
      <c r="V890" s="106"/>
      <c r="W890" s="106"/>
      <c r="X890" s="105"/>
      <c r="Y890" s="106"/>
      <c r="Z890" s="105"/>
      <c r="AA890" s="105"/>
      <c r="AB890" s="105"/>
      <c r="AC890" s="106"/>
      <c r="AD890" s="105"/>
      <c r="AE890" s="106"/>
      <c r="AF890" s="105"/>
      <c r="AG890" s="106"/>
      <c r="AH890" s="105"/>
      <c r="AI890" s="105"/>
      <c r="AJ890" s="105"/>
      <c r="AK890" s="105"/>
      <c r="AL890" s="105"/>
      <c r="AM890" s="106"/>
      <c r="AN890" s="105"/>
      <c r="AO890" s="106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6"/>
      <c r="AZ890" s="105"/>
      <c r="BA890" s="106"/>
      <c r="BB890" s="105"/>
      <c r="BC890" s="105"/>
      <c r="BD890" s="105"/>
      <c r="BE890" s="106"/>
      <c r="BF890" s="105"/>
      <c r="BG890" s="105"/>
      <c r="BH890" s="105"/>
      <c r="BI890" s="106"/>
      <c r="BJ890" s="105"/>
      <c r="BK890" s="105"/>
      <c r="BL890" s="105"/>
      <c r="BM890" s="126"/>
      <c r="BN890" s="20">
        <f t="shared" si="113"/>
        <v>0</v>
      </c>
      <c r="BO890" s="20">
        <f t="shared" si="114"/>
        <v>0</v>
      </c>
      <c r="BP890" s="20">
        <f t="shared" si="115"/>
        <v>786</v>
      </c>
      <c r="BQ890" s="51">
        <f t="shared" si="117"/>
        <v>66.81</v>
      </c>
      <c r="BR890" s="107" t="s">
        <v>1353</v>
      </c>
      <c r="BS890" s="91" t="s">
        <v>1354</v>
      </c>
      <c r="BT890" s="102" t="s">
        <v>1355</v>
      </c>
      <c r="BU890" s="44" t="s">
        <v>571</v>
      </c>
    </row>
    <row r="891" s="1" customFormat="1" customHeight="1" spans="1:73">
      <c r="A891" s="148" t="s">
        <v>1356</v>
      </c>
      <c r="B891" s="15">
        <v>200</v>
      </c>
      <c r="C891" s="16">
        <v>200</v>
      </c>
      <c r="D891" s="29"/>
      <c r="E891" s="30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30"/>
      <c r="AH891" s="29"/>
      <c r="AI891" s="29"/>
      <c r="AJ891" s="29"/>
      <c r="AK891" s="30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0">
        <f t="shared" si="113"/>
        <v>0</v>
      </c>
      <c r="BO891" s="20">
        <f t="shared" si="114"/>
        <v>0</v>
      </c>
      <c r="BP891" s="20">
        <f t="shared" si="115"/>
        <v>200</v>
      </c>
      <c r="BQ891" s="51">
        <f t="shared" si="117"/>
        <v>40</v>
      </c>
      <c r="BR891" s="56" t="s">
        <v>1349</v>
      </c>
      <c r="BS891" s="91" t="s">
        <v>1323</v>
      </c>
      <c r="BT891" s="36" t="s">
        <v>1350</v>
      </c>
      <c r="BU891" s="35" t="s">
        <v>1351</v>
      </c>
    </row>
    <row r="892" s="1" customFormat="1" customHeight="1" spans="1:73">
      <c r="A892" s="53" t="s">
        <v>1357</v>
      </c>
      <c r="B892" s="15"/>
      <c r="C892" s="16"/>
      <c r="D892" s="29"/>
      <c r="E892" s="30"/>
      <c r="F892" s="29"/>
      <c r="G892" s="30"/>
      <c r="H892" s="29"/>
      <c r="I892" s="29"/>
      <c r="J892" s="29"/>
      <c r="K892" s="29"/>
      <c r="L892" s="29"/>
      <c r="M892" s="30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30"/>
      <c r="Z892" s="29"/>
      <c r="AA892" s="29"/>
      <c r="AB892" s="29"/>
      <c r="AC892" s="30"/>
      <c r="AD892" s="29"/>
      <c r="AE892" s="29"/>
      <c r="AF892" s="29"/>
      <c r="AG892" s="30"/>
      <c r="AH892" s="29"/>
      <c r="AI892" s="30"/>
      <c r="AJ892" s="29"/>
      <c r="AK892" s="30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82"/>
      <c r="BB892" s="29"/>
      <c r="BC892" s="30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0">
        <f t="shared" si="113"/>
        <v>0</v>
      </c>
      <c r="BO892" s="20">
        <f t="shared" si="114"/>
        <v>0</v>
      </c>
      <c r="BP892" s="20">
        <f t="shared" si="115"/>
        <v>0</v>
      </c>
      <c r="BQ892" s="51"/>
      <c r="BR892" s="56"/>
      <c r="BS892" s="91"/>
      <c r="BT892" s="36"/>
      <c r="BU892" s="112"/>
    </row>
    <row r="893" s="1" customFormat="1" customHeight="1" spans="1:73">
      <c r="A893" s="15" t="s">
        <v>1358</v>
      </c>
      <c r="B893" s="15">
        <v>130</v>
      </c>
      <c r="C893" s="16">
        <v>86</v>
      </c>
      <c r="D893" s="29"/>
      <c r="E893" s="29"/>
      <c r="F893" s="29"/>
      <c r="G893" s="30"/>
      <c r="H893" s="29"/>
      <c r="I893" s="29"/>
      <c r="J893" s="29"/>
      <c r="K893" s="29"/>
      <c r="L893" s="29"/>
      <c r="M893" s="30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30"/>
      <c r="Z893" s="29"/>
      <c r="AA893" s="29"/>
      <c r="AB893" s="29"/>
      <c r="AC893" s="30"/>
      <c r="AD893" s="29"/>
      <c r="AE893" s="29"/>
      <c r="AF893" s="29"/>
      <c r="AG893" s="30"/>
      <c r="AH893" s="29"/>
      <c r="AI893" s="30"/>
      <c r="AJ893" s="29"/>
      <c r="AK893" s="30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30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0">
        <f t="shared" si="113"/>
        <v>0</v>
      </c>
      <c r="BO893" s="20">
        <f t="shared" si="114"/>
        <v>0</v>
      </c>
      <c r="BP893" s="20">
        <f t="shared" si="115"/>
        <v>86</v>
      </c>
      <c r="BQ893" s="55">
        <f t="shared" ref="BQ893:BQ905" si="118">B893*BP893/1000</f>
        <v>11.18</v>
      </c>
      <c r="BR893" s="56" t="s">
        <v>1359</v>
      </c>
      <c r="BS893" s="91" t="s">
        <v>704</v>
      </c>
      <c r="BT893" s="57"/>
      <c r="BU893" s="35" t="s">
        <v>1351</v>
      </c>
    </row>
    <row r="894" s="1" customFormat="1" customHeight="1" spans="1:73">
      <c r="A894" s="15" t="s">
        <v>1358</v>
      </c>
      <c r="B894" s="15">
        <v>133</v>
      </c>
      <c r="C894" s="16">
        <v>100</v>
      </c>
      <c r="D894" s="29"/>
      <c r="E894" s="29"/>
      <c r="F894" s="29"/>
      <c r="G894" s="30"/>
      <c r="H894" s="29"/>
      <c r="I894" s="29"/>
      <c r="J894" s="29"/>
      <c r="K894" s="29"/>
      <c r="L894" s="29"/>
      <c r="M894" s="30"/>
      <c r="N894" s="29"/>
      <c r="O894" s="29">
        <v>4</v>
      </c>
      <c r="P894" s="29"/>
      <c r="Q894" s="29"/>
      <c r="R894" s="29"/>
      <c r="S894" s="29"/>
      <c r="T894" s="29"/>
      <c r="U894" s="29"/>
      <c r="V894" s="29"/>
      <c r="W894" s="29"/>
      <c r="X894" s="29"/>
      <c r="Y894" s="30"/>
      <c r="Z894" s="29"/>
      <c r="AA894" s="29"/>
      <c r="AB894" s="29"/>
      <c r="AC894" s="30"/>
      <c r="AD894" s="29"/>
      <c r="AE894" s="29"/>
      <c r="AF894" s="29"/>
      <c r="AG894" s="30"/>
      <c r="AH894" s="29"/>
      <c r="AI894" s="30"/>
      <c r="AJ894" s="29"/>
      <c r="AK894" s="30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30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0">
        <f t="shared" si="113"/>
        <v>0</v>
      </c>
      <c r="BO894" s="20">
        <f t="shared" si="114"/>
        <v>4</v>
      </c>
      <c r="BP894" s="20">
        <f t="shared" si="115"/>
        <v>96</v>
      </c>
      <c r="BQ894" s="55">
        <f t="shared" si="118"/>
        <v>12.768</v>
      </c>
      <c r="BR894" s="56" t="s">
        <v>332</v>
      </c>
      <c r="BS894" s="91" t="s">
        <v>753</v>
      </c>
      <c r="BT894" s="57"/>
      <c r="BU894" s="35" t="s">
        <v>1351</v>
      </c>
    </row>
    <row r="895" s="1" customFormat="1" customHeight="1" spans="1:73">
      <c r="A895" s="15" t="s">
        <v>1358</v>
      </c>
      <c r="B895" s="15">
        <v>150</v>
      </c>
      <c r="C895" s="16">
        <v>28</v>
      </c>
      <c r="D895" s="29"/>
      <c r="E895" s="29"/>
      <c r="F895" s="29"/>
      <c r="G895" s="30"/>
      <c r="H895" s="29"/>
      <c r="I895" s="29"/>
      <c r="J895" s="29"/>
      <c r="K895" s="29"/>
      <c r="L895" s="29"/>
      <c r="M895" s="30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30"/>
      <c r="Z895" s="29"/>
      <c r="AA895" s="29"/>
      <c r="AB895" s="29"/>
      <c r="AC895" s="30"/>
      <c r="AD895" s="29"/>
      <c r="AE895" s="29"/>
      <c r="AF895" s="29"/>
      <c r="AG895" s="30"/>
      <c r="AH895" s="29"/>
      <c r="AI895" s="30"/>
      <c r="AJ895" s="29"/>
      <c r="AK895" s="30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30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0">
        <f t="shared" si="113"/>
        <v>0</v>
      </c>
      <c r="BO895" s="20">
        <f t="shared" si="114"/>
        <v>0</v>
      </c>
      <c r="BP895" s="20">
        <f t="shared" si="115"/>
        <v>28</v>
      </c>
      <c r="BQ895" s="55">
        <f t="shared" si="118"/>
        <v>4.2</v>
      </c>
      <c r="BR895" s="56" t="s">
        <v>1360</v>
      </c>
      <c r="BS895" s="91" t="s">
        <v>1205</v>
      </c>
      <c r="BT895" s="57"/>
      <c r="BU895" s="35" t="s">
        <v>1351</v>
      </c>
    </row>
    <row r="896" s="1" customFormat="1" customHeight="1" spans="1:73">
      <c r="A896" s="15" t="s">
        <v>1358</v>
      </c>
      <c r="B896" s="58">
        <v>155</v>
      </c>
      <c r="C896" s="16">
        <v>758</v>
      </c>
      <c r="D896" s="29"/>
      <c r="E896" s="29"/>
      <c r="F896" s="29"/>
      <c r="G896" s="30"/>
      <c r="H896" s="29"/>
      <c r="I896" s="29"/>
      <c r="J896" s="29"/>
      <c r="K896" s="29"/>
      <c r="L896" s="29"/>
      <c r="M896" s="30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30"/>
      <c r="Z896" s="29"/>
      <c r="AA896" s="29"/>
      <c r="AB896" s="29"/>
      <c r="AC896" s="30"/>
      <c r="AD896" s="29"/>
      <c r="AE896" s="29"/>
      <c r="AF896" s="29"/>
      <c r="AG896" s="30"/>
      <c r="AH896" s="29"/>
      <c r="AI896" s="30"/>
      <c r="AJ896" s="29"/>
      <c r="AK896" s="30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30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0">
        <f t="shared" si="113"/>
        <v>0</v>
      </c>
      <c r="BO896" s="20">
        <f t="shared" si="114"/>
        <v>0</v>
      </c>
      <c r="BP896" s="149">
        <f t="shared" si="115"/>
        <v>758</v>
      </c>
      <c r="BQ896" s="55">
        <f t="shared" si="118"/>
        <v>117.49</v>
      </c>
      <c r="BR896" s="56" t="s">
        <v>1318</v>
      </c>
      <c r="BS896" s="91" t="s">
        <v>753</v>
      </c>
      <c r="BT896" s="79" t="s">
        <v>1361</v>
      </c>
      <c r="BU896" s="35" t="s">
        <v>1351</v>
      </c>
    </row>
    <row r="897" s="1" customFormat="1" customHeight="1" spans="1:73">
      <c r="A897" s="15" t="s">
        <v>1358</v>
      </c>
      <c r="B897" s="15">
        <v>172</v>
      </c>
      <c r="C897" s="16">
        <v>200</v>
      </c>
      <c r="D897" s="29"/>
      <c r="E897" s="29"/>
      <c r="F897" s="29"/>
      <c r="G897" s="30"/>
      <c r="H897" s="29"/>
      <c r="I897" s="29"/>
      <c r="J897" s="29"/>
      <c r="K897" s="29">
        <v>200</v>
      </c>
      <c r="L897" s="29"/>
      <c r="M897" s="30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30"/>
      <c r="Z897" s="29"/>
      <c r="AA897" s="29"/>
      <c r="AB897" s="29"/>
      <c r="AC897" s="30"/>
      <c r="AD897" s="29"/>
      <c r="AE897" s="29"/>
      <c r="AF897" s="29"/>
      <c r="AG897" s="30"/>
      <c r="AH897" s="29"/>
      <c r="AI897" s="30"/>
      <c r="AJ897" s="29"/>
      <c r="AK897" s="30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30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0">
        <f t="shared" si="113"/>
        <v>0</v>
      </c>
      <c r="BO897" s="20">
        <f t="shared" si="114"/>
        <v>200</v>
      </c>
      <c r="BP897" s="20">
        <f t="shared" si="115"/>
        <v>0</v>
      </c>
      <c r="BQ897" s="55">
        <f t="shared" si="118"/>
        <v>0</v>
      </c>
      <c r="BR897" s="56" t="s">
        <v>332</v>
      </c>
      <c r="BS897" s="91" t="s">
        <v>753</v>
      </c>
      <c r="BT897" s="57"/>
      <c r="BU897" s="35" t="s">
        <v>1351</v>
      </c>
    </row>
    <row r="898" s="1" customFormat="1" customHeight="1" spans="1:73">
      <c r="A898" s="15" t="s">
        <v>1358</v>
      </c>
      <c r="B898" s="15">
        <v>175</v>
      </c>
      <c r="C898" s="16">
        <v>100</v>
      </c>
      <c r="D898" s="29"/>
      <c r="E898" s="29"/>
      <c r="F898" s="29"/>
      <c r="G898" s="30"/>
      <c r="H898" s="29"/>
      <c r="I898" s="29"/>
      <c r="J898" s="29"/>
      <c r="K898" s="29">
        <v>30</v>
      </c>
      <c r="L898" s="29"/>
      <c r="M898" s="30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30"/>
      <c r="Z898" s="29"/>
      <c r="AA898" s="29"/>
      <c r="AB898" s="29"/>
      <c r="AC898" s="30"/>
      <c r="AD898" s="29"/>
      <c r="AE898" s="29"/>
      <c r="AF898" s="29"/>
      <c r="AG898" s="30"/>
      <c r="AH898" s="29"/>
      <c r="AI898" s="30"/>
      <c r="AJ898" s="29"/>
      <c r="AK898" s="30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30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0">
        <f t="shared" si="113"/>
        <v>0</v>
      </c>
      <c r="BO898" s="20">
        <f t="shared" si="114"/>
        <v>30</v>
      </c>
      <c r="BP898" s="20">
        <f t="shared" si="115"/>
        <v>70</v>
      </c>
      <c r="BQ898" s="55">
        <f t="shared" si="118"/>
        <v>12.25</v>
      </c>
      <c r="BR898" s="56" t="s">
        <v>332</v>
      </c>
      <c r="BS898" s="91" t="s">
        <v>753</v>
      </c>
      <c r="BT898" s="57"/>
      <c r="BU898" s="35" t="s">
        <v>1351</v>
      </c>
    </row>
    <row r="899" s="1" customFormat="1" customHeight="1" spans="1:73">
      <c r="A899" s="15" t="s">
        <v>1358</v>
      </c>
      <c r="B899" s="15">
        <v>190</v>
      </c>
      <c r="C899" s="16">
        <v>100</v>
      </c>
      <c r="D899" s="29"/>
      <c r="E899" s="29"/>
      <c r="F899" s="29"/>
      <c r="G899" s="30"/>
      <c r="H899" s="29"/>
      <c r="I899" s="29">
        <v>100</v>
      </c>
      <c r="J899" s="29"/>
      <c r="K899" s="29"/>
      <c r="L899" s="29"/>
      <c r="M899" s="30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30"/>
      <c r="Z899" s="29"/>
      <c r="AA899" s="29"/>
      <c r="AB899" s="29"/>
      <c r="AC899" s="30"/>
      <c r="AD899" s="29"/>
      <c r="AE899" s="29"/>
      <c r="AF899" s="29"/>
      <c r="AG899" s="30"/>
      <c r="AH899" s="29"/>
      <c r="AI899" s="30"/>
      <c r="AJ899" s="29"/>
      <c r="AK899" s="30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30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0">
        <f t="shared" si="113"/>
        <v>0</v>
      </c>
      <c r="BO899" s="20">
        <f t="shared" si="114"/>
        <v>100</v>
      </c>
      <c r="BP899" s="20">
        <f t="shared" si="115"/>
        <v>0</v>
      </c>
      <c r="BQ899" s="55">
        <f t="shared" si="118"/>
        <v>0</v>
      </c>
      <c r="BR899" s="56" t="s">
        <v>332</v>
      </c>
      <c r="BS899" s="91" t="s">
        <v>753</v>
      </c>
      <c r="BT899" s="57"/>
      <c r="BU899" s="35" t="s">
        <v>1351</v>
      </c>
    </row>
    <row r="900" s="1" customFormat="1" customHeight="1" spans="1:73">
      <c r="A900" s="15" t="s">
        <v>1358</v>
      </c>
      <c r="B900" s="15">
        <v>191</v>
      </c>
      <c r="C900" s="16">
        <v>25</v>
      </c>
      <c r="D900" s="29"/>
      <c r="E900" s="29"/>
      <c r="F900" s="29"/>
      <c r="G900" s="30"/>
      <c r="H900" s="29"/>
      <c r="I900" s="29">
        <v>25</v>
      </c>
      <c r="J900" s="29"/>
      <c r="K900" s="29"/>
      <c r="L900" s="29"/>
      <c r="M900" s="30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30"/>
      <c r="Z900" s="29"/>
      <c r="AA900" s="29"/>
      <c r="AB900" s="29"/>
      <c r="AC900" s="30"/>
      <c r="AD900" s="29"/>
      <c r="AE900" s="29"/>
      <c r="AF900" s="29"/>
      <c r="AG900" s="30"/>
      <c r="AH900" s="29"/>
      <c r="AI900" s="30"/>
      <c r="AJ900" s="29"/>
      <c r="AK900" s="30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0">
        <f t="shared" si="113"/>
        <v>0</v>
      </c>
      <c r="BO900" s="20">
        <f t="shared" si="114"/>
        <v>25</v>
      </c>
      <c r="BP900" s="20">
        <f t="shared" si="115"/>
        <v>0</v>
      </c>
      <c r="BQ900" s="55">
        <f t="shared" si="118"/>
        <v>0</v>
      </c>
      <c r="BR900" s="56" t="s">
        <v>1318</v>
      </c>
      <c r="BS900" s="91" t="s">
        <v>1319</v>
      </c>
      <c r="BT900" s="57" t="s">
        <v>1362</v>
      </c>
      <c r="BU900" s="35" t="s">
        <v>1351</v>
      </c>
    </row>
    <row r="901" s="1" customFormat="1" customHeight="1" spans="1:73">
      <c r="A901" s="15" t="s">
        <v>1358</v>
      </c>
      <c r="B901" s="15">
        <v>224</v>
      </c>
      <c r="C901" s="16">
        <v>6</v>
      </c>
      <c r="D901" s="29"/>
      <c r="E901" s="29"/>
      <c r="F901" s="29"/>
      <c r="G901" s="30"/>
      <c r="H901" s="29"/>
      <c r="I901" s="29"/>
      <c r="J901" s="29"/>
      <c r="K901" s="29"/>
      <c r="L901" s="29"/>
      <c r="M901" s="30">
        <v>1</v>
      </c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30"/>
      <c r="Z901" s="29"/>
      <c r="AA901" s="29"/>
      <c r="AB901" s="29"/>
      <c r="AC901" s="29"/>
      <c r="AD901" s="29"/>
      <c r="AE901" s="29"/>
      <c r="AF901" s="29"/>
      <c r="AG901" s="30"/>
      <c r="AH901" s="29"/>
      <c r="AI901" s="30"/>
      <c r="AJ901" s="29"/>
      <c r="AK901" s="30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30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0">
        <f t="shared" si="113"/>
        <v>0</v>
      </c>
      <c r="BO901" s="20">
        <f t="shared" si="114"/>
        <v>1</v>
      </c>
      <c r="BP901" s="20">
        <f t="shared" si="115"/>
        <v>5</v>
      </c>
      <c r="BQ901" s="55">
        <f t="shared" si="118"/>
        <v>1.12</v>
      </c>
      <c r="BR901" s="56" t="s">
        <v>538</v>
      </c>
      <c r="BS901" s="91" t="s">
        <v>1363</v>
      </c>
      <c r="BT901" s="57"/>
      <c r="BU901" s="35" t="s">
        <v>1351</v>
      </c>
    </row>
    <row r="902" s="1" customFormat="1" customHeight="1" spans="1:73">
      <c r="A902" s="15" t="s">
        <v>1358</v>
      </c>
      <c r="B902" s="15">
        <v>230</v>
      </c>
      <c r="C902" s="16">
        <v>54</v>
      </c>
      <c r="D902" s="29"/>
      <c r="E902" s="29"/>
      <c r="F902" s="29"/>
      <c r="G902" s="30"/>
      <c r="H902" s="29"/>
      <c r="I902" s="29"/>
      <c r="J902" s="29"/>
      <c r="K902" s="29"/>
      <c r="L902" s="29"/>
      <c r="M902" s="30">
        <v>21</v>
      </c>
      <c r="N902" s="29"/>
      <c r="O902" s="29">
        <v>10</v>
      </c>
      <c r="P902" s="29"/>
      <c r="Q902" s="29"/>
      <c r="R902" s="29"/>
      <c r="S902" s="29"/>
      <c r="T902" s="29"/>
      <c r="U902" s="29"/>
      <c r="V902" s="29"/>
      <c r="W902" s="29"/>
      <c r="X902" s="29"/>
      <c r="Y902" s="30"/>
      <c r="Z902" s="29"/>
      <c r="AA902" s="29"/>
      <c r="AB902" s="29"/>
      <c r="AC902" s="30"/>
      <c r="AD902" s="29"/>
      <c r="AE902" s="29"/>
      <c r="AF902" s="29"/>
      <c r="AG902" s="30"/>
      <c r="AH902" s="29"/>
      <c r="AI902" s="30"/>
      <c r="AJ902" s="29"/>
      <c r="AK902" s="30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30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0">
        <f t="shared" si="113"/>
        <v>0</v>
      </c>
      <c r="BO902" s="20">
        <f t="shared" si="114"/>
        <v>31</v>
      </c>
      <c r="BP902" s="20">
        <f t="shared" si="115"/>
        <v>23</v>
      </c>
      <c r="BQ902" s="55">
        <f t="shared" si="118"/>
        <v>5.29</v>
      </c>
      <c r="BR902" s="56" t="s">
        <v>688</v>
      </c>
      <c r="BS902" s="91" t="s">
        <v>688</v>
      </c>
      <c r="BT902" s="57"/>
      <c r="BU902" s="35" t="s">
        <v>1351</v>
      </c>
    </row>
    <row r="903" s="1" customFormat="1" customHeight="1" spans="1:73">
      <c r="A903" s="15" t="s">
        <v>1358</v>
      </c>
      <c r="B903" s="15">
        <v>270</v>
      </c>
      <c r="C903" s="16">
        <v>87</v>
      </c>
      <c r="D903" s="29"/>
      <c r="E903" s="29"/>
      <c r="F903" s="29"/>
      <c r="G903" s="30"/>
      <c r="H903" s="29"/>
      <c r="I903" s="29"/>
      <c r="J903" s="29"/>
      <c r="K903" s="29"/>
      <c r="L903" s="29"/>
      <c r="M903" s="30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30"/>
      <c r="AD903" s="29"/>
      <c r="AE903" s="29"/>
      <c r="AF903" s="29"/>
      <c r="AG903" s="30"/>
      <c r="AH903" s="29"/>
      <c r="AI903" s="30"/>
      <c r="AJ903" s="29"/>
      <c r="AK903" s="30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30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0">
        <f t="shared" si="113"/>
        <v>0</v>
      </c>
      <c r="BO903" s="20">
        <f t="shared" si="114"/>
        <v>0</v>
      </c>
      <c r="BP903" s="20">
        <f t="shared" si="115"/>
        <v>87</v>
      </c>
      <c r="BQ903" s="55">
        <f t="shared" si="118"/>
        <v>23.49</v>
      </c>
      <c r="BR903" s="56" t="s">
        <v>1364</v>
      </c>
      <c r="BS903" s="91" t="s">
        <v>1319</v>
      </c>
      <c r="BT903" s="57"/>
      <c r="BU903" s="35" t="s">
        <v>1351</v>
      </c>
    </row>
    <row r="904" s="1" customFormat="1" customHeight="1" spans="1:73">
      <c r="A904" s="15" t="s">
        <v>1358</v>
      </c>
      <c r="B904" s="15">
        <v>305</v>
      </c>
      <c r="C904" s="16">
        <v>100</v>
      </c>
      <c r="D904" s="29"/>
      <c r="E904" s="29"/>
      <c r="F904" s="29"/>
      <c r="G904" s="30"/>
      <c r="H904" s="29"/>
      <c r="I904" s="29"/>
      <c r="J904" s="29"/>
      <c r="K904" s="29"/>
      <c r="L904" s="29"/>
      <c r="M904" s="30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30"/>
      <c r="Z904" s="29"/>
      <c r="AA904" s="29"/>
      <c r="AB904" s="29"/>
      <c r="AC904" s="30"/>
      <c r="AD904" s="29"/>
      <c r="AE904" s="29"/>
      <c r="AF904" s="29"/>
      <c r="AG904" s="30"/>
      <c r="AH904" s="29"/>
      <c r="AI904" s="30"/>
      <c r="AJ904" s="29"/>
      <c r="AK904" s="30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30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0">
        <f t="shared" si="113"/>
        <v>0</v>
      </c>
      <c r="BO904" s="20">
        <f t="shared" si="114"/>
        <v>0</v>
      </c>
      <c r="BP904" s="20">
        <f t="shared" si="115"/>
        <v>100</v>
      </c>
      <c r="BQ904" s="55">
        <f t="shared" si="118"/>
        <v>30.5</v>
      </c>
      <c r="BR904" s="56" t="s">
        <v>994</v>
      </c>
      <c r="BS904" s="91" t="s">
        <v>995</v>
      </c>
      <c r="BT904" s="57"/>
      <c r="BU904" s="35" t="s">
        <v>1351</v>
      </c>
    </row>
    <row r="905" s="1" customFormat="1" customHeight="1" spans="1:73">
      <c r="A905" s="15" t="s">
        <v>1358</v>
      </c>
      <c r="B905" s="15">
        <v>344</v>
      </c>
      <c r="C905" s="16">
        <v>100</v>
      </c>
      <c r="D905" s="29"/>
      <c r="E905" s="29"/>
      <c r="F905" s="29"/>
      <c r="G905" s="30"/>
      <c r="H905" s="29"/>
      <c r="I905" s="29"/>
      <c r="J905" s="29"/>
      <c r="K905" s="29"/>
      <c r="L905" s="29"/>
      <c r="M905" s="30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30"/>
      <c r="Z905" s="29"/>
      <c r="AA905" s="29"/>
      <c r="AB905" s="29"/>
      <c r="AC905" s="30"/>
      <c r="AD905" s="29"/>
      <c r="AE905" s="29"/>
      <c r="AF905" s="29"/>
      <c r="AG905" s="30"/>
      <c r="AH905" s="29"/>
      <c r="AI905" s="30"/>
      <c r="AJ905" s="29"/>
      <c r="AK905" s="30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30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0">
        <f t="shared" si="113"/>
        <v>0</v>
      </c>
      <c r="BO905" s="20">
        <f t="shared" si="114"/>
        <v>0</v>
      </c>
      <c r="BP905" s="20">
        <f t="shared" si="115"/>
        <v>100</v>
      </c>
      <c r="BQ905" s="55">
        <f t="shared" si="118"/>
        <v>34.4</v>
      </c>
      <c r="BR905" s="56" t="s">
        <v>1318</v>
      </c>
      <c r="BS905" s="91" t="s">
        <v>1319</v>
      </c>
      <c r="BT905" s="57"/>
      <c r="BU905" s="35" t="s">
        <v>1351</v>
      </c>
    </row>
    <row r="906" s="1" customFormat="1" customHeight="1" spans="1:73">
      <c r="A906" s="53" t="s">
        <v>1365</v>
      </c>
      <c r="B906" s="15"/>
      <c r="C906" s="16"/>
      <c r="D906" s="29"/>
      <c r="E906" s="30"/>
      <c r="F906" s="29"/>
      <c r="G906" s="29"/>
      <c r="H906" s="29"/>
      <c r="I906" s="30"/>
      <c r="J906" s="29"/>
      <c r="K906" s="29"/>
      <c r="L906" s="29"/>
      <c r="M906" s="29"/>
      <c r="N906" s="29"/>
      <c r="O906" s="30"/>
      <c r="P906" s="29"/>
      <c r="Q906" s="29"/>
      <c r="R906" s="29"/>
      <c r="S906" s="30"/>
      <c r="T906" s="29"/>
      <c r="U906" s="29"/>
      <c r="V906" s="29"/>
      <c r="W906" s="29"/>
      <c r="X906" s="29"/>
      <c r="Y906" s="29"/>
      <c r="Z906" s="29"/>
      <c r="AA906" s="30"/>
      <c r="AB906" s="29"/>
      <c r="AC906" s="30"/>
      <c r="AD906" s="29"/>
      <c r="AE906" s="82"/>
      <c r="AF906" s="29"/>
      <c r="AG906" s="30"/>
      <c r="AH906" s="29"/>
      <c r="AI906" s="29"/>
      <c r="AJ906" s="29"/>
      <c r="AK906" s="30"/>
      <c r="AL906" s="29"/>
      <c r="AM906" s="29"/>
      <c r="AN906" s="29"/>
      <c r="AO906" s="29"/>
      <c r="AP906" s="29"/>
      <c r="AQ906" s="29"/>
      <c r="AR906" s="29"/>
      <c r="AS906" s="29"/>
      <c r="AT906" s="29"/>
      <c r="AU906" s="30"/>
      <c r="AV906" s="29"/>
      <c r="AW906" s="29"/>
      <c r="AX906" s="29"/>
      <c r="AY906" s="29"/>
      <c r="AZ906" s="29"/>
      <c r="BA906" s="30"/>
      <c r="BB906" s="29"/>
      <c r="BC906" s="29"/>
      <c r="BD906" s="29"/>
      <c r="BE906" s="82"/>
      <c r="BF906" s="29"/>
      <c r="BG906" s="30"/>
      <c r="BH906" s="29"/>
      <c r="BI906" s="29"/>
      <c r="BJ906" s="29"/>
      <c r="BK906" s="29"/>
      <c r="BL906" s="29"/>
      <c r="BM906" s="29"/>
      <c r="BN906" s="20">
        <f t="shared" si="113"/>
        <v>0</v>
      </c>
      <c r="BO906" s="20">
        <f t="shared" si="114"/>
        <v>0</v>
      </c>
      <c r="BP906" s="20">
        <f t="shared" si="115"/>
        <v>0</v>
      </c>
      <c r="BQ906" s="51"/>
      <c r="BR906" s="56"/>
      <c r="BS906" s="91"/>
      <c r="BT906" s="36"/>
      <c r="BU906" s="112"/>
    </row>
    <row r="907" s="1" customFormat="1" customHeight="1" spans="1:73">
      <c r="A907" s="15" t="s">
        <v>1366</v>
      </c>
      <c r="B907" s="15">
        <v>95</v>
      </c>
      <c r="C907" s="16">
        <v>16</v>
      </c>
      <c r="D907" s="29"/>
      <c r="E907" s="30"/>
      <c r="F907" s="29"/>
      <c r="G907" s="29"/>
      <c r="H907" s="29"/>
      <c r="I907" s="30"/>
      <c r="J907" s="29"/>
      <c r="K907" s="29"/>
      <c r="L907" s="29"/>
      <c r="M907" s="29"/>
      <c r="N907" s="29"/>
      <c r="O907" s="30"/>
      <c r="P907" s="29"/>
      <c r="Q907" s="29"/>
      <c r="R907" s="29"/>
      <c r="S907" s="30"/>
      <c r="T907" s="29"/>
      <c r="U907" s="29"/>
      <c r="V907" s="29"/>
      <c r="W907" s="29"/>
      <c r="X907" s="29"/>
      <c r="Y907" s="29"/>
      <c r="Z907" s="29"/>
      <c r="AA907" s="30"/>
      <c r="AB907" s="29"/>
      <c r="AC907" s="30"/>
      <c r="AD907" s="29"/>
      <c r="AE907" s="29"/>
      <c r="AF907" s="29"/>
      <c r="AG907" s="30"/>
      <c r="AH907" s="29"/>
      <c r="AI907" s="29"/>
      <c r="AJ907" s="29"/>
      <c r="AK907" s="30"/>
      <c r="AL907" s="29"/>
      <c r="AM907" s="29"/>
      <c r="AN907" s="29"/>
      <c r="AO907" s="29"/>
      <c r="AP907" s="29"/>
      <c r="AQ907" s="29"/>
      <c r="AR907" s="29"/>
      <c r="AS907" s="29"/>
      <c r="AT907" s="29"/>
      <c r="AU907" s="30"/>
      <c r="AV907" s="29"/>
      <c r="AW907" s="29"/>
      <c r="AX907" s="29"/>
      <c r="AY907" s="29"/>
      <c r="AZ907" s="29"/>
      <c r="BA907" s="30"/>
      <c r="BB907" s="29"/>
      <c r="BC907" s="29"/>
      <c r="BD907" s="29"/>
      <c r="BE907" s="82"/>
      <c r="BF907" s="29"/>
      <c r="BG907" s="30"/>
      <c r="BH907" s="29"/>
      <c r="BI907" s="29"/>
      <c r="BJ907" s="29"/>
      <c r="BK907" s="29"/>
      <c r="BL907" s="29"/>
      <c r="BM907" s="29"/>
      <c r="BN907" s="20">
        <f t="shared" si="113"/>
        <v>0</v>
      </c>
      <c r="BO907" s="20">
        <f t="shared" si="114"/>
        <v>0</v>
      </c>
      <c r="BP907" s="20">
        <f t="shared" si="115"/>
        <v>16</v>
      </c>
      <c r="BQ907" s="51">
        <f t="shared" ref="BQ907:BQ915" si="119">B907*BP907/1000</f>
        <v>1.52</v>
      </c>
      <c r="BR907" s="56" t="s">
        <v>1367</v>
      </c>
      <c r="BS907" s="91" t="s">
        <v>1368</v>
      </c>
      <c r="BT907" s="36"/>
      <c r="BU907" s="35" t="s">
        <v>1369</v>
      </c>
    </row>
    <row r="908" s="1" customFormat="1" customHeight="1" spans="1:73">
      <c r="A908" s="15" t="s">
        <v>1366</v>
      </c>
      <c r="B908" s="15">
        <v>105</v>
      </c>
      <c r="C908" s="16">
        <v>169</v>
      </c>
      <c r="D908" s="29"/>
      <c r="E908" s="30"/>
      <c r="F908" s="29"/>
      <c r="G908" s="29"/>
      <c r="H908" s="29"/>
      <c r="I908" s="30"/>
      <c r="J908" s="29"/>
      <c r="K908" s="29"/>
      <c r="L908" s="29"/>
      <c r="M908" s="29"/>
      <c r="N908" s="29"/>
      <c r="O908" s="30"/>
      <c r="P908" s="29"/>
      <c r="Q908" s="29"/>
      <c r="R908" s="29"/>
      <c r="S908" s="30"/>
      <c r="T908" s="29"/>
      <c r="U908" s="29"/>
      <c r="V908" s="29"/>
      <c r="W908" s="29"/>
      <c r="X908" s="29"/>
      <c r="Y908" s="29"/>
      <c r="Z908" s="29"/>
      <c r="AA908" s="30"/>
      <c r="AB908" s="29"/>
      <c r="AC908" s="30"/>
      <c r="AD908" s="29"/>
      <c r="AE908" s="29"/>
      <c r="AF908" s="29"/>
      <c r="AG908" s="30"/>
      <c r="AH908" s="29"/>
      <c r="AI908" s="29"/>
      <c r="AJ908" s="29"/>
      <c r="AK908" s="30"/>
      <c r="AL908" s="29"/>
      <c r="AM908" s="29"/>
      <c r="AN908" s="29"/>
      <c r="AO908" s="29"/>
      <c r="AP908" s="29"/>
      <c r="AQ908" s="29"/>
      <c r="AR908" s="29"/>
      <c r="AS908" s="29"/>
      <c r="AT908" s="29"/>
      <c r="AU908" s="30"/>
      <c r="AV908" s="29"/>
      <c r="AW908" s="29"/>
      <c r="AX908" s="29"/>
      <c r="AY908" s="29"/>
      <c r="AZ908" s="29"/>
      <c r="BA908" s="30"/>
      <c r="BB908" s="29"/>
      <c r="BC908" s="29"/>
      <c r="BD908" s="29"/>
      <c r="BE908" s="82"/>
      <c r="BF908" s="29"/>
      <c r="BG908" s="30"/>
      <c r="BH908" s="29"/>
      <c r="BI908" s="29"/>
      <c r="BJ908" s="29"/>
      <c r="BK908" s="29"/>
      <c r="BL908" s="29"/>
      <c r="BM908" s="29"/>
      <c r="BN908" s="20">
        <f t="shared" si="113"/>
        <v>0</v>
      </c>
      <c r="BO908" s="20">
        <f t="shared" si="114"/>
        <v>0</v>
      </c>
      <c r="BP908" s="20">
        <f t="shared" si="115"/>
        <v>169</v>
      </c>
      <c r="BQ908" s="51">
        <f t="shared" si="119"/>
        <v>17.745</v>
      </c>
      <c r="BR908" s="56" t="s">
        <v>1370</v>
      </c>
      <c r="BS908" s="91" t="s">
        <v>1323</v>
      </c>
      <c r="BT908" s="36" t="s">
        <v>1371</v>
      </c>
      <c r="BU908" s="35" t="s">
        <v>1369</v>
      </c>
    </row>
    <row r="909" s="1" customFormat="1" customHeight="1" spans="1:73">
      <c r="A909" s="15" t="s">
        <v>1366</v>
      </c>
      <c r="B909" s="15">
        <v>155</v>
      </c>
      <c r="C909" s="16">
        <v>129</v>
      </c>
      <c r="D909" s="29"/>
      <c r="E909" s="30"/>
      <c r="F909" s="29"/>
      <c r="G909" s="29"/>
      <c r="H909" s="29"/>
      <c r="I909" s="30"/>
      <c r="J909" s="29"/>
      <c r="K909" s="29"/>
      <c r="L909" s="29"/>
      <c r="M909" s="29"/>
      <c r="N909" s="29"/>
      <c r="O909" s="30"/>
      <c r="P909" s="29"/>
      <c r="Q909" s="29"/>
      <c r="R909" s="29"/>
      <c r="S909" s="30"/>
      <c r="T909" s="29"/>
      <c r="U909" s="29"/>
      <c r="V909" s="29"/>
      <c r="W909" s="29"/>
      <c r="X909" s="29"/>
      <c r="Y909" s="29"/>
      <c r="Z909" s="29"/>
      <c r="AA909" s="30"/>
      <c r="AB909" s="29"/>
      <c r="AC909" s="30"/>
      <c r="AD909" s="29"/>
      <c r="AE909" s="29"/>
      <c r="AF909" s="29"/>
      <c r="AG909" s="30"/>
      <c r="AH909" s="29"/>
      <c r="AI909" s="29"/>
      <c r="AJ909" s="29"/>
      <c r="AK909" s="30"/>
      <c r="AL909" s="29"/>
      <c r="AM909" s="29"/>
      <c r="AN909" s="29"/>
      <c r="AO909" s="29"/>
      <c r="AP909" s="29"/>
      <c r="AQ909" s="29"/>
      <c r="AR909" s="29"/>
      <c r="AS909" s="29"/>
      <c r="AT909" s="29"/>
      <c r="AU909" s="30"/>
      <c r="AV909" s="29"/>
      <c r="AW909" s="29"/>
      <c r="AX909" s="29"/>
      <c r="AY909" s="29"/>
      <c r="AZ909" s="29"/>
      <c r="BA909" s="30"/>
      <c r="BB909" s="29"/>
      <c r="BC909" s="29"/>
      <c r="BD909" s="29"/>
      <c r="BE909" s="82"/>
      <c r="BF909" s="29"/>
      <c r="BG909" s="30"/>
      <c r="BH909" s="29"/>
      <c r="BI909" s="29"/>
      <c r="BJ909" s="29"/>
      <c r="BK909" s="29"/>
      <c r="BL909" s="29"/>
      <c r="BM909" s="29"/>
      <c r="BN909" s="20">
        <f t="shared" si="113"/>
        <v>0</v>
      </c>
      <c r="BO909" s="20">
        <f t="shared" si="114"/>
        <v>0</v>
      </c>
      <c r="BP909" s="20">
        <f t="shared" si="115"/>
        <v>129</v>
      </c>
      <c r="BQ909" s="51">
        <f t="shared" si="119"/>
        <v>19.995</v>
      </c>
      <c r="BR909" s="56" t="s">
        <v>1372</v>
      </c>
      <c r="BS909" s="91" t="s">
        <v>1368</v>
      </c>
      <c r="BT909" s="36"/>
      <c r="BU909" s="35" t="s">
        <v>1369</v>
      </c>
    </row>
    <row r="910" s="1" customFormat="1" customHeight="1" spans="1:73">
      <c r="A910" s="15" t="s">
        <v>1366</v>
      </c>
      <c r="B910" s="15">
        <v>175</v>
      </c>
      <c r="C910" s="16">
        <v>16</v>
      </c>
      <c r="D910" s="29"/>
      <c r="E910" s="30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30"/>
      <c r="AH910" s="29"/>
      <c r="AI910" s="82"/>
      <c r="AJ910" s="29"/>
      <c r="AK910" s="30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30"/>
      <c r="BB910" s="29"/>
      <c r="BC910" s="29"/>
      <c r="BD910" s="29"/>
      <c r="BE910" s="29"/>
      <c r="BF910" s="29"/>
      <c r="BG910" s="29"/>
      <c r="BH910" s="29"/>
      <c r="BI910" s="29"/>
      <c r="BJ910" s="29"/>
      <c r="BK910" s="82"/>
      <c r="BL910" s="29"/>
      <c r="BM910" s="29"/>
      <c r="BN910" s="20">
        <f t="shared" si="113"/>
        <v>0</v>
      </c>
      <c r="BO910" s="20">
        <f t="shared" si="114"/>
        <v>0</v>
      </c>
      <c r="BP910" s="20">
        <f t="shared" si="115"/>
        <v>16</v>
      </c>
      <c r="BQ910" s="51">
        <f t="shared" si="119"/>
        <v>2.8</v>
      </c>
      <c r="BR910" s="56" t="s">
        <v>1373</v>
      </c>
      <c r="BS910" s="91" t="s">
        <v>1323</v>
      </c>
      <c r="BT910" s="36"/>
      <c r="BU910" s="35" t="s">
        <v>1369</v>
      </c>
    </row>
    <row r="911" s="1" customFormat="1" customHeight="1" spans="1:73">
      <c r="A911" s="15" t="s">
        <v>1366</v>
      </c>
      <c r="B911" s="15">
        <v>190</v>
      </c>
      <c r="C911" s="16">
        <v>100</v>
      </c>
      <c r="D911" s="29"/>
      <c r="E911" s="30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30"/>
      <c r="AH911" s="29"/>
      <c r="AI911" s="82"/>
      <c r="AJ911" s="29"/>
      <c r="AK911" s="30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30"/>
      <c r="BB911" s="29"/>
      <c r="BC911" s="29"/>
      <c r="BD911" s="29"/>
      <c r="BE911" s="29"/>
      <c r="BF911" s="29"/>
      <c r="BG911" s="29"/>
      <c r="BH911" s="29"/>
      <c r="BI911" s="29"/>
      <c r="BJ911" s="29"/>
      <c r="BK911" s="82"/>
      <c r="BL911" s="29"/>
      <c r="BM911" s="29"/>
      <c r="BN911" s="20">
        <f t="shared" si="113"/>
        <v>0</v>
      </c>
      <c r="BO911" s="20">
        <f t="shared" si="114"/>
        <v>0</v>
      </c>
      <c r="BP911" s="20">
        <f t="shared" si="115"/>
        <v>100</v>
      </c>
      <c r="BQ911" s="51">
        <f t="shared" si="119"/>
        <v>19</v>
      </c>
      <c r="BR911" s="56" t="s">
        <v>102</v>
      </c>
      <c r="BS911" s="91" t="s">
        <v>1374</v>
      </c>
      <c r="BT911" s="36"/>
      <c r="BU911" s="35" t="s">
        <v>1369</v>
      </c>
    </row>
    <row r="912" s="1" customFormat="1" customHeight="1" spans="1:73">
      <c r="A912" s="15" t="s">
        <v>1366</v>
      </c>
      <c r="B912" s="15">
        <v>205</v>
      </c>
      <c r="C912" s="16">
        <v>160</v>
      </c>
      <c r="D912" s="29"/>
      <c r="E912" s="30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30"/>
      <c r="AH912" s="29"/>
      <c r="AI912" s="82"/>
      <c r="AJ912" s="29"/>
      <c r="AK912" s="30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30"/>
      <c r="BB912" s="29"/>
      <c r="BC912" s="29"/>
      <c r="BD912" s="29"/>
      <c r="BE912" s="29"/>
      <c r="BF912" s="29"/>
      <c r="BG912" s="29"/>
      <c r="BH912" s="29"/>
      <c r="BI912" s="29"/>
      <c r="BJ912" s="29"/>
      <c r="BK912" s="82"/>
      <c r="BL912" s="29"/>
      <c r="BM912" s="29"/>
      <c r="BN912" s="20">
        <f t="shared" si="113"/>
        <v>0</v>
      </c>
      <c r="BO912" s="20">
        <f t="shared" si="114"/>
        <v>0</v>
      </c>
      <c r="BP912" s="20">
        <f t="shared" si="115"/>
        <v>160</v>
      </c>
      <c r="BQ912" s="51">
        <f t="shared" si="119"/>
        <v>32.8</v>
      </c>
      <c r="BR912" s="56" t="s">
        <v>820</v>
      </c>
      <c r="BS912" s="91" t="s">
        <v>821</v>
      </c>
      <c r="BT912" s="36"/>
      <c r="BU912" s="35" t="s">
        <v>1369</v>
      </c>
    </row>
    <row r="913" s="1" customFormat="1" customHeight="1" spans="1:73">
      <c r="A913" s="15" t="s">
        <v>1366</v>
      </c>
      <c r="B913" s="15">
        <v>260</v>
      </c>
      <c r="C913" s="16">
        <v>93</v>
      </c>
      <c r="D913" s="29"/>
      <c r="E913" s="30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30"/>
      <c r="AH913" s="29"/>
      <c r="AI913" s="82"/>
      <c r="AJ913" s="29"/>
      <c r="AK913" s="30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30"/>
      <c r="BB913" s="29"/>
      <c r="BC913" s="29"/>
      <c r="BD913" s="29"/>
      <c r="BE913" s="29"/>
      <c r="BF913" s="29"/>
      <c r="BG913" s="29"/>
      <c r="BH913" s="29"/>
      <c r="BI913" s="29"/>
      <c r="BJ913" s="29"/>
      <c r="BK913" s="82"/>
      <c r="BL913" s="29"/>
      <c r="BM913" s="29"/>
      <c r="BN913" s="20">
        <f t="shared" si="113"/>
        <v>0</v>
      </c>
      <c r="BO913" s="20">
        <f t="shared" si="114"/>
        <v>0</v>
      </c>
      <c r="BP913" s="20">
        <f t="shared" si="115"/>
        <v>93</v>
      </c>
      <c r="BQ913" s="51">
        <f t="shared" si="119"/>
        <v>24.18</v>
      </c>
      <c r="BR913" s="56" t="s">
        <v>1375</v>
      </c>
      <c r="BS913" s="91" t="s">
        <v>1376</v>
      </c>
      <c r="BT913" s="36"/>
      <c r="BU913" s="35" t="s">
        <v>1369</v>
      </c>
    </row>
    <row r="914" s="1" customFormat="1" customHeight="1" spans="1:73">
      <c r="A914" s="15" t="s">
        <v>1366</v>
      </c>
      <c r="B914" s="15">
        <v>305</v>
      </c>
      <c r="C914" s="16">
        <v>27</v>
      </c>
      <c r="D914" s="29"/>
      <c r="E914" s="30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30"/>
      <c r="AH914" s="29"/>
      <c r="AI914" s="82"/>
      <c r="AJ914" s="29"/>
      <c r="AK914" s="30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30"/>
      <c r="BB914" s="29"/>
      <c r="BC914" s="29"/>
      <c r="BD914" s="29"/>
      <c r="BE914" s="29"/>
      <c r="BF914" s="29"/>
      <c r="BG914" s="29"/>
      <c r="BH914" s="29"/>
      <c r="BI914" s="29"/>
      <c r="BJ914" s="29"/>
      <c r="BK914" s="82"/>
      <c r="BL914" s="29"/>
      <c r="BM914" s="29"/>
      <c r="BN914" s="20">
        <f t="shared" si="113"/>
        <v>0</v>
      </c>
      <c r="BO914" s="20">
        <f t="shared" si="114"/>
        <v>0</v>
      </c>
      <c r="BP914" s="20">
        <f t="shared" si="115"/>
        <v>27</v>
      </c>
      <c r="BQ914" s="51">
        <f t="shared" si="119"/>
        <v>8.235</v>
      </c>
      <c r="BR914" s="56" t="s">
        <v>683</v>
      </c>
      <c r="BS914" s="91" t="s">
        <v>684</v>
      </c>
      <c r="BT914" s="36"/>
      <c r="BU914" s="35" t="s">
        <v>1369</v>
      </c>
    </row>
    <row r="915" s="1" customFormat="1" customHeight="1" spans="1:73">
      <c r="A915" s="15" t="s">
        <v>1366</v>
      </c>
      <c r="B915" s="15">
        <v>655</v>
      </c>
      <c r="C915" s="16">
        <v>100</v>
      </c>
      <c r="D915" s="29"/>
      <c r="E915" s="30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30"/>
      <c r="AH915" s="29"/>
      <c r="AI915" s="82"/>
      <c r="AJ915" s="29"/>
      <c r="AK915" s="30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30"/>
      <c r="BB915" s="29"/>
      <c r="BC915" s="29"/>
      <c r="BD915" s="29"/>
      <c r="BE915" s="29"/>
      <c r="BF915" s="29"/>
      <c r="BG915" s="29"/>
      <c r="BH915" s="29"/>
      <c r="BI915" s="29"/>
      <c r="BJ915" s="29"/>
      <c r="BK915" s="82"/>
      <c r="BL915" s="29"/>
      <c r="BM915" s="29"/>
      <c r="BN915" s="20">
        <f t="shared" si="113"/>
        <v>0</v>
      </c>
      <c r="BO915" s="20">
        <f t="shared" si="114"/>
        <v>0</v>
      </c>
      <c r="BP915" s="20">
        <f t="shared" si="115"/>
        <v>100</v>
      </c>
      <c r="BQ915" s="51">
        <f t="shared" si="119"/>
        <v>65.5</v>
      </c>
      <c r="BR915" s="56" t="s">
        <v>683</v>
      </c>
      <c r="BS915" s="91" t="s">
        <v>684</v>
      </c>
      <c r="BT915" s="36"/>
      <c r="BU915" s="35" t="s">
        <v>1369</v>
      </c>
    </row>
    <row r="916" s="1" customFormat="1" customHeight="1" spans="1:73">
      <c r="A916" s="53" t="s">
        <v>1377</v>
      </c>
      <c r="B916" s="15"/>
      <c r="C916" s="16"/>
      <c r="D916" s="29"/>
      <c r="E916" s="30"/>
      <c r="F916" s="29"/>
      <c r="G916" s="29"/>
      <c r="H916" s="29"/>
      <c r="I916" s="29"/>
      <c r="J916" s="29"/>
      <c r="K916" s="29"/>
      <c r="L916" s="29"/>
      <c r="M916" s="30"/>
      <c r="N916" s="29"/>
      <c r="O916" s="29"/>
      <c r="P916" s="29"/>
      <c r="Q916" s="30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30"/>
      <c r="AE916" s="82"/>
      <c r="AF916" s="29"/>
      <c r="AG916" s="30"/>
      <c r="AH916" s="29"/>
      <c r="AI916" s="29"/>
      <c r="AJ916" s="29"/>
      <c r="AK916" s="30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82"/>
      <c r="BL916" s="29"/>
      <c r="BM916" s="29"/>
      <c r="BN916" s="20">
        <f t="shared" si="113"/>
        <v>0</v>
      </c>
      <c r="BO916" s="20">
        <f t="shared" si="114"/>
        <v>0</v>
      </c>
      <c r="BP916" s="20">
        <f t="shared" si="115"/>
        <v>0</v>
      </c>
      <c r="BQ916" s="51"/>
      <c r="BR916" s="56"/>
      <c r="BS916" s="111"/>
      <c r="BT916" s="36"/>
      <c r="BU916" s="112"/>
    </row>
    <row r="917" s="1" customFormat="1" customHeight="1" spans="1:73">
      <c r="A917" s="15" t="s">
        <v>1378</v>
      </c>
      <c r="B917" s="15">
        <v>178</v>
      </c>
      <c r="C917" s="16">
        <v>100</v>
      </c>
      <c r="D917" s="29"/>
      <c r="E917" s="30"/>
      <c r="F917" s="29"/>
      <c r="G917" s="29"/>
      <c r="H917" s="29"/>
      <c r="I917" s="29"/>
      <c r="J917" s="29"/>
      <c r="K917" s="82"/>
      <c r="L917" s="29"/>
      <c r="M917" s="30"/>
      <c r="N917" s="29"/>
      <c r="O917" s="30"/>
      <c r="P917" s="29"/>
      <c r="Q917" s="30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30"/>
      <c r="AE917" s="82"/>
      <c r="AF917" s="29"/>
      <c r="AG917" s="30"/>
      <c r="AH917" s="29"/>
      <c r="AI917" s="29"/>
      <c r="AJ917" s="29"/>
      <c r="AK917" s="82"/>
      <c r="AL917" s="29"/>
      <c r="AM917" s="29"/>
      <c r="AN917" s="29"/>
      <c r="AO917" s="29"/>
      <c r="AP917" s="29"/>
      <c r="AQ917" s="30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0">
        <f t="shared" si="113"/>
        <v>0</v>
      </c>
      <c r="BO917" s="20">
        <f t="shared" si="114"/>
        <v>0</v>
      </c>
      <c r="BP917" s="20">
        <f t="shared" si="115"/>
        <v>100</v>
      </c>
      <c r="BQ917" s="51">
        <f t="shared" ref="BQ917:BQ920" si="120">B917*BP917/1000</f>
        <v>17.8</v>
      </c>
      <c r="BR917" s="56" t="s">
        <v>1379</v>
      </c>
      <c r="BS917" s="91" t="s">
        <v>1323</v>
      </c>
      <c r="BT917" s="36"/>
      <c r="BU917" s="35" t="s">
        <v>1380</v>
      </c>
    </row>
    <row r="918" s="1" customFormat="1" customHeight="1" spans="1:73">
      <c r="A918" s="15" t="s">
        <v>1378</v>
      </c>
      <c r="B918" s="15">
        <v>270</v>
      </c>
      <c r="C918" s="16">
        <v>40</v>
      </c>
      <c r="D918" s="29"/>
      <c r="E918" s="30"/>
      <c r="F918" s="29"/>
      <c r="G918" s="29"/>
      <c r="H918" s="29"/>
      <c r="I918" s="29"/>
      <c r="J918" s="29"/>
      <c r="K918" s="82"/>
      <c r="L918" s="29"/>
      <c r="M918" s="30"/>
      <c r="N918" s="29"/>
      <c r="O918" s="30"/>
      <c r="P918" s="29"/>
      <c r="Q918" s="30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30"/>
      <c r="AE918" s="82"/>
      <c r="AF918" s="29"/>
      <c r="AG918" s="30"/>
      <c r="AH918" s="29"/>
      <c r="AI918" s="29"/>
      <c r="AJ918" s="29"/>
      <c r="AK918" s="82"/>
      <c r="AL918" s="29"/>
      <c r="AM918" s="29"/>
      <c r="AN918" s="29"/>
      <c r="AO918" s="29"/>
      <c r="AP918" s="29"/>
      <c r="AQ918" s="30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0">
        <f t="shared" si="113"/>
        <v>0</v>
      </c>
      <c r="BO918" s="20">
        <f t="shared" si="114"/>
        <v>0</v>
      </c>
      <c r="BP918" s="20">
        <f t="shared" si="115"/>
        <v>40</v>
      </c>
      <c r="BQ918" s="51">
        <f t="shared" si="120"/>
        <v>10.8</v>
      </c>
      <c r="BR918" s="56" t="s">
        <v>1379</v>
      </c>
      <c r="BS918" s="91" t="s">
        <v>1323</v>
      </c>
      <c r="BT918" s="36"/>
      <c r="BU918" s="35" t="s">
        <v>1380</v>
      </c>
    </row>
    <row r="919" s="1" customFormat="1" customHeight="1" spans="1:73">
      <c r="A919" s="53" t="s">
        <v>1381</v>
      </c>
      <c r="B919" s="15"/>
      <c r="C919" s="16"/>
      <c r="D919" s="29"/>
      <c r="E919" s="30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30"/>
      <c r="AH919" s="29"/>
      <c r="AI919" s="29"/>
      <c r="AJ919" s="29"/>
      <c r="AK919" s="30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0">
        <f t="shared" si="113"/>
        <v>0</v>
      </c>
      <c r="BO919" s="20">
        <f t="shared" si="114"/>
        <v>0</v>
      </c>
      <c r="BP919" s="20">
        <f t="shared" si="115"/>
        <v>0</v>
      </c>
      <c r="BQ919" s="51"/>
      <c r="BR919" s="56"/>
      <c r="BS919" s="111"/>
      <c r="BT919" s="36"/>
      <c r="BU919" s="112"/>
    </row>
    <row r="920" s="1" customFormat="1" customHeight="1" spans="1:73">
      <c r="A920" s="15" t="s">
        <v>1382</v>
      </c>
      <c r="B920" s="15">
        <v>125</v>
      </c>
      <c r="C920" s="16">
        <v>17</v>
      </c>
      <c r="D920" s="29"/>
      <c r="E920" s="30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30"/>
      <c r="AH920" s="29"/>
      <c r="AI920" s="29"/>
      <c r="AJ920" s="29"/>
      <c r="AK920" s="30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0">
        <f t="shared" si="113"/>
        <v>0</v>
      </c>
      <c r="BO920" s="20">
        <f t="shared" si="114"/>
        <v>0</v>
      </c>
      <c r="BP920" s="20">
        <f t="shared" si="115"/>
        <v>17</v>
      </c>
      <c r="BQ920" s="51">
        <f t="shared" si="120"/>
        <v>2.125</v>
      </c>
      <c r="BR920" s="56" t="s">
        <v>1383</v>
      </c>
      <c r="BS920" s="91" t="s">
        <v>1323</v>
      </c>
      <c r="BT920" s="36" t="s">
        <v>1384</v>
      </c>
      <c r="BU920" s="35" t="s">
        <v>1380</v>
      </c>
    </row>
    <row r="921" s="1" customFormat="1" customHeight="1" spans="1:73">
      <c r="A921" s="53" t="s">
        <v>1385</v>
      </c>
      <c r="B921" s="15"/>
      <c r="C921" s="16"/>
      <c r="D921" s="150"/>
      <c r="E921" s="150"/>
      <c r="F921" s="150"/>
      <c r="G921" s="29"/>
      <c r="H921" s="150"/>
      <c r="I921" s="150"/>
      <c r="J921" s="150"/>
      <c r="K921" s="150"/>
      <c r="L921" s="150"/>
      <c r="M921" s="150"/>
      <c r="N921" s="150"/>
      <c r="O921" s="150"/>
      <c r="P921" s="29"/>
      <c r="Q921" s="150"/>
      <c r="R921" s="29"/>
      <c r="S921" s="150"/>
      <c r="T921" s="150"/>
      <c r="U921" s="150"/>
      <c r="V921" s="29"/>
      <c r="W921" s="29"/>
      <c r="X921" s="150"/>
      <c r="Y921" s="29"/>
      <c r="Z921" s="150"/>
      <c r="AA921" s="150"/>
      <c r="AB921" s="150"/>
      <c r="AC921" s="29"/>
      <c r="AD921" s="150"/>
      <c r="AE921" s="150"/>
      <c r="AF921" s="150"/>
      <c r="AG921" s="29"/>
      <c r="AH921" s="150"/>
      <c r="AI921" s="150"/>
      <c r="AJ921" s="150"/>
      <c r="AK921" s="150"/>
      <c r="AL921" s="150"/>
      <c r="AM921" s="29"/>
      <c r="AN921" s="150"/>
      <c r="AO921" s="29"/>
      <c r="AP921" s="150"/>
      <c r="AQ921" s="150"/>
      <c r="AR921" s="150"/>
      <c r="AS921" s="150"/>
      <c r="AT921" s="150"/>
      <c r="AU921" s="150"/>
      <c r="AV921" s="150"/>
      <c r="AW921" s="150"/>
      <c r="AX921" s="150"/>
      <c r="AY921" s="29"/>
      <c r="AZ921" s="150"/>
      <c r="BA921" s="150"/>
      <c r="BB921" s="150"/>
      <c r="BC921" s="150"/>
      <c r="BD921" s="150"/>
      <c r="BE921" s="29"/>
      <c r="BF921" s="150"/>
      <c r="BG921" s="150"/>
      <c r="BH921" s="150"/>
      <c r="BI921" s="29"/>
      <c r="BJ921" s="150"/>
      <c r="BK921" s="150"/>
      <c r="BL921" s="150"/>
      <c r="BM921" s="150"/>
      <c r="BN921" s="20">
        <f t="shared" si="113"/>
        <v>0</v>
      </c>
      <c r="BO921" s="20">
        <f t="shared" si="114"/>
        <v>0</v>
      </c>
      <c r="BP921" s="20">
        <f t="shared" si="115"/>
        <v>0</v>
      </c>
      <c r="BQ921" s="51"/>
      <c r="BR921" s="56"/>
      <c r="BS921" s="111"/>
      <c r="BT921" s="36"/>
      <c r="BU921" s="112"/>
    </row>
    <row r="922" s="1" customFormat="1" customHeight="1" spans="1:73">
      <c r="A922" s="15" t="s">
        <v>1386</v>
      </c>
      <c r="B922" s="15">
        <v>28</v>
      </c>
      <c r="C922" s="16">
        <v>100</v>
      </c>
      <c r="D922" s="150"/>
      <c r="E922" s="150"/>
      <c r="F922" s="150"/>
      <c r="G922" s="29"/>
      <c r="H922" s="150"/>
      <c r="I922" s="150"/>
      <c r="J922" s="150"/>
      <c r="K922" s="150"/>
      <c r="L922" s="150"/>
      <c r="M922" s="150"/>
      <c r="N922" s="150"/>
      <c r="O922" s="150"/>
      <c r="P922" s="29"/>
      <c r="Q922" s="150"/>
      <c r="R922" s="29"/>
      <c r="S922" s="150"/>
      <c r="T922" s="150"/>
      <c r="U922" s="150"/>
      <c r="V922" s="29"/>
      <c r="W922" s="29"/>
      <c r="X922" s="150"/>
      <c r="Y922" s="29"/>
      <c r="Z922" s="150"/>
      <c r="AA922" s="150"/>
      <c r="AB922" s="150"/>
      <c r="AC922" s="29"/>
      <c r="AD922" s="150"/>
      <c r="AE922" s="150"/>
      <c r="AF922" s="150"/>
      <c r="AG922" s="29"/>
      <c r="AH922" s="150"/>
      <c r="AI922" s="150"/>
      <c r="AJ922" s="150"/>
      <c r="AK922" s="150"/>
      <c r="AL922" s="29"/>
      <c r="AM922" s="29"/>
      <c r="AN922" s="150"/>
      <c r="AO922" s="29"/>
      <c r="AP922" s="150"/>
      <c r="AQ922" s="150"/>
      <c r="AR922" s="150"/>
      <c r="AS922" s="150"/>
      <c r="AT922" s="150"/>
      <c r="AU922" s="150"/>
      <c r="AV922" s="150"/>
      <c r="AW922" s="150"/>
      <c r="AX922" s="150"/>
      <c r="AY922" s="29"/>
      <c r="AZ922" s="150"/>
      <c r="BA922" s="150"/>
      <c r="BB922" s="150"/>
      <c r="BC922" s="150"/>
      <c r="BD922" s="150"/>
      <c r="BE922" s="29"/>
      <c r="BF922" s="150"/>
      <c r="BG922" s="150"/>
      <c r="BH922" s="150"/>
      <c r="BI922" s="29"/>
      <c r="BJ922" s="150"/>
      <c r="BK922" s="150"/>
      <c r="BL922" s="150"/>
      <c r="BM922" s="150"/>
      <c r="BN922" s="20">
        <f t="shared" si="113"/>
        <v>0</v>
      </c>
      <c r="BO922" s="20">
        <f t="shared" si="114"/>
        <v>0</v>
      </c>
      <c r="BP922" s="20">
        <f t="shared" si="115"/>
        <v>100</v>
      </c>
      <c r="BQ922" s="51">
        <f t="shared" ref="BQ922:BQ932" si="121">B922*BP922/1000</f>
        <v>2.8</v>
      </c>
      <c r="BR922" s="56" t="s">
        <v>997</v>
      </c>
      <c r="BS922" s="91" t="s">
        <v>1387</v>
      </c>
      <c r="BT922" s="36"/>
      <c r="BU922" s="35" t="s">
        <v>1380</v>
      </c>
    </row>
    <row r="923" s="1" customFormat="1" customHeight="1" spans="1:73">
      <c r="A923" s="15" t="s">
        <v>1386</v>
      </c>
      <c r="B923" s="15">
        <v>90</v>
      </c>
      <c r="C923" s="16">
        <v>40</v>
      </c>
      <c r="D923" s="150"/>
      <c r="E923" s="150"/>
      <c r="F923" s="150"/>
      <c r="G923" s="29"/>
      <c r="H923" s="150"/>
      <c r="I923" s="150"/>
      <c r="J923" s="150"/>
      <c r="K923" s="150"/>
      <c r="L923" s="150"/>
      <c r="M923" s="150"/>
      <c r="N923" s="150"/>
      <c r="O923" s="150"/>
      <c r="P923" s="29"/>
      <c r="Q923" s="150"/>
      <c r="R923" s="29"/>
      <c r="S923" s="150"/>
      <c r="T923" s="150"/>
      <c r="U923" s="150"/>
      <c r="V923" s="29"/>
      <c r="W923" s="29"/>
      <c r="X923" s="150"/>
      <c r="Y923" s="29"/>
      <c r="Z923" s="150"/>
      <c r="AA923" s="150"/>
      <c r="AB923" s="150"/>
      <c r="AC923" s="29"/>
      <c r="AD923" s="150"/>
      <c r="AE923" s="150"/>
      <c r="AF923" s="150"/>
      <c r="AG923" s="29"/>
      <c r="AH923" s="150"/>
      <c r="AI923" s="150"/>
      <c r="AJ923" s="150"/>
      <c r="AK923" s="150"/>
      <c r="AL923" s="150"/>
      <c r="AM923" s="29"/>
      <c r="AN923" s="150"/>
      <c r="AO923" s="29"/>
      <c r="AP923" s="150"/>
      <c r="AQ923" s="150"/>
      <c r="AR923" s="150"/>
      <c r="AS923" s="150"/>
      <c r="AT923" s="150"/>
      <c r="AU923" s="150"/>
      <c r="AV923" s="150"/>
      <c r="AW923" s="150"/>
      <c r="AX923" s="29"/>
      <c r="AY923" s="29"/>
      <c r="AZ923" s="150"/>
      <c r="BA923" s="150"/>
      <c r="BB923" s="150"/>
      <c r="BC923" s="150"/>
      <c r="BD923" s="150"/>
      <c r="BE923" s="29"/>
      <c r="BF923" s="150"/>
      <c r="BG923" s="150"/>
      <c r="BH923" s="150"/>
      <c r="BI923" s="29"/>
      <c r="BJ923" s="150"/>
      <c r="BK923" s="150"/>
      <c r="BL923" s="150"/>
      <c r="BM923" s="150"/>
      <c r="BN923" s="20">
        <f t="shared" si="113"/>
        <v>0</v>
      </c>
      <c r="BO923" s="20">
        <f t="shared" si="114"/>
        <v>0</v>
      </c>
      <c r="BP923" s="20">
        <f t="shared" si="115"/>
        <v>40</v>
      </c>
      <c r="BQ923" s="51">
        <f t="shared" si="121"/>
        <v>3.6</v>
      </c>
      <c r="BR923" s="56" t="s">
        <v>1176</v>
      </c>
      <c r="BS923" s="91" t="s">
        <v>1177</v>
      </c>
      <c r="BT923" s="36"/>
      <c r="BU923" s="35" t="s">
        <v>1380</v>
      </c>
    </row>
    <row r="924" s="1" customFormat="1" customHeight="1" spans="1:73">
      <c r="A924" s="15" t="s">
        <v>1386</v>
      </c>
      <c r="B924" s="15">
        <v>100</v>
      </c>
      <c r="C924" s="16">
        <v>50</v>
      </c>
      <c r="D924" s="150"/>
      <c r="E924" s="150"/>
      <c r="F924" s="150"/>
      <c r="G924" s="29"/>
      <c r="H924" s="29"/>
      <c r="I924" s="150"/>
      <c r="J924" s="150"/>
      <c r="K924" s="150"/>
      <c r="L924" s="150"/>
      <c r="M924" s="150"/>
      <c r="N924" s="150"/>
      <c r="O924" s="150"/>
      <c r="P924" s="29"/>
      <c r="Q924" s="150"/>
      <c r="R924" s="29"/>
      <c r="S924" s="150"/>
      <c r="T924" s="150"/>
      <c r="U924" s="150"/>
      <c r="V924" s="29"/>
      <c r="W924" s="29"/>
      <c r="X924" s="150"/>
      <c r="Y924" s="29"/>
      <c r="Z924" s="150"/>
      <c r="AA924" s="150"/>
      <c r="AB924" s="150"/>
      <c r="AC924" s="29"/>
      <c r="AD924" s="150"/>
      <c r="AE924" s="150"/>
      <c r="AF924" s="150"/>
      <c r="AG924" s="29"/>
      <c r="AH924" s="150"/>
      <c r="AI924" s="150"/>
      <c r="AJ924" s="150"/>
      <c r="AK924" s="150"/>
      <c r="AL924" s="29"/>
      <c r="AM924" s="29"/>
      <c r="AN924" s="150"/>
      <c r="AO924" s="29"/>
      <c r="AP924" s="150"/>
      <c r="AQ924" s="150"/>
      <c r="AR924" s="150"/>
      <c r="AS924" s="150"/>
      <c r="AT924" s="150"/>
      <c r="AU924" s="150"/>
      <c r="AV924" s="150"/>
      <c r="AW924" s="150"/>
      <c r="AX924" s="150"/>
      <c r="AY924" s="29"/>
      <c r="AZ924" s="29"/>
      <c r="BA924" s="150"/>
      <c r="BB924" s="150"/>
      <c r="BC924" s="150"/>
      <c r="BD924" s="150"/>
      <c r="BE924" s="29"/>
      <c r="BF924" s="150"/>
      <c r="BG924" s="29"/>
      <c r="BH924" s="150"/>
      <c r="BI924" s="29"/>
      <c r="BJ924" s="150"/>
      <c r="BK924" s="150"/>
      <c r="BL924" s="150"/>
      <c r="BM924" s="150"/>
      <c r="BN924" s="20">
        <f t="shared" si="113"/>
        <v>0</v>
      </c>
      <c r="BO924" s="20">
        <f t="shared" si="114"/>
        <v>0</v>
      </c>
      <c r="BP924" s="20">
        <f t="shared" si="115"/>
        <v>50</v>
      </c>
      <c r="BQ924" s="51">
        <f t="shared" si="121"/>
        <v>5</v>
      </c>
      <c r="BR924" s="56" t="s">
        <v>820</v>
      </c>
      <c r="BS924" s="91" t="s">
        <v>821</v>
      </c>
      <c r="BT924" s="36"/>
      <c r="BU924" s="35" t="s">
        <v>1380</v>
      </c>
    </row>
    <row r="925" s="1" customFormat="1" customHeight="1" spans="1:73">
      <c r="A925" s="15" t="s">
        <v>1386</v>
      </c>
      <c r="B925" s="15">
        <v>120</v>
      </c>
      <c r="C925" s="16">
        <v>100</v>
      </c>
      <c r="D925" s="150"/>
      <c r="E925" s="150"/>
      <c r="F925" s="150"/>
      <c r="G925" s="29"/>
      <c r="H925" s="29"/>
      <c r="I925" s="150"/>
      <c r="J925" s="150"/>
      <c r="K925" s="150"/>
      <c r="L925" s="150"/>
      <c r="M925" s="150"/>
      <c r="N925" s="150"/>
      <c r="O925" s="150"/>
      <c r="P925" s="29"/>
      <c r="Q925" s="150"/>
      <c r="R925" s="29"/>
      <c r="S925" s="150"/>
      <c r="T925" s="30"/>
      <c r="U925" s="150"/>
      <c r="V925" s="29"/>
      <c r="W925" s="29"/>
      <c r="X925" s="150"/>
      <c r="Y925" s="29"/>
      <c r="Z925" s="150"/>
      <c r="AA925" s="150"/>
      <c r="AB925" s="150"/>
      <c r="AC925" s="29"/>
      <c r="AD925" s="150"/>
      <c r="AE925" s="150"/>
      <c r="AF925" s="150"/>
      <c r="AG925" s="29"/>
      <c r="AH925" s="150"/>
      <c r="AI925" s="150"/>
      <c r="AJ925" s="150"/>
      <c r="AK925" s="150"/>
      <c r="AL925" s="29"/>
      <c r="AM925" s="29"/>
      <c r="AN925" s="150"/>
      <c r="AO925" s="29"/>
      <c r="AP925" s="150"/>
      <c r="AQ925" s="150"/>
      <c r="AR925" s="150"/>
      <c r="AS925" s="150"/>
      <c r="AT925" s="150"/>
      <c r="AU925" s="150"/>
      <c r="AV925" s="150"/>
      <c r="AW925" s="150"/>
      <c r="AX925" s="150"/>
      <c r="AY925" s="29"/>
      <c r="AZ925" s="29"/>
      <c r="BA925" s="150"/>
      <c r="BB925" s="150"/>
      <c r="BC925" s="150"/>
      <c r="BD925" s="150"/>
      <c r="BE925" s="29"/>
      <c r="BF925" s="150"/>
      <c r="BG925" s="29"/>
      <c r="BH925" s="150"/>
      <c r="BI925" s="29"/>
      <c r="BJ925" s="150"/>
      <c r="BK925" s="150"/>
      <c r="BL925" s="150"/>
      <c r="BM925" s="150"/>
      <c r="BN925" s="20">
        <f t="shared" si="113"/>
        <v>0</v>
      </c>
      <c r="BO925" s="20">
        <f t="shared" si="114"/>
        <v>0</v>
      </c>
      <c r="BP925" s="20">
        <f t="shared" si="115"/>
        <v>100</v>
      </c>
      <c r="BQ925" s="51">
        <f t="shared" si="121"/>
        <v>12</v>
      </c>
      <c r="BR925" s="56" t="s">
        <v>158</v>
      </c>
      <c r="BS925" s="91" t="s">
        <v>789</v>
      </c>
      <c r="BT925" s="36"/>
      <c r="BU925" s="35" t="s">
        <v>1380</v>
      </c>
    </row>
    <row r="926" s="1" customFormat="1" customHeight="1" spans="1:73">
      <c r="A926" s="15" t="s">
        <v>1386</v>
      </c>
      <c r="B926" s="15">
        <v>140</v>
      </c>
      <c r="C926" s="16">
        <v>2</v>
      </c>
      <c r="D926" s="150"/>
      <c r="E926" s="150"/>
      <c r="F926" s="150"/>
      <c r="G926" s="29"/>
      <c r="H926" s="29"/>
      <c r="I926" s="150"/>
      <c r="J926" s="150"/>
      <c r="K926" s="150"/>
      <c r="L926" s="150"/>
      <c r="M926" s="150"/>
      <c r="N926" s="150"/>
      <c r="O926" s="150"/>
      <c r="P926" s="29"/>
      <c r="Q926" s="150"/>
      <c r="R926" s="29"/>
      <c r="S926" s="150"/>
      <c r="T926" s="150"/>
      <c r="U926" s="150"/>
      <c r="V926" s="29"/>
      <c r="W926" s="29"/>
      <c r="X926" s="150"/>
      <c r="Y926" s="29"/>
      <c r="Z926" s="150"/>
      <c r="AA926" s="150"/>
      <c r="AB926" s="150"/>
      <c r="AC926" s="29"/>
      <c r="AD926" s="150"/>
      <c r="AE926" s="150"/>
      <c r="AF926" s="150"/>
      <c r="AG926" s="29"/>
      <c r="AH926" s="150"/>
      <c r="AI926" s="150"/>
      <c r="AJ926" s="150"/>
      <c r="AK926" s="150"/>
      <c r="AL926" s="29"/>
      <c r="AM926" s="29"/>
      <c r="AN926" s="150"/>
      <c r="AO926" s="29"/>
      <c r="AP926" s="150"/>
      <c r="AQ926" s="150"/>
      <c r="AR926" s="150"/>
      <c r="AS926" s="150"/>
      <c r="AT926" s="150"/>
      <c r="AU926" s="150"/>
      <c r="AV926" s="150"/>
      <c r="AW926" s="150"/>
      <c r="AX926" s="150"/>
      <c r="AY926" s="29"/>
      <c r="AZ926" s="29"/>
      <c r="BA926" s="150"/>
      <c r="BB926" s="150"/>
      <c r="BC926" s="150"/>
      <c r="BD926" s="150"/>
      <c r="BE926" s="29"/>
      <c r="BF926" s="150"/>
      <c r="BG926" s="29"/>
      <c r="BH926" s="150"/>
      <c r="BI926" s="29"/>
      <c r="BJ926" s="29"/>
      <c r="BK926" s="29"/>
      <c r="BL926" s="29"/>
      <c r="BM926" s="29"/>
      <c r="BN926" s="20">
        <f t="shared" si="113"/>
        <v>0</v>
      </c>
      <c r="BO926" s="20">
        <f t="shared" si="114"/>
        <v>0</v>
      </c>
      <c r="BP926" s="20">
        <f t="shared" si="115"/>
        <v>2</v>
      </c>
      <c r="BQ926" s="51">
        <f t="shared" si="121"/>
        <v>0.28</v>
      </c>
      <c r="BR926" s="56" t="s">
        <v>994</v>
      </c>
      <c r="BS926" s="91" t="s">
        <v>995</v>
      </c>
      <c r="BT926" s="36"/>
      <c r="BU926" s="35" t="s">
        <v>1380</v>
      </c>
    </row>
    <row r="927" s="1" customFormat="1" customHeight="1" spans="1:73">
      <c r="A927" s="15" t="s">
        <v>1386</v>
      </c>
      <c r="B927" s="15">
        <v>155</v>
      </c>
      <c r="C927" s="16">
        <v>91</v>
      </c>
      <c r="D927" s="150"/>
      <c r="E927" s="150"/>
      <c r="F927" s="150"/>
      <c r="G927" s="29"/>
      <c r="H927" s="29"/>
      <c r="I927" s="150"/>
      <c r="J927" s="150"/>
      <c r="K927" s="150"/>
      <c r="L927" s="150"/>
      <c r="M927" s="150"/>
      <c r="N927" s="150"/>
      <c r="O927" s="150"/>
      <c r="P927" s="29"/>
      <c r="Q927" s="150"/>
      <c r="R927" s="29"/>
      <c r="S927" s="150"/>
      <c r="T927" s="30"/>
      <c r="U927" s="150"/>
      <c r="V927" s="29"/>
      <c r="W927" s="29"/>
      <c r="X927" s="150"/>
      <c r="Y927" s="29"/>
      <c r="Z927" s="150"/>
      <c r="AA927" s="150"/>
      <c r="AB927" s="150"/>
      <c r="AC927" s="29"/>
      <c r="AD927" s="150"/>
      <c r="AE927" s="150"/>
      <c r="AF927" s="150"/>
      <c r="AG927" s="29"/>
      <c r="AH927" s="150"/>
      <c r="AI927" s="150"/>
      <c r="AJ927" s="150"/>
      <c r="AK927" s="150"/>
      <c r="AL927" s="29"/>
      <c r="AM927" s="29"/>
      <c r="AN927" s="150"/>
      <c r="AO927" s="29"/>
      <c r="AP927" s="150"/>
      <c r="AQ927" s="150"/>
      <c r="AR927" s="150"/>
      <c r="AS927" s="150"/>
      <c r="AT927" s="150"/>
      <c r="AU927" s="150"/>
      <c r="AV927" s="150"/>
      <c r="AW927" s="150"/>
      <c r="AX927" s="150"/>
      <c r="AY927" s="29"/>
      <c r="AZ927" s="29"/>
      <c r="BA927" s="150"/>
      <c r="BB927" s="150"/>
      <c r="BC927" s="150"/>
      <c r="BD927" s="150"/>
      <c r="BE927" s="29"/>
      <c r="BF927" s="150"/>
      <c r="BG927" s="29"/>
      <c r="BH927" s="150"/>
      <c r="BI927" s="29"/>
      <c r="BJ927" s="29"/>
      <c r="BK927" s="29"/>
      <c r="BL927" s="29"/>
      <c r="BM927" s="29"/>
      <c r="BN927" s="20">
        <f t="shared" si="113"/>
        <v>0</v>
      </c>
      <c r="BO927" s="20">
        <f t="shared" si="114"/>
        <v>0</v>
      </c>
      <c r="BP927" s="20">
        <f t="shared" si="115"/>
        <v>91</v>
      </c>
      <c r="BQ927" s="51">
        <f t="shared" si="121"/>
        <v>14.105</v>
      </c>
      <c r="BR927" s="56" t="s">
        <v>158</v>
      </c>
      <c r="BS927" s="91" t="s">
        <v>789</v>
      </c>
      <c r="BT927" s="36"/>
      <c r="BU927" s="35" t="s">
        <v>1380</v>
      </c>
    </row>
    <row r="928" s="1" customFormat="1" customHeight="1" spans="1:73">
      <c r="A928" s="15" t="s">
        <v>1386</v>
      </c>
      <c r="B928" s="15">
        <v>195</v>
      </c>
      <c r="C928" s="16">
        <v>25</v>
      </c>
      <c r="D928" s="29"/>
      <c r="E928" s="30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30"/>
      <c r="T928" s="30"/>
      <c r="U928" s="29"/>
      <c r="V928" s="29"/>
      <c r="W928" s="29"/>
      <c r="X928" s="29"/>
      <c r="Y928" s="29"/>
      <c r="Z928" s="29"/>
      <c r="AA928" s="29"/>
      <c r="AB928" s="29"/>
      <c r="AC928" s="30"/>
      <c r="AD928" s="29"/>
      <c r="AE928" s="29"/>
      <c r="AF928" s="29"/>
      <c r="AG928" s="30"/>
      <c r="AH928" s="29"/>
      <c r="AI928" s="29"/>
      <c r="AJ928" s="29"/>
      <c r="AK928" s="30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0">
        <f t="shared" si="113"/>
        <v>0</v>
      </c>
      <c r="BO928" s="20">
        <f t="shared" si="114"/>
        <v>0</v>
      </c>
      <c r="BP928" s="20">
        <f t="shared" si="115"/>
        <v>25</v>
      </c>
      <c r="BQ928" s="51">
        <f t="shared" si="121"/>
        <v>4.875</v>
      </c>
      <c r="BR928" s="56" t="s">
        <v>242</v>
      </c>
      <c r="BS928" s="91" t="s">
        <v>1336</v>
      </c>
      <c r="BT928" s="36"/>
      <c r="BU928" s="35" t="s">
        <v>1380</v>
      </c>
    </row>
    <row r="929" s="1" customFormat="1" customHeight="1" spans="1:73">
      <c r="A929" s="15" t="s">
        <v>1386</v>
      </c>
      <c r="B929" s="15">
        <v>205</v>
      </c>
      <c r="C929" s="16">
        <v>160</v>
      </c>
      <c r="D929" s="29"/>
      <c r="E929" s="30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30"/>
      <c r="T929" s="30"/>
      <c r="U929" s="29"/>
      <c r="V929" s="29"/>
      <c r="W929" s="29"/>
      <c r="X929" s="29"/>
      <c r="Y929" s="29"/>
      <c r="Z929" s="29"/>
      <c r="AA929" s="29"/>
      <c r="AB929" s="29"/>
      <c r="AC929" s="30"/>
      <c r="AD929" s="29"/>
      <c r="AE929" s="29"/>
      <c r="AF929" s="29"/>
      <c r="AG929" s="30"/>
      <c r="AH929" s="29"/>
      <c r="AI929" s="29"/>
      <c r="AJ929" s="29"/>
      <c r="AK929" s="30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0">
        <f t="shared" si="113"/>
        <v>0</v>
      </c>
      <c r="BO929" s="20">
        <f t="shared" si="114"/>
        <v>0</v>
      </c>
      <c r="BP929" s="20">
        <f t="shared" si="115"/>
        <v>160</v>
      </c>
      <c r="BQ929" s="51">
        <f t="shared" si="121"/>
        <v>32.8</v>
      </c>
      <c r="BR929" s="56" t="s">
        <v>242</v>
      </c>
      <c r="BS929" s="91" t="s">
        <v>1336</v>
      </c>
      <c r="BT929" s="36"/>
      <c r="BU929" s="35" t="s">
        <v>1380</v>
      </c>
    </row>
    <row r="930" s="1" customFormat="1" customHeight="1" spans="1:73">
      <c r="A930" s="15" t="s">
        <v>1386</v>
      </c>
      <c r="B930" s="15">
        <v>215</v>
      </c>
      <c r="C930" s="16">
        <v>100</v>
      </c>
      <c r="D930" s="29"/>
      <c r="E930" s="30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30"/>
      <c r="T930" s="30"/>
      <c r="U930" s="29"/>
      <c r="V930" s="29"/>
      <c r="W930" s="29"/>
      <c r="X930" s="29"/>
      <c r="Y930" s="29"/>
      <c r="Z930" s="29"/>
      <c r="AA930" s="29"/>
      <c r="AB930" s="29"/>
      <c r="AC930" s="30"/>
      <c r="AD930" s="29"/>
      <c r="AE930" s="29"/>
      <c r="AF930" s="29"/>
      <c r="AG930" s="30"/>
      <c r="AH930" s="29"/>
      <c r="AI930" s="29"/>
      <c r="AJ930" s="29"/>
      <c r="AK930" s="30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0">
        <f t="shared" si="113"/>
        <v>0</v>
      </c>
      <c r="BO930" s="20">
        <f t="shared" si="114"/>
        <v>0</v>
      </c>
      <c r="BP930" s="20">
        <f t="shared" si="115"/>
        <v>100</v>
      </c>
      <c r="BQ930" s="51">
        <f t="shared" si="121"/>
        <v>21.5</v>
      </c>
      <c r="BR930" s="56" t="s">
        <v>158</v>
      </c>
      <c r="BS930" s="91" t="s">
        <v>789</v>
      </c>
      <c r="BT930" s="36"/>
      <c r="BU930" s="35" t="s">
        <v>1380</v>
      </c>
    </row>
    <row r="931" s="1" customFormat="1" customHeight="1" spans="1:73">
      <c r="A931" s="15" t="s">
        <v>1386</v>
      </c>
      <c r="B931" s="15">
        <v>235</v>
      </c>
      <c r="C931" s="16">
        <v>375</v>
      </c>
      <c r="D931" s="29"/>
      <c r="E931" s="30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30"/>
      <c r="T931" s="30"/>
      <c r="U931" s="29"/>
      <c r="V931" s="29"/>
      <c r="W931" s="29"/>
      <c r="X931" s="29"/>
      <c r="Y931" s="29"/>
      <c r="Z931" s="29"/>
      <c r="AA931" s="30"/>
      <c r="AB931" s="29"/>
      <c r="AC931" s="30"/>
      <c r="AD931" s="29"/>
      <c r="AE931" s="29"/>
      <c r="AF931" s="29"/>
      <c r="AG931" s="30"/>
      <c r="AH931" s="29"/>
      <c r="AI931" s="29"/>
      <c r="AJ931" s="29"/>
      <c r="AK931" s="30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0">
        <f t="shared" si="113"/>
        <v>0</v>
      </c>
      <c r="BO931" s="20">
        <f t="shared" si="114"/>
        <v>0</v>
      </c>
      <c r="BP931" s="20">
        <f t="shared" si="115"/>
        <v>375</v>
      </c>
      <c r="BQ931" s="51">
        <f t="shared" si="121"/>
        <v>88.125</v>
      </c>
      <c r="BR931" s="56" t="s">
        <v>158</v>
      </c>
      <c r="BS931" s="91" t="s">
        <v>1387</v>
      </c>
      <c r="BT931" s="36"/>
      <c r="BU931" s="35" t="s">
        <v>1380</v>
      </c>
    </row>
    <row r="932" s="1" customFormat="1" customHeight="1" spans="1:73">
      <c r="A932" s="15" t="s">
        <v>1386</v>
      </c>
      <c r="B932" s="15">
        <v>255</v>
      </c>
      <c r="C932" s="16">
        <v>50</v>
      </c>
      <c r="D932" s="29"/>
      <c r="E932" s="30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30"/>
      <c r="T932" s="30"/>
      <c r="U932" s="29"/>
      <c r="V932" s="29"/>
      <c r="W932" s="29"/>
      <c r="X932" s="29"/>
      <c r="Y932" s="29"/>
      <c r="Z932" s="29"/>
      <c r="AA932" s="30"/>
      <c r="AB932" s="29"/>
      <c r="AC932" s="30"/>
      <c r="AD932" s="29"/>
      <c r="AE932" s="29"/>
      <c r="AF932" s="29"/>
      <c r="AG932" s="30"/>
      <c r="AH932" s="29"/>
      <c r="AI932" s="29"/>
      <c r="AJ932" s="29"/>
      <c r="AK932" s="30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0">
        <f t="shared" si="113"/>
        <v>0</v>
      </c>
      <c r="BO932" s="20">
        <f t="shared" si="114"/>
        <v>0</v>
      </c>
      <c r="BP932" s="20">
        <f t="shared" si="115"/>
        <v>50</v>
      </c>
      <c r="BQ932" s="51">
        <f t="shared" si="121"/>
        <v>12.75</v>
      </c>
      <c r="BR932" s="56" t="s">
        <v>1314</v>
      </c>
      <c r="BS932" s="91" t="s">
        <v>1315</v>
      </c>
      <c r="BT932" s="36"/>
      <c r="BU932" s="35" t="s">
        <v>1380</v>
      </c>
    </row>
    <row r="933" s="1" customFormat="1" customHeight="1" spans="1:73">
      <c r="A933" s="53" t="s">
        <v>1388</v>
      </c>
      <c r="B933" s="15"/>
      <c r="C933" s="16"/>
      <c r="D933" s="29"/>
      <c r="E933" s="30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30"/>
      <c r="T933" s="30"/>
      <c r="U933" s="29"/>
      <c r="V933" s="29"/>
      <c r="W933" s="29"/>
      <c r="X933" s="29"/>
      <c r="Y933" s="29"/>
      <c r="Z933" s="29"/>
      <c r="AA933" s="29"/>
      <c r="AB933" s="29"/>
      <c r="AC933" s="30"/>
      <c r="AD933" s="29"/>
      <c r="AE933" s="29"/>
      <c r="AF933" s="29"/>
      <c r="AG933" s="30"/>
      <c r="AH933" s="29"/>
      <c r="AI933" s="29"/>
      <c r="AJ933" s="29"/>
      <c r="AK933" s="30"/>
      <c r="AL933" s="29"/>
      <c r="AM933" s="29"/>
      <c r="AN933" s="29"/>
      <c r="AO933" s="29"/>
      <c r="AP933" s="29"/>
      <c r="AQ933" s="29"/>
      <c r="AR933" s="29"/>
      <c r="AS933" s="29"/>
      <c r="AT933" s="29"/>
      <c r="AU933" s="82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82"/>
      <c r="BH933" s="29"/>
      <c r="BI933" s="29"/>
      <c r="BJ933" s="29"/>
      <c r="BK933" s="29"/>
      <c r="BL933" s="29"/>
      <c r="BM933" s="29"/>
      <c r="BN933" s="20">
        <f t="shared" si="113"/>
        <v>0</v>
      </c>
      <c r="BO933" s="20">
        <f t="shared" si="114"/>
        <v>0</v>
      </c>
      <c r="BP933" s="20">
        <f t="shared" si="115"/>
        <v>0</v>
      </c>
      <c r="BQ933" s="51"/>
      <c r="BR933" s="56"/>
      <c r="BS933" s="111"/>
      <c r="BT933" s="36"/>
      <c r="BU933" s="112"/>
    </row>
    <row r="934" s="1" customFormat="1" customHeight="1" spans="1:73">
      <c r="A934" s="15" t="s">
        <v>1389</v>
      </c>
      <c r="B934" s="15">
        <v>150</v>
      </c>
      <c r="C934" s="16">
        <v>25</v>
      </c>
      <c r="D934" s="29"/>
      <c r="E934" s="30"/>
      <c r="F934" s="29"/>
      <c r="G934" s="29"/>
      <c r="H934" s="29"/>
      <c r="I934" s="29"/>
      <c r="J934" s="29"/>
      <c r="K934" s="29"/>
      <c r="L934" s="29"/>
      <c r="M934" s="29"/>
      <c r="N934" s="29"/>
      <c r="O934" s="29">
        <v>9</v>
      </c>
      <c r="P934" s="29"/>
      <c r="Q934" s="29"/>
      <c r="R934" s="29"/>
      <c r="S934" s="30"/>
      <c r="T934" s="30"/>
      <c r="U934" s="29"/>
      <c r="V934" s="29"/>
      <c r="W934" s="29"/>
      <c r="X934" s="29"/>
      <c r="Y934" s="29"/>
      <c r="Z934" s="29"/>
      <c r="AA934" s="29"/>
      <c r="AB934" s="29"/>
      <c r="AC934" s="30"/>
      <c r="AD934" s="29"/>
      <c r="AE934" s="29"/>
      <c r="AF934" s="29"/>
      <c r="AG934" s="30"/>
      <c r="AH934" s="29"/>
      <c r="AI934" s="29"/>
      <c r="AJ934" s="29"/>
      <c r="AK934" s="30"/>
      <c r="AL934" s="29"/>
      <c r="AM934" s="29"/>
      <c r="AN934" s="29"/>
      <c r="AO934" s="29"/>
      <c r="AP934" s="29"/>
      <c r="AQ934" s="29"/>
      <c r="AR934" s="29"/>
      <c r="AS934" s="29"/>
      <c r="AT934" s="29"/>
      <c r="AU934" s="82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82"/>
      <c r="BH934" s="29"/>
      <c r="BI934" s="29"/>
      <c r="BJ934" s="29"/>
      <c r="BK934" s="29"/>
      <c r="BL934" s="29"/>
      <c r="BM934" s="29"/>
      <c r="BN934" s="20">
        <f t="shared" si="113"/>
        <v>0</v>
      </c>
      <c r="BO934" s="20">
        <f t="shared" si="114"/>
        <v>9</v>
      </c>
      <c r="BP934" s="20">
        <f t="shared" si="115"/>
        <v>16</v>
      </c>
      <c r="BQ934" s="51">
        <f t="shared" ref="BQ934:BQ938" si="122">B934*BP934/1000</f>
        <v>2.4</v>
      </c>
      <c r="BR934" s="56" t="s">
        <v>849</v>
      </c>
      <c r="BS934" s="91" t="s">
        <v>850</v>
      </c>
      <c r="BT934" s="36"/>
      <c r="BU934" s="35" t="s">
        <v>1390</v>
      </c>
    </row>
    <row r="935" s="1" customFormat="1" customHeight="1" spans="1:73">
      <c r="A935" s="53" t="s">
        <v>1391</v>
      </c>
      <c r="B935" s="15"/>
      <c r="C935" s="16"/>
      <c r="D935" s="29"/>
      <c r="E935" s="30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30"/>
      <c r="T935" s="30"/>
      <c r="U935" s="29"/>
      <c r="V935" s="29"/>
      <c r="W935" s="29"/>
      <c r="X935" s="29"/>
      <c r="Y935" s="29"/>
      <c r="Z935" s="29"/>
      <c r="AA935" s="29"/>
      <c r="AB935" s="29"/>
      <c r="AC935" s="30"/>
      <c r="AD935" s="29"/>
      <c r="AE935" s="29"/>
      <c r="AF935" s="29"/>
      <c r="AG935" s="30"/>
      <c r="AH935" s="29"/>
      <c r="AI935" s="29"/>
      <c r="AJ935" s="29"/>
      <c r="AK935" s="30"/>
      <c r="AL935" s="29"/>
      <c r="AM935" s="29"/>
      <c r="AN935" s="29"/>
      <c r="AO935" s="29"/>
      <c r="AP935" s="29"/>
      <c r="AQ935" s="29"/>
      <c r="AR935" s="29"/>
      <c r="AS935" s="29"/>
      <c r="AT935" s="29"/>
      <c r="AU935" s="82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82"/>
      <c r="BH935" s="29"/>
      <c r="BI935" s="29"/>
      <c r="BJ935" s="29"/>
      <c r="BK935" s="29"/>
      <c r="BL935" s="29"/>
      <c r="BM935" s="29"/>
      <c r="BN935" s="20">
        <f t="shared" si="113"/>
        <v>0</v>
      </c>
      <c r="BO935" s="20">
        <f t="shared" si="114"/>
        <v>0</v>
      </c>
      <c r="BP935" s="20">
        <f t="shared" si="115"/>
        <v>0</v>
      </c>
      <c r="BQ935" s="51"/>
      <c r="BR935" s="56"/>
      <c r="BS935" s="91"/>
      <c r="BT935" s="36"/>
      <c r="BU935" s="35"/>
    </row>
    <row r="936" s="1" customFormat="1" customHeight="1" spans="1:73">
      <c r="A936" s="15" t="s">
        <v>1392</v>
      </c>
      <c r="B936" s="15">
        <v>495</v>
      </c>
      <c r="C936" s="16">
        <v>131</v>
      </c>
      <c r="D936" s="29"/>
      <c r="E936" s="30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30"/>
      <c r="AH936" s="29"/>
      <c r="AI936" s="29"/>
      <c r="AJ936" s="29"/>
      <c r="AK936" s="30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0">
        <f t="shared" si="113"/>
        <v>0</v>
      </c>
      <c r="BO936" s="20">
        <f t="shared" si="114"/>
        <v>0</v>
      </c>
      <c r="BP936" s="20">
        <f t="shared" si="115"/>
        <v>131</v>
      </c>
      <c r="BQ936" s="51">
        <f t="shared" si="122"/>
        <v>64.845</v>
      </c>
      <c r="BR936" s="56" t="s">
        <v>1393</v>
      </c>
      <c r="BS936" s="91" t="s">
        <v>1394</v>
      </c>
      <c r="BT936" s="36" t="s">
        <v>1395</v>
      </c>
      <c r="BU936" s="35" t="s">
        <v>1396</v>
      </c>
    </row>
    <row r="937" s="1" customFormat="1" customHeight="1" spans="1:73">
      <c r="A937" s="151" t="s">
        <v>1397</v>
      </c>
      <c r="B937" s="15">
        <v>250</v>
      </c>
      <c r="C937" s="16">
        <v>8</v>
      </c>
      <c r="D937" s="29"/>
      <c r="E937" s="30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30"/>
      <c r="AH937" s="29"/>
      <c r="AI937" s="29"/>
      <c r="AJ937" s="29"/>
      <c r="AK937" s="30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0">
        <f t="shared" ref="BN937:BN1000" si="123">D937+F937+H937+J937+L937+N937+P937+R937+T937+V937+X937+Z937+AB937+AD937+AF937+AH937+AJ937+AL937+AN937+AP937+AR937+AT937+AV937+AX937+AZ937+BB937+BD937+BF937+BH937+BJ937+BL937</f>
        <v>0</v>
      </c>
      <c r="BO937" s="20">
        <f t="shared" ref="BO937:BO1000" si="124">E937+G937+I937+K937+M937+O937+Q937+S937+U937+W937+Y937+AA937+AC937+AE937+AG937+AI937+AK937+AM937+AO937+AQ937+AS937+AU937+AW937+AY937+BA937+BC937+BE937+BG937+BI937+BK937+BM937</f>
        <v>0</v>
      </c>
      <c r="BP937" s="20">
        <f t="shared" ref="BP937:BP1000" si="125">C937+BN937-BO937</f>
        <v>8</v>
      </c>
      <c r="BQ937" s="51">
        <f t="shared" si="122"/>
        <v>2</v>
      </c>
      <c r="BR937" s="56" t="s">
        <v>1183</v>
      </c>
      <c r="BS937" s="91" t="s">
        <v>1184</v>
      </c>
      <c r="BT937" s="75" t="s">
        <v>1398</v>
      </c>
      <c r="BU937" s="35" t="s">
        <v>1396</v>
      </c>
    </row>
    <row r="938" s="1" customFormat="1" customHeight="1" spans="1:73">
      <c r="A938" s="151" t="s">
        <v>1399</v>
      </c>
      <c r="B938" s="15">
        <v>190</v>
      </c>
      <c r="C938" s="16">
        <v>13</v>
      </c>
      <c r="D938" s="29"/>
      <c r="E938" s="30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30"/>
      <c r="AH938" s="29"/>
      <c r="AI938" s="29"/>
      <c r="AJ938" s="29"/>
      <c r="AK938" s="30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0">
        <f t="shared" si="123"/>
        <v>0</v>
      </c>
      <c r="BO938" s="20">
        <f t="shared" si="124"/>
        <v>0</v>
      </c>
      <c r="BP938" s="20">
        <f t="shared" si="125"/>
        <v>13</v>
      </c>
      <c r="BQ938" s="51">
        <f t="shared" si="122"/>
        <v>2.47</v>
      </c>
      <c r="BR938" s="56" t="s">
        <v>1400</v>
      </c>
      <c r="BS938" s="91" t="s">
        <v>1401</v>
      </c>
      <c r="BT938" s="75" t="s">
        <v>1402</v>
      </c>
      <c r="BU938" s="35" t="s">
        <v>1396</v>
      </c>
    </row>
    <row r="939" s="1" customFormat="1" customHeight="1" spans="1:73">
      <c r="A939" s="53" t="s">
        <v>1403</v>
      </c>
      <c r="B939" s="15"/>
      <c r="C939" s="16"/>
      <c r="D939" s="29"/>
      <c r="E939" s="30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30"/>
      <c r="AH939" s="29"/>
      <c r="AI939" s="29"/>
      <c r="AJ939" s="29"/>
      <c r="AK939" s="30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0">
        <f t="shared" si="123"/>
        <v>0</v>
      </c>
      <c r="BO939" s="20">
        <f t="shared" si="124"/>
        <v>0</v>
      </c>
      <c r="BP939" s="20">
        <f t="shared" si="125"/>
        <v>0</v>
      </c>
      <c r="BQ939" s="51"/>
      <c r="BR939" s="56"/>
      <c r="BS939" s="111"/>
      <c r="BT939" s="36"/>
      <c r="BU939" s="112"/>
    </row>
    <row r="940" s="1" customFormat="1" customHeight="1" spans="1:73">
      <c r="A940" s="15" t="s">
        <v>1404</v>
      </c>
      <c r="B940" s="15">
        <v>155</v>
      </c>
      <c r="C940" s="16">
        <v>22</v>
      </c>
      <c r="D940" s="29"/>
      <c r="E940" s="30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30"/>
      <c r="X940" s="29"/>
      <c r="Y940" s="29"/>
      <c r="Z940" s="29"/>
      <c r="AA940" s="29"/>
      <c r="AB940" s="29"/>
      <c r="AC940" s="29"/>
      <c r="AD940" s="29"/>
      <c r="AE940" s="29"/>
      <c r="AF940" s="29"/>
      <c r="AG940" s="30"/>
      <c r="AH940" s="29"/>
      <c r="AI940" s="29"/>
      <c r="AJ940" s="29"/>
      <c r="AK940" s="30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0">
        <f t="shared" si="123"/>
        <v>0</v>
      </c>
      <c r="BO940" s="20">
        <f t="shared" si="124"/>
        <v>0</v>
      </c>
      <c r="BP940" s="20">
        <f t="shared" si="125"/>
        <v>22</v>
      </c>
      <c r="BQ940" s="51">
        <f t="shared" ref="BQ940:BQ942" si="126">B940*BP940/1000</f>
        <v>3.41</v>
      </c>
      <c r="BR940" s="56" t="s">
        <v>1405</v>
      </c>
      <c r="BS940" s="91" t="s">
        <v>1394</v>
      </c>
      <c r="BT940" s="36"/>
      <c r="BU940" s="35" t="s">
        <v>1396</v>
      </c>
    </row>
    <row r="941" s="1" customFormat="1" customHeight="1" spans="1:73">
      <c r="A941" s="15" t="s">
        <v>1404</v>
      </c>
      <c r="B941" s="15">
        <v>170</v>
      </c>
      <c r="C941" s="16">
        <v>10</v>
      </c>
      <c r="D941" s="29"/>
      <c r="E941" s="30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30"/>
      <c r="X941" s="29"/>
      <c r="Y941" s="29"/>
      <c r="Z941" s="29"/>
      <c r="AA941" s="29"/>
      <c r="AB941" s="29"/>
      <c r="AC941" s="29"/>
      <c r="AD941" s="29"/>
      <c r="AE941" s="29"/>
      <c r="AF941" s="29"/>
      <c r="AG941" s="30"/>
      <c r="AH941" s="29"/>
      <c r="AI941" s="29"/>
      <c r="AJ941" s="29"/>
      <c r="AK941" s="30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0">
        <f t="shared" si="123"/>
        <v>0</v>
      </c>
      <c r="BO941" s="20">
        <f t="shared" si="124"/>
        <v>0</v>
      </c>
      <c r="BP941" s="20">
        <f t="shared" si="125"/>
        <v>10</v>
      </c>
      <c r="BQ941" s="51">
        <f t="shared" si="126"/>
        <v>1.7</v>
      </c>
      <c r="BR941" s="56" t="s">
        <v>1406</v>
      </c>
      <c r="BS941" s="91" t="s">
        <v>1394</v>
      </c>
      <c r="BT941" s="36"/>
      <c r="BU941" s="35" t="s">
        <v>1396</v>
      </c>
    </row>
    <row r="942" s="1" customFormat="1" customHeight="1" spans="1:73">
      <c r="A942" s="92" t="s">
        <v>1407</v>
      </c>
      <c r="B942" s="15">
        <v>130</v>
      </c>
      <c r="C942" s="16">
        <v>67</v>
      </c>
      <c r="D942" s="29"/>
      <c r="E942" s="30"/>
      <c r="F942" s="29"/>
      <c r="G942" s="29"/>
      <c r="H942" s="29"/>
      <c r="I942" s="29"/>
      <c r="J942" s="29"/>
      <c r="K942" s="29"/>
      <c r="L942" s="29"/>
      <c r="M942" s="29"/>
      <c r="N942" s="29"/>
      <c r="O942" s="30"/>
      <c r="P942" s="29"/>
      <c r="Q942" s="30"/>
      <c r="R942" s="29"/>
      <c r="S942" s="29"/>
      <c r="T942" s="29"/>
      <c r="U942" s="30"/>
      <c r="V942" s="29"/>
      <c r="W942" s="29"/>
      <c r="X942" s="29"/>
      <c r="Y942" s="29"/>
      <c r="Z942" s="29"/>
      <c r="AA942" s="30"/>
      <c r="AB942" s="29"/>
      <c r="AC942" s="29"/>
      <c r="AD942" s="29"/>
      <c r="AE942" s="29"/>
      <c r="AF942" s="29"/>
      <c r="AG942" s="30"/>
      <c r="AH942" s="29"/>
      <c r="AI942" s="30"/>
      <c r="AJ942" s="29"/>
      <c r="AK942" s="30"/>
      <c r="AL942" s="29"/>
      <c r="AM942" s="29"/>
      <c r="AN942" s="29"/>
      <c r="AO942" s="29"/>
      <c r="AP942" s="29"/>
      <c r="AQ942" s="29"/>
      <c r="AR942" s="29"/>
      <c r="AS942" s="29"/>
      <c r="AT942" s="29"/>
      <c r="AU942" s="30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0">
        <f t="shared" si="123"/>
        <v>0</v>
      </c>
      <c r="BO942" s="20">
        <f t="shared" si="124"/>
        <v>0</v>
      </c>
      <c r="BP942" s="20">
        <f t="shared" si="125"/>
        <v>67</v>
      </c>
      <c r="BQ942" s="51">
        <f t="shared" si="126"/>
        <v>8.71</v>
      </c>
      <c r="BR942" s="56" t="s">
        <v>1408</v>
      </c>
      <c r="BS942" s="91" t="s">
        <v>1280</v>
      </c>
      <c r="BT942" s="36"/>
      <c r="BU942" s="35" t="s">
        <v>1396</v>
      </c>
    </row>
    <row r="943" s="1" customFormat="1" customHeight="1" spans="1:73">
      <c r="A943" s="53" t="s">
        <v>1409</v>
      </c>
      <c r="B943" s="15"/>
      <c r="C943" s="16"/>
      <c r="D943" s="29"/>
      <c r="E943" s="30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30"/>
      <c r="AH943" s="29"/>
      <c r="AI943" s="29"/>
      <c r="AJ943" s="29"/>
      <c r="AK943" s="30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0">
        <f t="shared" si="123"/>
        <v>0</v>
      </c>
      <c r="BO943" s="20">
        <f t="shared" si="124"/>
        <v>0</v>
      </c>
      <c r="BP943" s="20">
        <f t="shared" si="125"/>
        <v>0</v>
      </c>
      <c r="BQ943" s="51"/>
      <c r="BR943" s="56"/>
      <c r="BS943" s="111"/>
      <c r="BT943" s="36"/>
      <c r="BU943" s="112"/>
    </row>
    <row r="944" s="1" customFormat="1" customHeight="1" spans="1:73">
      <c r="A944" s="15" t="s">
        <v>1410</v>
      </c>
      <c r="B944" s="15">
        <v>6</v>
      </c>
      <c r="C944" s="16">
        <v>300</v>
      </c>
      <c r="D944" s="29"/>
      <c r="E944" s="30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30"/>
      <c r="AH944" s="29"/>
      <c r="AI944" s="29"/>
      <c r="AJ944" s="29"/>
      <c r="AK944" s="30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0">
        <f t="shared" si="123"/>
        <v>0</v>
      </c>
      <c r="BO944" s="20">
        <f t="shared" si="124"/>
        <v>0</v>
      </c>
      <c r="BP944" s="20">
        <f t="shared" si="125"/>
        <v>300</v>
      </c>
      <c r="BQ944" s="51">
        <f t="shared" ref="BQ944:BQ953" si="127">B944*BP944/1000</f>
        <v>1.8</v>
      </c>
      <c r="BR944" s="56" t="s">
        <v>1411</v>
      </c>
      <c r="BS944" s="91" t="s">
        <v>898</v>
      </c>
      <c r="BT944" s="36" t="s">
        <v>71</v>
      </c>
      <c r="BU944" s="35" t="s">
        <v>1396</v>
      </c>
    </row>
    <row r="945" s="1" customFormat="1" customHeight="1" spans="1:73">
      <c r="A945" s="15" t="s">
        <v>1410</v>
      </c>
      <c r="B945" s="15">
        <v>153</v>
      </c>
      <c r="C945" s="16">
        <v>550</v>
      </c>
      <c r="D945" s="29"/>
      <c r="E945" s="30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30"/>
      <c r="AH945" s="29"/>
      <c r="AI945" s="29"/>
      <c r="AJ945" s="29"/>
      <c r="AK945" s="30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0">
        <f t="shared" si="123"/>
        <v>0</v>
      </c>
      <c r="BO945" s="20">
        <f t="shared" si="124"/>
        <v>0</v>
      </c>
      <c r="BP945" s="20">
        <f t="shared" si="125"/>
        <v>550</v>
      </c>
      <c r="BQ945" s="51">
        <f t="shared" si="127"/>
        <v>84.15</v>
      </c>
      <c r="BR945" s="56" t="s">
        <v>1412</v>
      </c>
      <c r="BS945" s="91" t="s">
        <v>985</v>
      </c>
      <c r="BT945" s="36" t="s">
        <v>1413</v>
      </c>
      <c r="BU945" s="35" t="s">
        <v>1396</v>
      </c>
    </row>
    <row r="946" s="1" customFormat="1" customHeight="1" spans="1:73">
      <c r="A946" s="53" t="s">
        <v>1414</v>
      </c>
      <c r="B946" s="15"/>
      <c r="C946" s="16"/>
      <c r="D946" s="29"/>
      <c r="E946" s="30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30"/>
      <c r="AH946" s="29"/>
      <c r="AI946" s="29"/>
      <c r="AJ946" s="29"/>
      <c r="AK946" s="30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0">
        <f t="shared" si="123"/>
        <v>0</v>
      </c>
      <c r="BO946" s="20">
        <f t="shared" si="124"/>
        <v>0</v>
      </c>
      <c r="BP946" s="20">
        <f t="shared" si="125"/>
        <v>0</v>
      </c>
      <c r="BQ946" s="51"/>
      <c r="BR946" s="56"/>
      <c r="BS946" s="91"/>
      <c r="BT946" s="36"/>
      <c r="BU946" s="112"/>
    </row>
    <row r="947" s="1" customFormat="1" customHeight="1" spans="1:73">
      <c r="A947" s="15" t="s">
        <v>1415</v>
      </c>
      <c r="B947" s="15">
        <v>170</v>
      </c>
      <c r="C947" s="16">
        <v>93</v>
      </c>
      <c r="D947" s="29"/>
      <c r="E947" s="30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30"/>
      <c r="AH947" s="29"/>
      <c r="AI947" s="29"/>
      <c r="AJ947" s="29"/>
      <c r="AK947" s="30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0">
        <f t="shared" si="123"/>
        <v>0</v>
      </c>
      <c r="BO947" s="20">
        <f t="shared" si="124"/>
        <v>0</v>
      </c>
      <c r="BP947" s="20">
        <f t="shared" si="125"/>
        <v>93</v>
      </c>
      <c r="BQ947" s="51">
        <f t="shared" si="127"/>
        <v>15.81</v>
      </c>
      <c r="BR947" s="56" t="s">
        <v>1416</v>
      </c>
      <c r="BS947" s="91" t="s">
        <v>1394</v>
      </c>
      <c r="BT947" s="36" t="s">
        <v>1417</v>
      </c>
      <c r="BU947" s="35" t="s">
        <v>1396</v>
      </c>
    </row>
    <row r="948" s="1" customFormat="1" customHeight="1" spans="1:73">
      <c r="A948" s="15" t="s">
        <v>1418</v>
      </c>
      <c r="B948" s="15">
        <v>240</v>
      </c>
      <c r="C948" s="16">
        <v>5</v>
      </c>
      <c r="D948" s="29"/>
      <c r="E948" s="30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30"/>
      <c r="AH948" s="29"/>
      <c r="AI948" s="29"/>
      <c r="AJ948" s="29"/>
      <c r="AK948" s="30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0">
        <f t="shared" si="123"/>
        <v>0</v>
      </c>
      <c r="BO948" s="20">
        <f t="shared" si="124"/>
        <v>0</v>
      </c>
      <c r="BP948" s="20">
        <f t="shared" si="125"/>
        <v>5</v>
      </c>
      <c r="BQ948" s="51">
        <f t="shared" si="127"/>
        <v>1.2</v>
      </c>
      <c r="BR948" s="56" t="s">
        <v>649</v>
      </c>
      <c r="BS948" s="91" t="s">
        <v>650</v>
      </c>
      <c r="BT948" s="36"/>
      <c r="BU948" s="35" t="s">
        <v>1396</v>
      </c>
    </row>
    <row r="949" s="1" customFormat="1" customHeight="1" spans="1:73">
      <c r="A949" s="37" t="s">
        <v>1419</v>
      </c>
      <c r="B949" s="15">
        <v>305</v>
      </c>
      <c r="C949" s="16">
        <v>51</v>
      </c>
      <c r="D949" s="29"/>
      <c r="E949" s="30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30"/>
      <c r="AH949" s="29"/>
      <c r="AI949" s="29"/>
      <c r="AJ949" s="29"/>
      <c r="AK949" s="30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0">
        <f t="shared" si="123"/>
        <v>0</v>
      </c>
      <c r="BO949" s="20">
        <f t="shared" si="124"/>
        <v>0</v>
      </c>
      <c r="BP949" s="20">
        <f t="shared" si="125"/>
        <v>51</v>
      </c>
      <c r="BQ949" s="51">
        <f t="shared" si="127"/>
        <v>15.555</v>
      </c>
      <c r="BR949" s="56" t="s">
        <v>1420</v>
      </c>
      <c r="BS949" s="91" t="s">
        <v>1280</v>
      </c>
      <c r="BT949" s="36"/>
      <c r="BU949" s="35" t="s">
        <v>1396</v>
      </c>
    </row>
    <row r="950" s="1" customFormat="1" customHeight="1" spans="1:73">
      <c r="A950" s="37" t="s">
        <v>1421</v>
      </c>
      <c r="B950" s="15">
        <v>140</v>
      </c>
      <c r="C950" s="16">
        <v>54</v>
      </c>
      <c r="D950" s="29"/>
      <c r="E950" s="30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30"/>
      <c r="AH950" s="29"/>
      <c r="AI950" s="29"/>
      <c r="AJ950" s="29"/>
      <c r="AK950" s="30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0">
        <f t="shared" si="123"/>
        <v>0</v>
      </c>
      <c r="BO950" s="20">
        <f t="shared" si="124"/>
        <v>0</v>
      </c>
      <c r="BP950" s="20">
        <f t="shared" si="125"/>
        <v>54</v>
      </c>
      <c r="BQ950" s="51">
        <f t="shared" si="127"/>
        <v>7.56</v>
      </c>
      <c r="BR950" s="56" t="s">
        <v>1412</v>
      </c>
      <c r="BS950" s="91" t="s">
        <v>898</v>
      </c>
      <c r="BT950" s="36" t="s">
        <v>1422</v>
      </c>
      <c r="BU950" s="35" t="s">
        <v>1396</v>
      </c>
    </row>
    <row r="951" s="1" customFormat="1" customHeight="1" spans="1:73">
      <c r="A951" s="37" t="s">
        <v>1421</v>
      </c>
      <c r="B951" s="15">
        <v>115</v>
      </c>
      <c r="C951" s="16">
        <v>70</v>
      </c>
      <c r="D951" s="29"/>
      <c r="E951" s="30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30"/>
      <c r="AH951" s="29"/>
      <c r="AI951" s="29"/>
      <c r="AJ951" s="29"/>
      <c r="AK951" s="30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0">
        <f t="shared" si="123"/>
        <v>0</v>
      </c>
      <c r="BO951" s="20">
        <f t="shared" si="124"/>
        <v>0</v>
      </c>
      <c r="BP951" s="20">
        <f t="shared" si="125"/>
        <v>70</v>
      </c>
      <c r="BQ951" s="51">
        <f t="shared" si="127"/>
        <v>8.05</v>
      </c>
      <c r="BR951" s="56" t="s">
        <v>1423</v>
      </c>
      <c r="BS951" s="91" t="s">
        <v>1424</v>
      </c>
      <c r="BT951" s="36" t="s">
        <v>1425</v>
      </c>
      <c r="BU951" s="35" t="s">
        <v>1396</v>
      </c>
    </row>
    <row r="952" s="1" customFormat="1" customHeight="1" spans="1:73">
      <c r="A952" s="37" t="s">
        <v>1426</v>
      </c>
      <c r="B952" s="15">
        <v>250</v>
      </c>
      <c r="C952" s="16">
        <v>4</v>
      </c>
      <c r="D952" s="29"/>
      <c r="E952" s="30"/>
      <c r="F952" s="29"/>
      <c r="G952" s="29"/>
      <c r="H952" s="29"/>
      <c r="I952" s="29"/>
      <c r="J952" s="29"/>
      <c r="K952" s="29"/>
      <c r="L952" s="29"/>
      <c r="M952" s="82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30"/>
      <c r="AH952" s="29"/>
      <c r="AI952" s="29"/>
      <c r="AJ952" s="29"/>
      <c r="AK952" s="30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0">
        <f t="shared" si="123"/>
        <v>0</v>
      </c>
      <c r="BO952" s="20">
        <f t="shared" si="124"/>
        <v>0</v>
      </c>
      <c r="BP952" s="20">
        <f t="shared" si="125"/>
        <v>4</v>
      </c>
      <c r="BQ952" s="51">
        <f t="shared" si="127"/>
        <v>1</v>
      </c>
      <c r="BR952" s="56" t="s">
        <v>1427</v>
      </c>
      <c r="BS952" s="91" t="s">
        <v>1280</v>
      </c>
      <c r="BT952" s="36"/>
      <c r="BU952" s="35" t="s">
        <v>1396</v>
      </c>
    </row>
    <row r="953" s="1" customFormat="1" customHeight="1" spans="1:73">
      <c r="A953" s="66" t="s">
        <v>1428</v>
      </c>
      <c r="B953" s="15">
        <v>200</v>
      </c>
      <c r="C953" s="16">
        <v>13</v>
      </c>
      <c r="D953" s="29"/>
      <c r="E953" s="30"/>
      <c r="F953" s="29"/>
      <c r="G953" s="29"/>
      <c r="H953" s="29"/>
      <c r="I953" s="29"/>
      <c r="J953" s="29"/>
      <c r="K953" s="29"/>
      <c r="L953" s="29"/>
      <c r="M953" s="82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30"/>
      <c r="AH953" s="29"/>
      <c r="AI953" s="29"/>
      <c r="AJ953" s="29"/>
      <c r="AK953" s="30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0">
        <f t="shared" si="123"/>
        <v>0</v>
      </c>
      <c r="BO953" s="20">
        <f t="shared" si="124"/>
        <v>0</v>
      </c>
      <c r="BP953" s="20">
        <f t="shared" si="125"/>
        <v>13</v>
      </c>
      <c r="BQ953" s="51">
        <f t="shared" si="127"/>
        <v>2.6</v>
      </c>
      <c r="BR953" s="56" t="s">
        <v>959</v>
      </c>
      <c r="BS953" s="91" t="s">
        <v>1280</v>
      </c>
      <c r="BT953" s="36"/>
      <c r="BU953" s="35" t="s">
        <v>1396</v>
      </c>
    </row>
    <row r="954" s="1" customFormat="1" customHeight="1" spans="1:73">
      <c r="A954" s="53" t="s">
        <v>1429</v>
      </c>
      <c r="B954" s="15"/>
      <c r="C954" s="16"/>
      <c r="D954" s="29"/>
      <c r="E954" s="30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30"/>
      <c r="AH954" s="29"/>
      <c r="AI954" s="29"/>
      <c r="AJ954" s="29"/>
      <c r="AK954" s="30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0">
        <f t="shared" si="123"/>
        <v>0</v>
      </c>
      <c r="BO954" s="20">
        <f t="shared" si="124"/>
        <v>0</v>
      </c>
      <c r="BP954" s="20">
        <f t="shared" si="125"/>
        <v>0</v>
      </c>
      <c r="BQ954" s="51"/>
      <c r="BR954" s="56"/>
      <c r="BS954" s="91"/>
      <c r="BT954" s="36"/>
      <c r="BU954" s="112"/>
    </row>
    <row r="955" s="1" customFormat="1" customHeight="1" spans="1:73">
      <c r="A955" s="15" t="s">
        <v>1430</v>
      </c>
      <c r="B955" s="15">
        <v>6</v>
      </c>
      <c r="C955" s="16">
        <v>600</v>
      </c>
      <c r="D955" s="29"/>
      <c r="E955" s="30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30"/>
      <c r="AH955" s="29"/>
      <c r="AI955" s="29"/>
      <c r="AJ955" s="29"/>
      <c r="AK955" s="30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0">
        <f t="shared" si="123"/>
        <v>0</v>
      </c>
      <c r="BO955" s="20">
        <f t="shared" si="124"/>
        <v>0</v>
      </c>
      <c r="BP955" s="20">
        <f t="shared" si="125"/>
        <v>600</v>
      </c>
      <c r="BQ955" s="51">
        <f t="shared" ref="BQ955:BQ960" si="128">B955*BP955/1000</f>
        <v>3.6</v>
      </c>
      <c r="BR955" s="56" t="s">
        <v>105</v>
      </c>
      <c r="BS955" s="91" t="s">
        <v>824</v>
      </c>
      <c r="BT955" s="36" t="s">
        <v>1431</v>
      </c>
      <c r="BU955" s="35" t="s">
        <v>1432</v>
      </c>
    </row>
    <row r="956" s="1" customFormat="1" customHeight="1" spans="1:73">
      <c r="A956" s="15" t="s">
        <v>1433</v>
      </c>
      <c r="B956" s="15">
        <v>75</v>
      </c>
      <c r="C956" s="16">
        <v>34</v>
      </c>
      <c r="D956" s="29"/>
      <c r="E956" s="30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30"/>
      <c r="AH956" s="29"/>
      <c r="AI956" s="29"/>
      <c r="AJ956" s="29"/>
      <c r="AK956" s="30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0">
        <f t="shared" si="123"/>
        <v>0</v>
      </c>
      <c r="BO956" s="20">
        <f t="shared" si="124"/>
        <v>0</v>
      </c>
      <c r="BP956" s="20">
        <f t="shared" si="125"/>
        <v>34</v>
      </c>
      <c r="BQ956" s="51">
        <f t="shared" si="128"/>
        <v>2.55</v>
      </c>
      <c r="BR956" s="56" t="s">
        <v>1434</v>
      </c>
      <c r="BS956" s="91" t="s">
        <v>1435</v>
      </c>
      <c r="BT956" s="36"/>
      <c r="BU956" s="35" t="s">
        <v>1432</v>
      </c>
    </row>
    <row r="957" s="1" customFormat="1" customHeight="1" spans="1:73">
      <c r="A957" s="15" t="s">
        <v>1433</v>
      </c>
      <c r="B957" s="15">
        <v>135</v>
      </c>
      <c r="C957" s="16">
        <v>365</v>
      </c>
      <c r="D957" s="29"/>
      <c r="E957" s="30"/>
      <c r="F957" s="29"/>
      <c r="G957" s="29"/>
      <c r="H957" s="29"/>
      <c r="I957" s="29">
        <v>2</v>
      </c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30"/>
      <c r="AH957" s="29"/>
      <c r="AI957" s="29"/>
      <c r="AJ957" s="29"/>
      <c r="AK957" s="30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0">
        <f t="shared" si="123"/>
        <v>0</v>
      </c>
      <c r="BO957" s="20">
        <f t="shared" si="124"/>
        <v>2</v>
      </c>
      <c r="BP957" s="20">
        <f t="shared" si="125"/>
        <v>363</v>
      </c>
      <c r="BQ957" s="51">
        <f t="shared" si="128"/>
        <v>49.005</v>
      </c>
      <c r="BR957" s="56" t="s">
        <v>1436</v>
      </c>
      <c r="BS957" s="91" t="s">
        <v>1437</v>
      </c>
      <c r="BT957" s="36"/>
      <c r="BU957" s="35" t="s">
        <v>1432</v>
      </c>
    </row>
    <row r="958" s="1" customFormat="1" customHeight="1" spans="1:73">
      <c r="A958" s="15" t="s">
        <v>1433</v>
      </c>
      <c r="B958" s="15">
        <v>195</v>
      </c>
      <c r="C958" s="16">
        <v>72</v>
      </c>
      <c r="D958" s="29"/>
      <c r="E958" s="30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30"/>
      <c r="AH958" s="29"/>
      <c r="AI958" s="29"/>
      <c r="AJ958" s="29"/>
      <c r="AK958" s="30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0">
        <f t="shared" si="123"/>
        <v>0</v>
      </c>
      <c r="BO958" s="20">
        <f t="shared" si="124"/>
        <v>0</v>
      </c>
      <c r="BP958" s="20">
        <f t="shared" si="125"/>
        <v>72</v>
      </c>
      <c r="BQ958" s="51">
        <f t="shared" si="128"/>
        <v>14.04</v>
      </c>
      <c r="BR958" s="56" t="s">
        <v>1438</v>
      </c>
      <c r="BS958" s="91" t="s">
        <v>1439</v>
      </c>
      <c r="BT958" s="36"/>
      <c r="BU958" s="35" t="s">
        <v>1432</v>
      </c>
    </row>
    <row r="959" s="1" customFormat="1" customHeight="1" spans="1:73">
      <c r="A959" s="15" t="s">
        <v>1430</v>
      </c>
      <c r="B959" s="28">
        <v>270</v>
      </c>
      <c r="C959" s="16">
        <v>247</v>
      </c>
      <c r="D959" s="29"/>
      <c r="E959" s="30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30"/>
      <c r="AH959" s="29"/>
      <c r="AI959" s="29"/>
      <c r="AJ959" s="29"/>
      <c r="AK959" s="30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0">
        <f t="shared" si="123"/>
        <v>0</v>
      </c>
      <c r="BO959" s="20">
        <f t="shared" si="124"/>
        <v>0</v>
      </c>
      <c r="BP959" s="20">
        <f t="shared" si="125"/>
        <v>247</v>
      </c>
      <c r="BQ959" s="51">
        <f t="shared" si="128"/>
        <v>66.69</v>
      </c>
      <c r="BR959" s="56" t="s">
        <v>251</v>
      </c>
      <c r="BS959" s="91" t="s">
        <v>846</v>
      </c>
      <c r="BT959" s="36"/>
      <c r="BU959" s="35" t="s">
        <v>1432</v>
      </c>
    </row>
    <row r="960" s="1" customFormat="1" customHeight="1" spans="1:73">
      <c r="A960" s="15" t="s">
        <v>1430</v>
      </c>
      <c r="B960" s="28">
        <v>280</v>
      </c>
      <c r="C960" s="16">
        <v>10</v>
      </c>
      <c r="D960" s="29"/>
      <c r="E960" s="30"/>
      <c r="F960" s="29"/>
      <c r="G960" s="29"/>
      <c r="H960" s="29"/>
      <c r="I960" s="29"/>
      <c r="J960" s="29">
        <v>6</v>
      </c>
      <c r="K960" s="29">
        <v>16</v>
      </c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30"/>
      <c r="AH960" s="29"/>
      <c r="AI960" s="29"/>
      <c r="AJ960" s="29"/>
      <c r="AK960" s="30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0">
        <f t="shared" si="123"/>
        <v>6</v>
      </c>
      <c r="BO960" s="20">
        <f t="shared" si="124"/>
        <v>16</v>
      </c>
      <c r="BP960" s="20">
        <f t="shared" si="125"/>
        <v>0</v>
      </c>
      <c r="BQ960" s="51">
        <f t="shared" si="128"/>
        <v>0</v>
      </c>
      <c r="BR960" s="56" t="s">
        <v>398</v>
      </c>
      <c r="BS960" s="91" t="s">
        <v>1075</v>
      </c>
      <c r="BT960" s="36"/>
      <c r="BU960" s="35" t="s">
        <v>1432</v>
      </c>
    </row>
    <row r="961" s="1" customFormat="1" customHeight="1" spans="1:73">
      <c r="A961" s="53" t="s">
        <v>1440</v>
      </c>
      <c r="B961" s="15"/>
      <c r="C961" s="16"/>
      <c r="D961" s="29"/>
      <c r="E961" s="30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30"/>
      <c r="AH961" s="29"/>
      <c r="AI961" s="29"/>
      <c r="AJ961" s="29"/>
      <c r="AK961" s="30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0">
        <f t="shared" si="123"/>
        <v>0</v>
      </c>
      <c r="BO961" s="20">
        <f t="shared" si="124"/>
        <v>0</v>
      </c>
      <c r="BP961" s="20">
        <f t="shared" si="125"/>
        <v>0</v>
      </c>
      <c r="BQ961" s="51"/>
      <c r="BR961" s="56"/>
      <c r="BS961" s="91"/>
      <c r="BT961" s="36"/>
      <c r="BU961" s="112"/>
    </row>
    <row r="962" s="1" customFormat="1" customHeight="1" spans="1:73">
      <c r="A962" s="28" t="s">
        <v>1441</v>
      </c>
      <c r="B962" s="15">
        <v>13</v>
      </c>
      <c r="C962" s="16">
        <v>1000</v>
      </c>
      <c r="D962" s="29"/>
      <c r="E962" s="30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30"/>
      <c r="AH962" s="29"/>
      <c r="AI962" s="29"/>
      <c r="AJ962" s="29"/>
      <c r="AK962" s="30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0">
        <f t="shared" si="123"/>
        <v>0</v>
      </c>
      <c r="BO962" s="20">
        <f t="shared" si="124"/>
        <v>0</v>
      </c>
      <c r="BP962" s="20">
        <f t="shared" si="125"/>
        <v>1000</v>
      </c>
      <c r="BQ962" s="51">
        <f t="shared" ref="BQ962:BQ968" si="129">B962*BP962/1000</f>
        <v>13</v>
      </c>
      <c r="BR962" s="56" t="s">
        <v>404</v>
      </c>
      <c r="BS962" s="91" t="s">
        <v>1442</v>
      </c>
      <c r="BT962" s="36" t="s">
        <v>1443</v>
      </c>
      <c r="BU962" s="35" t="s">
        <v>1432</v>
      </c>
    </row>
    <row r="963" s="1" customFormat="1" customHeight="1" spans="1:73">
      <c r="A963" s="28" t="s">
        <v>1441</v>
      </c>
      <c r="B963" s="15">
        <v>20</v>
      </c>
      <c r="C963" s="16">
        <v>1339</v>
      </c>
      <c r="D963" s="29"/>
      <c r="E963" s="30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30"/>
      <c r="AH963" s="29"/>
      <c r="AI963" s="29"/>
      <c r="AJ963" s="29"/>
      <c r="AK963" s="30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0">
        <f t="shared" si="123"/>
        <v>0</v>
      </c>
      <c r="BO963" s="20">
        <f t="shared" si="124"/>
        <v>0</v>
      </c>
      <c r="BP963" s="20">
        <f t="shared" si="125"/>
        <v>1339</v>
      </c>
      <c r="BQ963" s="51">
        <f t="shared" si="129"/>
        <v>26.78</v>
      </c>
      <c r="BR963" s="56" t="s">
        <v>1001</v>
      </c>
      <c r="BS963" s="91" t="s">
        <v>1444</v>
      </c>
      <c r="BT963" s="36" t="s">
        <v>1445</v>
      </c>
      <c r="BU963" s="35" t="s">
        <v>1432</v>
      </c>
    </row>
    <row r="964" s="1" customFormat="1" customHeight="1" spans="1:73">
      <c r="A964" s="28" t="s">
        <v>1441</v>
      </c>
      <c r="B964" s="15">
        <v>70</v>
      </c>
      <c r="C964" s="16">
        <v>9</v>
      </c>
      <c r="D964" s="29"/>
      <c r="E964" s="30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30"/>
      <c r="AH964" s="29"/>
      <c r="AI964" s="29"/>
      <c r="AJ964" s="29"/>
      <c r="AK964" s="30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0">
        <f t="shared" si="123"/>
        <v>0</v>
      </c>
      <c r="BO964" s="20">
        <f t="shared" si="124"/>
        <v>0</v>
      </c>
      <c r="BP964" s="20">
        <f t="shared" si="125"/>
        <v>9</v>
      </c>
      <c r="BQ964" s="51">
        <f t="shared" si="129"/>
        <v>0.63</v>
      </c>
      <c r="BR964" s="56" t="s">
        <v>637</v>
      </c>
      <c r="BS964" s="91" t="s">
        <v>1394</v>
      </c>
      <c r="BT964" s="36"/>
      <c r="BU964" s="35" t="s">
        <v>1432</v>
      </c>
    </row>
    <row r="965" s="1" customFormat="1" customHeight="1" spans="1:73">
      <c r="A965" s="28" t="s">
        <v>1441</v>
      </c>
      <c r="B965" s="15">
        <v>100</v>
      </c>
      <c r="C965" s="16">
        <v>231</v>
      </c>
      <c r="D965" s="29"/>
      <c r="E965" s="30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30"/>
      <c r="AH965" s="29"/>
      <c r="AI965" s="29"/>
      <c r="AJ965" s="29"/>
      <c r="AK965" s="30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0">
        <f t="shared" si="123"/>
        <v>0</v>
      </c>
      <c r="BO965" s="20">
        <f t="shared" si="124"/>
        <v>0</v>
      </c>
      <c r="BP965" s="20">
        <f t="shared" si="125"/>
        <v>231</v>
      </c>
      <c r="BQ965" s="51">
        <f t="shared" si="129"/>
        <v>23.1</v>
      </c>
      <c r="BR965" s="56" t="s">
        <v>1178</v>
      </c>
      <c r="BS965" s="91" t="s">
        <v>1002</v>
      </c>
      <c r="BT965" s="36" t="s">
        <v>1446</v>
      </c>
      <c r="BU965" s="35" t="s">
        <v>1432</v>
      </c>
    </row>
    <row r="966" s="1" customFormat="1" customHeight="1" spans="1:73">
      <c r="A966" s="28" t="s">
        <v>1441</v>
      </c>
      <c r="B966" s="15">
        <v>130</v>
      </c>
      <c r="C966" s="16">
        <v>70</v>
      </c>
      <c r="D966" s="29"/>
      <c r="E966" s="30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30"/>
      <c r="AH966" s="29"/>
      <c r="AI966" s="29"/>
      <c r="AJ966" s="29"/>
      <c r="AK966" s="30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0">
        <f t="shared" si="123"/>
        <v>0</v>
      </c>
      <c r="BO966" s="20">
        <f t="shared" si="124"/>
        <v>0</v>
      </c>
      <c r="BP966" s="20">
        <f t="shared" si="125"/>
        <v>70</v>
      </c>
      <c r="BQ966" s="51">
        <f t="shared" si="129"/>
        <v>9.1</v>
      </c>
      <c r="BR966" s="56" t="s">
        <v>1178</v>
      </c>
      <c r="BS966" s="91" t="s">
        <v>1179</v>
      </c>
      <c r="BT966" s="36" t="s">
        <v>1447</v>
      </c>
      <c r="BU966" s="35" t="s">
        <v>1432</v>
      </c>
    </row>
    <row r="967" s="1" customFormat="1" customHeight="1" spans="1:73">
      <c r="A967" s="28" t="s">
        <v>1441</v>
      </c>
      <c r="B967" s="15">
        <v>145</v>
      </c>
      <c r="C967" s="16">
        <v>62</v>
      </c>
      <c r="D967" s="29"/>
      <c r="E967" s="30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30"/>
      <c r="AH967" s="29"/>
      <c r="AI967" s="29"/>
      <c r="AJ967" s="29"/>
      <c r="AK967" s="30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0">
        <f t="shared" si="123"/>
        <v>0</v>
      </c>
      <c r="BO967" s="20">
        <f t="shared" si="124"/>
        <v>0</v>
      </c>
      <c r="BP967" s="20">
        <f t="shared" si="125"/>
        <v>62</v>
      </c>
      <c r="BQ967" s="51">
        <f t="shared" si="129"/>
        <v>8.99</v>
      </c>
      <c r="BR967" s="56" t="s">
        <v>394</v>
      </c>
      <c r="BS967" s="91" t="s">
        <v>1251</v>
      </c>
      <c r="BT967" s="36" t="s">
        <v>1448</v>
      </c>
      <c r="BU967" s="35" t="s">
        <v>1432</v>
      </c>
    </row>
    <row r="968" s="1" customFormat="1" customHeight="1" spans="1:73">
      <c r="A968" s="28" t="s">
        <v>1441</v>
      </c>
      <c r="B968" s="15">
        <v>165</v>
      </c>
      <c r="C968" s="16">
        <v>115</v>
      </c>
      <c r="D968" s="29"/>
      <c r="E968" s="30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30"/>
      <c r="AH968" s="29"/>
      <c r="AI968" s="29"/>
      <c r="AJ968" s="29"/>
      <c r="AK968" s="30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0">
        <f t="shared" si="123"/>
        <v>0</v>
      </c>
      <c r="BO968" s="20">
        <f t="shared" si="124"/>
        <v>0</v>
      </c>
      <c r="BP968" s="20">
        <f t="shared" si="125"/>
        <v>115</v>
      </c>
      <c r="BQ968" s="51">
        <f t="shared" si="129"/>
        <v>18.975</v>
      </c>
      <c r="BR968" s="56" t="s">
        <v>1178</v>
      </c>
      <c r="BS968" s="91" t="s">
        <v>1179</v>
      </c>
      <c r="BT968" s="36" t="s">
        <v>1449</v>
      </c>
      <c r="BU968" s="35" t="s">
        <v>1432</v>
      </c>
    </row>
    <row r="969" s="1" customFormat="1" customHeight="1" spans="1:73">
      <c r="A969" s="53" t="s">
        <v>1450</v>
      </c>
      <c r="B969" s="15"/>
      <c r="C969" s="16"/>
      <c r="D969" s="29"/>
      <c r="E969" s="30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30"/>
      <c r="AH969" s="29"/>
      <c r="AI969" s="29"/>
      <c r="AJ969" s="29"/>
      <c r="AK969" s="30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0">
        <f t="shared" si="123"/>
        <v>0</v>
      </c>
      <c r="BO969" s="20">
        <f t="shared" si="124"/>
        <v>0</v>
      </c>
      <c r="BP969" s="20">
        <f t="shared" si="125"/>
        <v>0</v>
      </c>
      <c r="BQ969" s="51"/>
      <c r="BR969" s="56"/>
      <c r="BS969" s="91"/>
      <c r="BT969" s="36"/>
      <c r="BU969" s="112"/>
    </row>
    <row r="970" s="1" customFormat="1" customHeight="1" spans="1:73">
      <c r="A970" s="28" t="s">
        <v>1451</v>
      </c>
      <c r="B970" s="15">
        <v>105</v>
      </c>
      <c r="C970" s="16">
        <v>21</v>
      </c>
      <c r="D970" s="29"/>
      <c r="E970" s="30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30"/>
      <c r="AH970" s="29"/>
      <c r="AI970" s="29"/>
      <c r="AJ970" s="29"/>
      <c r="AK970" s="30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0">
        <f t="shared" si="123"/>
        <v>0</v>
      </c>
      <c r="BO970" s="20">
        <f t="shared" si="124"/>
        <v>0</v>
      </c>
      <c r="BP970" s="20">
        <f t="shared" si="125"/>
        <v>21</v>
      </c>
      <c r="BQ970" s="51">
        <f t="shared" ref="BQ970:BQ979" si="130">B970*BP970/1000</f>
        <v>2.205</v>
      </c>
      <c r="BR970" s="56" t="s">
        <v>1452</v>
      </c>
      <c r="BS970" s="91" t="s">
        <v>1453</v>
      </c>
      <c r="BT970" s="36"/>
      <c r="BU970" s="35" t="s">
        <v>1454</v>
      </c>
    </row>
    <row r="971" s="1" customFormat="1" customHeight="1" spans="1:73">
      <c r="A971" s="28" t="s">
        <v>1451</v>
      </c>
      <c r="B971" s="15">
        <v>140</v>
      </c>
      <c r="C971" s="16">
        <v>28</v>
      </c>
      <c r="D971" s="29"/>
      <c r="E971" s="30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30"/>
      <c r="AH971" s="29"/>
      <c r="AI971" s="29"/>
      <c r="AJ971" s="29"/>
      <c r="AK971" s="30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0">
        <f t="shared" si="123"/>
        <v>0</v>
      </c>
      <c r="BO971" s="20">
        <f t="shared" si="124"/>
        <v>0</v>
      </c>
      <c r="BP971" s="20">
        <f t="shared" si="125"/>
        <v>28</v>
      </c>
      <c r="BQ971" s="51">
        <f t="shared" si="130"/>
        <v>3.92</v>
      </c>
      <c r="BR971" s="56" t="s">
        <v>1455</v>
      </c>
      <c r="BS971" s="91" t="s">
        <v>1456</v>
      </c>
      <c r="BT971" s="36"/>
      <c r="BU971" s="35" t="s">
        <v>1454</v>
      </c>
    </row>
    <row r="972" s="1" customFormat="1" customHeight="1" spans="1:73">
      <c r="A972" s="28" t="s">
        <v>1451</v>
      </c>
      <c r="B972" s="39">
        <v>177</v>
      </c>
      <c r="C972" s="16">
        <v>26</v>
      </c>
      <c r="D972" s="29"/>
      <c r="E972" s="30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30"/>
      <c r="AH972" s="29"/>
      <c r="AI972" s="29"/>
      <c r="AJ972" s="29"/>
      <c r="AK972" s="30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0">
        <f t="shared" si="123"/>
        <v>0</v>
      </c>
      <c r="BO972" s="20">
        <f t="shared" si="124"/>
        <v>0</v>
      </c>
      <c r="BP972" s="20">
        <f t="shared" si="125"/>
        <v>26</v>
      </c>
      <c r="BQ972" s="51">
        <f t="shared" si="130"/>
        <v>4.602</v>
      </c>
      <c r="BR972" s="56" t="s">
        <v>820</v>
      </c>
      <c r="BS972" s="91" t="s">
        <v>821</v>
      </c>
      <c r="BT972" s="36" t="s">
        <v>1457</v>
      </c>
      <c r="BU972" s="35" t="s">
        <v>1454</v>
      </c>
    </row>
    <row r="973" s="1" customFormat="1" customHeight="1" spans="1:73">
      <c r="A973" s="28" t="s">
        <v>1451</v>
      </c>
      <c r="B973" s="15">
        <v>264</v>
      </c>
      <c r="C973" s="16">
        <v>20</v>
      </c>
      <c r="D973" s="29"/>
      <c r="E973" s="30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30"/>
      <c r="AH973" s="29"/>
      <c r="AI973" s="29"/>
      <c r="AJ973" s="29"/>
      <c r="AK973" s="30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0">
        <f t="shared" si="123"/>
        <v>0</v>
      </c>
      <c r="BO973" s="20">
        <f t="shared" si="124"/>
        <v>0</v>
      </c>
      <c r="BP973" s="20">
        <f t="shared" si="125"/>
        <v>20</v>
      </c>
      <c r="BQ973" s="51">
        <f t="shared" si="130"/>
        <v>5.28</v>
      </c>
      <c r="BR973" s="56" t="s">
        <v>227</v>
      </c>
      <c r="BS973" s="91" t="s">
        <v>1458</v>
      </c>
      <c r="BT973" s="36"/>
      <c r="BU973" s="35" t="s">
        <v>1454</v>
      </c>
    </row>
    <row r="974" s="1" customFormat="1" customHeight="1" spans="1:73">
      <c r="A974" s="28" t="s">
        <v>1451</v>
      </c>
      <c r="B974" s="15">
        <v>300</v>
      </c>
      <c r="C974" s="16">
        <v>26</v>
      </c>
      <c r="D974" s="29"/>
      <c r="E974" s="30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30"/>
      <c r="AH974" s="29"/>
      <c r="AI974" s="29"/>
      <c r="AJ974" s="29"/>
      <c r="AK974" s="30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0">
        <f t="shared" si="123"/>
        <v>0</v>
      </c>
      <c r="BO974" s="20">
        <f t="shared" si="124"/>
        <v>0</v>
      </c>
      <c r="BP974" s="20">
        <f t="shared" si="125"/>
        <v>26</v>
      </c>
      <c r="BQ974" s="51">
        <f t="shared" si="130"/>
        <v>7.8</v>
      </c>
      <c r="BR974" s="56" t="s">
        <v>227</v>
      </c>
      <c r="BS974" s="91" t="s">
        <v>1458</v>
      </c>
      <c r="BT974" s="36"/>
      <c r="BU974" s="35" t="s">
        <v>1454</v>
      </c>
    </row>
    <row r="975" s="1" customFormat="1" customHeight="1" spans="1:73">
      <c r="A975" s="28" t="s">
        <v>1459</v>
      </c>
      <c r="B975" s="15">
        <v>140</v>
      </c>
      <c r="C975" s="16">
        <v>15</v>
      </c>
      <c r="D975" s="29"/>
      <c r="E975" s="30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30"/>
      <c r="AH975" s="29"/>
      <c r="AI975" s="29"/>
      <c r="AJ975" s="29"/>
      <c r="AK975" s="30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0">
        <f t="shared" si="123"/>
        <v>0</v>
      </c>
      <c r="BO975" s="20">
        <f t="shared" si="124"/>
        <v>0</v>
      </c>
      <c r="BP975" s="20">
        <f t="shared" si="125"/>
        <v>15</v>
      </c>
      <c r="BQ975" s="51">
        <f t="shared" si="130"/>
        <v>2.1</v>
      </c>
      <c r="BR975" s="56" t="s">
        <v>847</v>
      </c>
      <c r="BS975" s="91" t="s">
        <v>848</v>
      </c>
      <c r="BT975" s="36"/>
      <c r="BU975" s="35" t="s">
        <v>1454</v>
      </c>
    </row>
    <row r="976" s="1" customFormat="1" customHeight="1" spans="1:73">
      <c r="A976" s="28" t="s">
        <v>1459</v>
      </c>
      <c r="B976" s="15">
        <v>165</v>
      </c>
      <c r="C976" s="16">
        <v>4</v>
      </c>
      <c r="D976" s="29"/>
      <c r="E976" s="30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30"/>
      <c r="AH976" s="29"/>
      <c r="AI976" s="29"/>
      <c r="AJ976" s="29"/>
      <c r="AK976" s="30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0">
        <f t="shared" si="123"/>
        <v>0</v>
      </c>
      <c r="BO976" s="20">
        <f t="shared" si="124"/>
        <v>0</v>
      </c>
      <c r="BP976" s="20">
        <f t="shared" si="125"/>
        <v>4</v>
      </c>
      <c r="BQ976" s="51">
        <f t="shared" si="130"/>
        <v>0.66</v>
      </c>
      <c r="BR976" s="56" t="s">
        <v>1035</v>
      </c>
      <c r="BS976" s="91" t="s">
        <v>1033</v>
      </c>
      <c r="BT976" s="36"/>
      <c r="BU976" s="35" t="s">
        <v>1454</v>
      </c>
    </row>
    <row r="977" s="1" customFormat="1" customHeight="1" spans="1:73">
      <c r="A977" s="28" t="s">
        <v>1459</v>
      </c>
      <c r="B977" s="15">
        <v>224</v>
      </c>
      <c r="C977" s="16">
        <v>15</v>
      </c>
      <c r="D977" s="29"/>
      <c r="E977" s="30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30"/>
      <c r="AH977" s="29"/>
      <c r="AI977" s="29"/>
      <c r="AJ977" s="29"/>
      <c r="AK977" s="30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0">
        <f t="shared" si="123"/>
        <v>0</v>
      </c>
      <c r="BO977" s="20">
        <f t="shared" si="124"/>
        <v>0</v>
      </c>
      <c r="BP977" s="20">
        <f t="shared" si="125"/>
        <v>15</v>
      </c>
      <c r="BQ977" s="51">
        <f t="shared" si="130"/>
        <v>3.36</v>
      </c>
      <c r="BR977" s="56" t="s">
        <v>1035</v>
      </c>
      <c r="BS977" s="91" t="s">
        <v>1033</v>
      </c>
      <c r="BT977" s="36"/>
      <c r="BU977" s="35" t="s">
        <v>1454</v>
      </c>
    </row>
    <row r="978" s="1" customFormat="1" customHeight="1" spans="1:73">
      <c r="A978" s="28" t="s">
        <v>1459</v>
      </c>
      <c r="B978" s="15">
        <v>240</v>
      </c>
      <c r="C978" s="16">
        <v>58</v>
      </c>
      <c r="D978" s="29"/>
      <c r="E978" s="30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30"/>
      <c r="AH978" s="29"/>
      <c r="AI978" s="29"/>
      <c r="AJ978" s="29"/>
      <c r="AK978" s="30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0">
        <f t="shared" si="123"/>
        <v>0</v>
      </c>
      <c r="BO978" s="20">
        <f t="shared" si="124"/>
        <v>0</v>
      </c>
      <c r="BP978" s="20">
        <f t="shared" si="125"/>
        <v>58</v>
      </c>
      <c r="BQ978" s="51">
        <f t="shared" si="130"/>
        <v>13.92</v>
      </c>
      <c r="BR978" s="56" t="s">
        <v>1035</v>
      </c>
      <c r="BS978" s="91" t="s">
        <v>848</v>
      </c>
      <c r="BT978" s="36"/>
      <c r="BU978" s="35" t="s">
        <v>1454</v>
      </c>
    </row>
    <row r="979" s="1" customFormat="1" customHeight="1" spans="1:73">
      <c r="A979" s="28" t="s">
        <v>1459</v>
      </c>
      <c r="B979" s="15">
        <v>264</v>
      </c>
      <c r="C979" s="16">
        <v>42</v>
      </c>
      <c r="D979" s="29"/>
      <c r="E979" s="30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30"/>
      <c r="AH979" s="29"/>
      <c r="AI979" s="29"/>
      <c r="AJ979" s="29"/>
      <c r="AK979" s="30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0">
        <f t="shared" si="123"/>
        <v>0</v>
      </c>
      <c r="BO979" s="20">
        <f t="shared" si="124"/>
        <v>0</v>
      </c>
      <c r="BP979" s="20">
        <f t="shared" si="125"/>
        <v>42</v>
      </c>
      <c r="BQ979" s="51">
        <f t="shared" si="130"/>
        <v>11.088</v>
      </c>
      <c r="BR979" s="56" t="s">
        <v>1035</v>
      </c>
      <c r="BS979" s="91" t="s">
        <v>848</v>
      </c>
      <c r="BT979" s="36"/>
      <c r="BU979" s="35" t="s">
        <v>1454</v>
      </c>
    </row>
    <row r="980" s="1" customFormat="1" customHeight="1" spans="1:73">
      <c r="A980" s="53" t="s">
        <v>1460</v>
      </c>
      <c r="B980" s="15"/>
      <c r="C980" s="16"/>
      <c r="D980" s="29"/>
      <c r="E980" s="30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30"/>
      <c r="AH980" s="29"/>
      <c r="AI980" s="29"/>
      <c r="AJ980" s="29"/>
      <c r="AK980" s="30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0">
        <f t="shared" si="123"/>
        <v>0</v>
      </c>
      <c r="BO980" s="20">
        <f t="shared" si="124"/>
        <v>0</v>
      </c>
      <c r="BP980" s="20">
        <f t="shared" si="125"/>
        <v>0</v>
      </c>
      <c r="BQ980" s="51"/>
      <c r="BR980" s="56"/>
      <c r="BS980" s="91"/>
      <c r="BT980" s="36"/>
      <c r="BU980" s="35"/>
    </row>
    <row r="981" s="1" customFormat="1" customHeight="1" spans="1:73">
      <c r="A981" s="28" t="s">
        <v>1461</v>
      </c>
      <c r="B981" s="15">
        <v>85</v>
      </c>
      <c r="C981" s="16">
        <v>50</v>
      </c>
      <c r="D981" s="29"/>
      <c r="E981" s="30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30"/>
      <c r="AH981" s="29"/>
      <c r="AI981" s="29"/>
      <c r="AJ981" s="29"/>
      <c r="AK981" s="30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0">
        <f t="shared" si="123"/>
        <v>0</v>
      </c>
      <c r="BO981" s="20">
        <f t="shared" si="124"/>
        <v>0</v>
      </c>
      <c r="BP981" s="20">
        <f t="shared" si="125"/>
        <v>50</v>
      </c>
      <c r="BQ981" s="51">
        <f t="shared" ref="BQ981:BQ984" si="131">B981*BP981/1000</f>
        <v>4.25</v>
      </c>
      <c r="BR981" s="56" t="s">
        <v>1462</v>
      </c>
      <c r="BS981" s="91" t="s">
        <v>1463</v>
      </c>
      <c r="BT981" s="36"/>
      <c r="BU981" s="35" t="s">
        <v>1464</v>
      </c>
    </row>
    <row r="982" s="1" customFormat="1" customHeight="1" spans="1:73">
      <c r="A982" s="28" t="s">
        <v>1461</v>
      </c>
      <c r="B982" s="15">
        <v>220</v>
      </c>
      <c r="C982" s="16">
        <v>25</v>
      </c>
      <c r="D982" s="29"/>
      <c r="E982" s="30"/>
      <c r="F982" s="29"/>
      <c r="G982" s="29"/>
      <c r="H982" s="29"/>
      <c r="I982" s="29"/>
      <c r="J982" s="29"/>
      <c r="K982" s="29">
        <v>17</v>
      </c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30"/>
      <c r="AH982" s="29"/>
      <c r="AI982" s="29"/>
      <c r="AJ982" s="29"/>
      <c r="AK982" s="30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0">
        <f t="shared" si="123"/>
        <v>0</v>
      </c>
      <c r="BO982" s="20">
        <f t="shared" si="124"/>
        <v>17</v>
      </c>
      <c r="BP982" s="20">
        <f t="shared" si="125"/>
        <v>8</v>
      </c>
      <c r="BQ982" s="51">
        <f t="shared" si="131"/>
        <v>1.76</v>
      </c>
      <c r="BR982" s="56" t="s">
        <v>1318</v>
      </c>
      <c r="BS982" s="91" t="s">
        <v>1319</v>
      </c>
      <c r="BT982" s="36"/>
      <c r="BU982" s="35" t="s">
        <v>1464</v>
      </c>
    </row>
    <row r="983" s="1" customFormat="1" customHeight="1" spans="1:73">
      <c r="A983" s="28" t="s">
        <v>1461</v>
      </c>
      <c r="B983" s="15">
        <v>290</v>
      </c>
      <c r="C983" s="16">
        <v>50</v>
      </c>
      <c r="D983" s="29"/>
      <c r="E983" s="30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30"/>
      <c r="AH983" s="29"/>
      <c r="AI983" s="29"/>
      <c r="AJ983" s="29"/>
      <c r="AK983" s="30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0">
        <f t="shared" si="123"/>
        <v>0</v>
      </c>
      <c r="BO983" s="20">
        <f t="shared" si="124"/>
        <v>0</v>
      </c>
      <c r="BP983" s="20">
        <f t="shared" si="125"/>
        <v>50</v>
      </c>
      <c r="BQ983" s="51">
        <f t="shared" si="131"/>
        <v>14.5</v>
      </c>
      <c r="BR983" s="56" t="s">
        <v>1318</v>
      </c>
      <c r="BS983" s="91" t="s">
        <v>1319</v>
      </c>
      <c r="BT983" s="36"/>
      <c r="BU983" s="35" t="s">
        <v>1464</v>
      </c>
    </row>
    <row r="984" s="1" customFormat="1" customHeight="1" spans="1:73">
      <c r="A984" s="28" t="s">
        <v>1461</v>
      </c>
      <c r="B984" s="15">
        <v>320</v>
      </c>
      <c r="C984" s="16">
        <v>50</v>
      </c>
      <c r="D984" s="29"/>
      <c r="E984" s="30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30"/>
      <c r="AH984" s="29"/>
      <c r="AI984" s="29"/>
      <c r="AJ984" s="29"/>
      <c r="AK984" s="30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0">
        <f t="shared" si="123"/>
        <v>0</v>
      </c>
      <c r="BO984" s="20">
        <f t="shared" si="124"/>
        <v>0</v>
      </c>
      <c r="BP984" s="20">
        <f t="shared" si="125"/>
        <v>50</v>
      </c>
      <c r="BQ984" s="51">
        <f t="shared" si="131"/>
        <v>16</v>
      </c>
      <c r="BR984" s="56" t="s">
        <v>1462</v>
      </c>
      <c r="BS984" s="91" t="s">
        <v>1463</v>
      </c>
      <c r="BT984" s="36"/>
      <c r="BU984" s="35" t="s">
        <v>1464</v>
      </c>
    </row>
    <row r="985" s="1" customFormat="1" customHeight="1" spans="1:73">
      <c r="A985" s="53" t="s">
        <v>1465</v>
      </c>
      <c r="B985" s="15"/>
      <c r="C985" s="16"/>
      <c r="D985" s="29"/>
      <c r="E985" s="30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30"/>
      <c r="AH985" s="29"/>
      <c r="AI985" s="29"/>
      <c r="AJ985" s="29"/>
      <c r="AK985" s="30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0">
        <f t="shared" si="123"/>
        <v>0</v>
      </c>
      <c r="BO985" s="20">
        <f t="shared" si="124"/>
        <v>0</v>
      </c>
      <c r="BP985" s="20">
        <f t="shared" si="125"/>
        <v>0</v>
      </c>
      <c r="BQ985" s="51"/>
      <c r="BR985" s="56"/>
      <c r="BS985" s="91"/>
      <c r="BT985" s="36"/>
      <c r="BU985" s="112"/>
    </row>
    <row r="986" s="1" customFormat="1" customHeight="1" spans="1:73">
      <c r="A986" s="28" t="s">
        <v>1466</v>
      </c>
      <c r="B986" s="15">
        <v>90</v>
      </c>
      <c r="C986" s="16">
        <v>50</v>
      </c>
      <c r="D986" s="29"/>
      <c r="E986" s="30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30"/>
      <c r="AH986" s="29"/>
      <c r="AI986" s="29"/>
      <c r="AJ986" s="29"/>
      <c r="AK986" s="30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0">
        <f t="shared" si="123"/>
        <v>0</v>
      </c>
      <c r="BO986" s="20">
        <f t="shared" si="124"/>
        <v>0</v>
      </c>
      <c r="BP986" s="20">
        <f t="shared" si="125"/>
        <v>50</v>
      </c>
      <c r="BQ986" s="51">
        <f t="shared" ref="BQ986:BQ991" si="132">B986*BP986/1000</f>
        <v>4.5</v>
      </c>
      <c r="BR986" s="56" t="s">
        <v>213</v>
      </c>
      <c r="BS986" s="91" t="s">
        <v>795</v>
      </c>
      <c r="BT986" s="36"/>
      <c r="BU986" s="35" t="s">
        <v>1464</v>
      </c>
    </row>
    <row r="987" s="1" customFormat="1" customHeight="1" spans="1:73">
      <c r="A987" s="28" t="s">
        <v>1466</v>
      </c>
      <c r="B987" s="15">
        <v>95</v>
      </c>
      <c r="C987" s="16">
        <v>300</v>
      </c>
      <c r="D987" s="29"/>
      <c r="E987" s="30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30"/>
      <c r="AH987" s="29"/>
      <c r="AI987" s="29"/>
      <c r="AJ987" s="29"/>
      <c r="AK987" s="30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0">
        <f t="shared" si="123"/>
        <v>0</v>
      </c>
      <c r="BO987" s="20">
        <f t="shared" si="124"/>
        <v>0</v>
      </c>
      <c r="BP987" s="20">
        <f t="shared" si="125"/>
        <v>300</v>
      </c>
      <c r="BQ987" s="51">
        <f t="shared" si="132"/>
        <v>28.5</v>
      </c>
      <c r="BR987" s="56" t="s">
        <v>213</v>
      </c>
      <c r="BS987" s="91" t="s">
        <v>795</v>
      </c>
      <c r="BT987" s="36"/>
      <c r="BU987" s="35" t="s">
        <v>1464</v>
      </c>
    </row>
    <row r="988" s="1" customFormat="1" customHeight="1" spans="1:73">
      <c r="A988" s="28" t="s">
        <v>1466</v>
      </c>
      <c r="B988" s="15">
        <v>104</v>
      </c>
      <c r="C988" s="16">
        <v>550</v>
      </c>
      <c r="D988" s="29"/>
      <c r="E988" s="30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30"/>
      <c r="AH988" s="29"/>
      <c r="AI988" s="29"/>
      <c r="AJ988" s="29"/>
      <c r="AK988" s="30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0">
        <f t="shared" si="123"/>
        <v>0</v>
      </c>
      <c r="BO988" s="20">
        <f t="shared" si="124"/>
        <v>0</v>
      </c>
      <c r="BP988" s="20">
        <f t="shared" si="125"/>
        <v>550</v>
      </c>
      <c r="BQ988" s="51">
        <f t="shared" si="132"/>
        <v>57.2</v>
      </c>
      <c r="BR988" s="56" t="s">
        <v>836</v>
      </c>
      <c r="BS988" s="91" t="s">
        <v>795</v>
      </c>
      <c r="BT988" s="36" t="s">
        <v>1467</v>
      </c>
      <c r="BU988" s="35" t="s">
        <v>1464</v>
      </c>
    </row>
    <row r="989" s="1" customFormat="1" customHeight="1" spans="1:73">
      <c r="A989" s="28" t="s">
        <v>1466</v>
      </c>
      <c r="B989" s="15">
        <v>150</v>
      </c>
      <c r="C989" s="16">
        <v>96</v>
      </c>
      <c r="D989" s="29"/>
      <c r="E989" s="30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30"/>
      <c r="AH989" s="29"/>
      <c r="AI989" s="29"/>
      <c r="AJ989" s="29"/>
      <c r="AK989" s="30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0">
        <f t="shared" si="123"/>
        <v>0</v>
      </c>
      <c r="BO989" s="20">
        <f t="shared" si="124"/>
        <v>0</v>
      </c>
      <c r="BP989" s="20">
        <f t="shared" si="125"/>
        <v>96</v>
      </c>
      <c r="BQ989" s="51">
        <f t="shared" si="132"/>
        <v>14.4</v>
      </c>
      <c r="BR989" s="56" t="s">
        <v>1468</v>
      </c>
      <c r="BS989" s="91" t="s">
        <v>1227</v>
      </c>
      <c r="BT989" s="36"/>
      <c r="BU989" s="35" t="s">
        <v>1464</v>
      </c>
    </row>
    <row r="990" s="1" customFormat="1" customHeight="1" spans="1:73">
      <c r="A990" s="28" t="s">
        <v>1466</v>
      </c>
      <c r="B990" s="15">
        <v>180</v>
      </c>
      <c r="C990" s="16">
        <v>15</v>
      </c>
      <c r="D990" s="29"/>
      <c r="E990" s="30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30"/>
      <c r="AH990" s="29"/>
      <c r="AI990" s="29"/>
      <c r="AJ990" s="29"/>
      <c r="AK990" s="30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0">
        <f t="shared" si="123"/>
        <v>0</v>
      </c>
      <c r="BO990" s="20">
        <f t="shared" si="124"/>
        <v>0</v>
      </c>
      <c r="BP990" s="20">
        <f t="shared" si="125"/>
        <v>15</v>
      </c>
      <c r="BQ990" s="51">
        <f t="shared" si="132"/>
        <v>2.7</v>
      </c>
      <c r="BR990" s="56" t="s">
        <v>102</v>
      </c>
      <c r="BS990" s="91" t="s">
        <v>730</v>
      </c>
      <c r="BT990" s="36"/>
      <c r="BU990" s="35" t="s">
        <v>1464</v>
      </c>
    </row>
    <row r="991" s="1" customFormat="1" customHeight="1" spans="1:73">
      <c r="A991" s="28" t="s">
        <v>1466</v>
      </c>
      <c r="B991" s="15">
        <v>195</v>
      </c>
      <c r="C991" s="16">
        <v>45</v>
      </c>
      <c r="D991" s="29"/>
      <c r="E991" s="30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30"/>
      <c r="AH991" s="29"/>
      <c r="AI991" s="29"/>
      <c r="AJ991" s="29"/>
      <c r="AK991" s="30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0">
        <f t="shared" si="123"/>
        <v>0</v>
      </c>
      <c r="BO991" s="20">
        <f t="shared" si="124"/>
        <v>0</v>
      </c>
      <c r="BP991" s="20">
        <f t="shared" si="125"/>
        <v>45</v>
      </c>
      <c r="BQ991" s="51">
        <f t="shared" si="132"/>
        <v>8.775</v>
      </c>
      <c r="BR991" s="56" t="s">
        <v>1469</v>
      </c>
      <c r="BS991" s="91" t="s">
        <v>1033</v>
      </c>
      <c r="BT991" s="36"/>
      <c r="BU991" s="35" t="s">
        <v>1464</v>
      </c>
    </row>
    <row r="992" s="1" customFormat="1" customHeight="1" spans="1:73">
      <c r="A992" s="53" t="s">
        <v>1470</v>
      </c>
      <c r="B992" s="15"/>
      <c r="C992" s="16"/>
      <c r="D992" s="29"/>
      <c r="E992" s="30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30"/>
      <c r="AH992" s="29"/>
      <c r="AI992" s="29"/>
      <c r="AJ992" s="29"/>
      <c r="AK992" s="30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0">
        <f t="shared" si="123"/>
        <v>0</v>
      </c>
      <c r="BO992" s="20">
        <f t="shared" si="124"/>
        <v>0</v>
      </c>
      <c r="BP992" s="20">
        <f t="shared" si="125"/>
        <v>0</v>
      </c>
      <c r="BQ992" s="51"/>
      <c r="BR992" s="56"/>
      <c r="BS992" s="91"/>
      <c r="BT992" s="36"/>
      <c r="BU992" s="35"/>
    </row>
    <row r="993" s="1" customFormat="1" customHeight="1" spans="1:73">
      <c r="A993" s="37" t="s">
        <v>1471</v>
      </c>
      <c r="B993" s="15">
        <v>137</v>
      </c>
      <c r="C993" s="16">
        <v>430</v>
      </c>
      <c r="D993" s="29"/>
      <c r="E993" s="30"/>
      <c r="F993" s="29"/>
      <c r="G993" s="30"/>
      <c r="H993" s="29"/>
      <c r="I993" s="29"/>
      <c r="J993" s="29"/>
      <c r="K993" s="29"/>
      <c r="L993" s="29"/>
      <c r="M993" s="30"/>
      <c r="N993" s="29"/>
      <c r="O993" s="29"/>
      <c r="P993" s="29"/>
      <c r="Q993" s="29"/>
      <c r="R993" s="29"/>
      <c r="S993" s="29"/>
      <c r="T993" s="29"/>
      <c r="U993" s="29"/>
      <c r="V993" s="88"/>
      <c r="W993" s="82"/>
      <c r="X993" s="29"/>
      <c r="Y993" s="29"/>
      <c r="Z993" s="29"/>
      <c r="AA993" s="29"/>
      <c r="AB993" s="29"/>
      <c r="AC993" s="29"/>
      <c r="AD993" s="29"/>
      <c r="AE993" s="29"/>
      <c r="AF993" s="29"/>
      <c r="AG993" s="30"/>
      <c r="AH993" s="29"/>
      <c r="AI993" s="29"/>
      <c r="AJ993" s="29"/>
      <c r="AK993" s="30"/>
      <c r="AL993" s="29"/>
      <c r="AM993" s="29"/>
      <c r="AN993" s="29"/>
      <c r="AO993" s="29"/>
      <c r="AP993" s="29"/>
      <c r="AQ993" s="29"/>
      <c r="AR993" s="29"/>
      <c r="AS993" s="30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30"/>
      <c r="BF993" s="29"/>
      <c r="BG993" s="29"/>
      <c r="BH993" s="29"/>
      <c r="BI993" s="29"/>
      <c r="BJ993" s="29"/>
      <c r="BK993" s="29"/>
      <c r="BL993" s="29"/>
      <c r="BM993" s="29"/>
      <c r="BN993" s="20">
        <f t="shared" si="123"/>
        <v>0</v>
      </c>
      <c r="BO993" s="20">
        <f t="shared" si="124"/>
        <v>0</v>
      </c>
      <c r="BP993" s="20">
        <f t="shared" si="125"/>
        <v>430</v>
      </c>
      <c r="BQ993" s="51">
        <f t="shared" ref="BQ993:BQ996" si="133">B993*BP993/1000</f>
        <v>58.91</v>
      </c>
      <c r="BR993" s="56" t="s">
        <v>420</v>
      </c>
      <c r="BS993" s="91" t="s">
        <v>795</v>
      </c>
      <c r="BT993" s="36"/>
      <c r="BU993" s="35" t="s">
        <v>1276</v>
      </c>
    </row>
    <row r="994" s="1" customFormat="1" customHeight="1" spans="1:73">
      <c r="A994" s="37" t="s">
        <v>1471</v>
      </c>
      <c r="B994" s="15">
        <v>285</v>
      </c>
      <c r="C994" s="16">
        <v>100</v>
      </c>
      <c r="D994" s="29"/>
      <c r="E994" s="30"/>
      <c r="F994" s="29"/>
      <c r="G994" s="30"/>
      <c r="H994" s="29"/>
      <c r="I994" s="29"/>
      <c r="J994" s="29"/>
      <c r="K994" s="29"/>
      <c r="L994" s="29"/>
      <c r="M994" s="30"/>
      <c r="N994" s="29"/>
      <c r="O994" s="29"/>
      <c r="P994" s="29"/>
      <c r="Q994" s="29"/>
      <c r="R994" s="29"/>
      <c r="S994" s="29"/>
      <c r="T994" s="29"/>
      <c r="U994" s="29"/>
      <c r="V994" s="29"/>
      <c r="W994" s="82"/>
      <c r="X994" s="29"/>
      <c r="Y994" s="29"/>
      <c r="Z994" s="29"/>
      <c r="AA994" s="29"/>
      <c r="AB994" s="29"/>
      <c r="AC994" s="29"/>
      <c r="AD994" s="29"/>
      <c r="AE994" s="29"/>
      <c r="AF994" s="29"/>
      <c r="AG994" s="30"/>
      <c r="AH994" s="29"/>
      <c r="AI994" s="29"/>
      <c r="AJ994" s="29"/>
      <c r="AK994" s="30"/>
      <c r="AL994" s="29"/>
      <c r="AM994" s="29"/>
      <c r="AN994" s="29"/>
      <c r="AO994" s="29"/>
      <c r="AP994" s="29"/>
      <c r="AQ994" s="29"/>
      <c r="AR994" s="29"/>
      <c r="AS994" s="30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30"/>
      <c r="BF994" s="29"/>
      <c r="BG994" s="29"/>
      <c r="BH994" s="29"/>
      <c r="BI994" s="29"/>
      <c r="BJ994" s="29"/>
      <c r="BK994" s="29"/>
      <c r="BL994" s="29"/>
      <c r="BM994" s="29"/>
      <c r="BN994" s="20">
        <f t="shared" si="123"/>
        <v>0</v>
      </c>
      <c r="BO994" s="20">
        <f t="shared" si="124"/>
        <v>0</v>
      </c>
      <c r="BP994" s="20">
        <f t="shared" si="125"/>
        <v>100</v>
      </c>
      <c r="BQ994" s="51">
        <f t="shared" si="133"/>
        <v>28.5</v>
      </c>
      <c r="BR994" s="56" t="s">
        <v>1472</v>
      </c>
      <c r="BS994" s="91" t="s">
        <v>1473</v>
      </c>
      <c r="BT994" s="36"/>
      <c r="BU994" s="35" t="s">
        <v>1276</v>
      </c>
    </row>
    <row r="995" s="1" customFormat="1" customHeight="1" spans="1:73">
      <c r="A995" s="37" t="s">
        <v>1471</v>
      </c>
      <c r="B995" s="99">
        <v>281</v>
      </c>
      <c r="C995" s="100">
        <v>350</v>
      </c>
      <c r="D995" s="88"/>
      <c r="E995" s="101"/>
      <c r="F995" s="88"/>
      <c r="G995" s="101"/>
      <c r="H995" s="88"/>
      <c r="I995" s="88"/>
      <c r="J995" s="88"/>
      <c r="K995" s="88"/>
      <c r="L995" s="88"/>
      <c r="M995" s="101"/>
      <c r="N995" s="88"/>
      <c r="O995" s="88"/>
      <c r="P995" s="88"/>
      <c r="Q995" s="88"/>
      <c r="R995" s="88"/>
      <c r="S995" s="88"/>
      <c r="T995" s="88"/>
      <c r="U995" s="88"/>
      <c r="V995" s="88"/>
      <c r="W995" s="152"/>
      <c r="X995" s="88"/>
      <c r="Y995" s="88"/>
      <c r="Z995" s="88"/>
      <c r="AA995" s="88"/>
      <c r="AB995" s="88"/>
      <c r="AC995" s="88"/>
      <c r="AD995" s="88"/>
      <c r="AE995" s="88"/>
      <c r="AF995" s="88"/>
      <c r="AG995" s="101"/>
      <c r="AH995" s="88"/>
      <c r="AI995" s="88"/>
      <c r="AJ995" s="88"/>
      <c r="AK995" s="101"/>
      <c r="AL995" s="88"/>
      <c r="AM995" s="88"/>
      <c r="AN995" s="88"/>
      <c r="AO995" s="88"/>
      <c r="AP995" s="88"/>
      <c r="AQ995" s="88"/>
      <c r="AR995" s="88"/>
      <c r="AS995" s="101"/>
      <c r="AT995" s="88"/>
      <c r="AU995" s="88"/>
      <c r="AV995" s="88"/>
      <c r="AW995" s="88"/>
      <c r="AX995" s="88"/>
      <c r="AY995" s="88"/>
      <c r="AZ995" s="88"/>
      <c r="BA995" s="29"/>
      <c r="BB995" s="88"/>
      <c r="BC995" s="88"/>
      <c r="BD995" s="88"/>
      <c r="BE995" s="101"/>
      <c r="BF995" s="88"/>
      <c r="BG995" s="88"/>
      <c r="BH995" s="88"/>
      <c r="BI995" s="88"/>
      <c r="BJ995" s="88"/>
      <c r="BK995" s="88"/>
      <c r="BL995" s="88"/>
      <c r="BM995" s="88"/>
      <c r="BN995" s="20">
        <f t="shared" si="123"/>
        <v>0</v>
      </c>
      <c r="BO995" s="20">
        <f t="shared" si="124"/>
        <v>0</v>
      </c>
      <c r="BP995" s="20">
        <f t="shared" si="125"/>
        <v>350</v>
      </c>
      <c r="BQ995" s="51">
        <f t="shared" si="133"/>
        <v>98.35</v>
      </c>
      <c r="BR995" s="143" t="s">
        <v>213</v>
      </c>
      <c r="BS995" s="91" t="s">
        <v>795</v>
      </c>
      <c r="BT995" s="102"/>
      <c r="BU995" s="35" t="s">
        <v>1276</v>
      </c>
    </row>
    <row r="996" s="1" customFormat="1" customHeight="1" spans="1:73">
      <c r="A996" s="37" t="s">
        <v>1471</v>
      </c>
      <c r="B996" s="99">
        <v>326</v>
      </c>
      <c r="C996" s="100">
        <v>760</v>
      </c>
      <c r="D996" s="88"/>
      <c r="E996" s="101"/>
      <c r="F996" s="29"/>
      <c r="G996" s="101"/>
      <c r="H996" s="88"/>
      <c r="I996" s="88"/>
      <c r="J996" s="88"/>
      <c r="K996" s="88"/>
      <c r="L996" s="88"/>
      <c r="M996" s="101">
        <v>600</v>
      </c>
      <c r="N996" s="88"/>
      <c r="O996" s="88"/>
      <c r="P996" s="88"/>
      <c r="Q996" s="88"/>
      <c r="R996" s="88"/>
      <c r="S996" s="88"/>
      <c r="T996" s="88"/>
      <c r="U996" s="88"/>
      <c r="V996" s="88"/>
      <c r="W996" s="152"/>
      <c r="X996" s="88"/>
      <c r="Y996" s="88"/>
      <c r="Z996" s="88"/>
      <c r="AA996" s="88"/>
      <c r="AB996" s="88"/>
      <c r="AC996" s="88"/>
      <c r="AD996" s="88"/>
      <c r="AE996" s="88"/>
      <c r="AF996" s="88"/>
      <c r="AG996" s="101"/>
      <c r="AH996" s="88"/>
      <c r="AI996" s="88"/>
      <c r="AJ996" s="88"/>
      <c r="AK996" s="101"/>
      <c r="AL996" s="88"/>
      <c r="AM996" s="88"/>
      <c r="AN996" s="88"/>
      <c r="AO996" s="88"/>
      <c r="AP996" s="88"/>
      <c r="AQ996" s="88"/>
      <c r="AR996" s="88"/>
      <c r="AS996" s="101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  <c r="BE996" s="101"/>
      <c r="BF996" s="88"/>
      <c r="BG996" s="88"/>
      <c r="BH996" s="88"/>
      <c r="BI996" s="88"/>
      <c r="BJ996" s="88"/>
      <c r="BK996" s="88"/>
      <c r="BL996" s="29"/>
      <c r="BM996" s="88"/>
      <c r="BN996" s="20">
        <f t="shared" si="123"/>
        <v>0</v>
      </c>
      <c r="BO996" s="20">
        <f t="shared" si="124"/>
        <v>600</v>
      </c>
      <c r="BP996" s="20">
        <f t="shared" si="125"/>
        <v>160</v>
      </c>
      <c r="BQ996" s="51">
        <f t="shared" si="133"/>
        <v>52.16</v>
      </c>
      <c r="BR996" s="143" t="s">
        <v>213</v>
      </c>
      <c r="BS996" s="91" t="s">
        <v>795</v>
      </c>
      <c r="BT996" s="102"/>
      <c r="BU996" s="35" t="s">
        <v>1276</v>
      </c>
    </row>
    <row r="997" s="1" customFormat="1" customHeight="1" spans="1:73">
      <c r="A997" s="53" t="s">
        <v>1131</v>
      </c>
      <c r="B997" s="99"/>
      <c r="C997" s="100"/>
      <c r="D997" s="88"/>
      <c r="E997" s="101"/>
      <c r="F997" s="88"/>
      <c r="G997" s="101"/>
      <c r="H997" s="88"/>
      <c r="I997" s="88"/>
      <c r="J997" s="88"/>
      <c r="K997" s="88"/>
      <c r="L997" s="88"/>
      <c r="M997" s="101"/>
      <c r="N997" s="88"/>
      <c r="O997" s="88"/>
      <c r="P997" s="88"/>
      <c r="Q997" s="88"/>
      <c r="R997" s="88"/>
      <c r="S997" s="88"/>
      <c r="T997" s="88"/>
      <c r="U997" s="88"/>
      <c r="V997" s="88"/>
      <c r="W997" s="152"/>
      <c r="X997" s="88"/>
      <c r="Y997" s="88"/>
      <c r="Z997" s="88"/>
      <c r="AA997" s="88"/>
      <c r="AB997" s="88"/>
      <c r="AC997" s="88"/>
      <c r="AD997" s="88"/>
      <c r="AE997" s="88"/>
      <c r="AF997" s="88"/>
      <c r="AG997" s="101"/>
      <c r="AH997" s="88"/>
      <c r="AI997" s="88"/>
      <c r="AJ997" s="88"/>
      <c r="AK997" s="101"/>
      <c r="AL997" s="88"/>
      <c r="AM997" s="88"/>
      <c r="AN997" s="88"/>
      <c r="AO997" s="88"/>
      <c r="AP997" s="88"/>
      <c r="AQ997" s="88"/>
      <c r="AR997" s="88"/>
      <c r="AS997" s="101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  <c r="BE997" s="101"/>
      <c r="BF997" s="88"/>
      <c r="BG997" s="88"/>
      <c r="BH997" s="88"/>
      <c r="BI997" s="88"/>
      <c r="BJ997" s="88"/>
      <c r="BK997" s="88"/>
      <c r="BL997" s="88"/>
      <c r="BM997" s="88"/>
      <c r="BN997" s="20">
        <f t="shared" si="123"/>
        <v>0</v>
      </c>
      <c r="BO997" s="20">
        <f t="shared" si="124"/>
        <v>0</v>
      </c>
      <c r="BP997" s="20">
        <f t="shared" si="125"/>
        <v>0</v>
      </c>
      <c r="BQ997" s="51"/>
      <c r="BR997" s="143"/>
      <c r="BS997" s="153"/>
      <c r="BT997" s="102"/>
      <c r="BU997" s="154"/>
    </row>
    <row r="998" s="1" customFormat="1" customHeight="1" spans="1:73">
      <c r="A998" s="37" t="s">
        <v>1474</v>
      </c>
      <c r="B998" s="15">
        <v>200</v>
      </c>
      <c r="C998" s="16">
        <v>1</v>
      </c>
      <c r="D998" s="29"/>
      <c r="E998" s="30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30"/>
      <c r="AH998" s="29"/>
      <c r="AI998" s="29"/>
      <c r="AJ998" s="29"/>
      <c r="AK998" s="30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0">
        <f t="shared" si="123"/>
        <v>0</v>
      </c>
      <c r="BO998" s="20">
        <f t="shared" si="124"/>
        <v>0</v>
      </c>
      <c r="BP998" s="20">
        <f t="shared" si="125"/>
        <v>1</v>
      </c>
      <c r="BQ998" s="51">
        <f t="shared" ref="BQ998:BQ1003" si="134">B998*BP998/1000</f>
        <v>0.2</v>
      </c>
      <c r="BR998" s="56" t="s">
        <v>1475</v>
      </c>
      <c r="BS998" s="91" t="s">
        <v>1280</v>
      </c>
      <c r="BT998" s="36" t="s">
        <v>1476</v>
      </c>
      <c r="BU998" s="35" t="s">
        <v>1292</v>
      </c>
    </row>
    <row r="999" s="1" customFormat="1" customHeight="1" spans="1:73">
      <c r="A999" s="37" t="s">
        <v>1477</v>
      </c>
      <c r="B999" s="15">
        <v>200</v>
      </c>
      <c r="C999" s="16">
        <v>13</v>
      </c>
      <c r="D999" s="29"/>
      <c r="E999" s="30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30"/>
      <c r="AH999" s="29"/>
      <c r="AI999" s="29"/>
      <c r="AJ999" s="29"/>
      <c r="AK999" s="30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0">
        <f t="shared" si="123"/>
        <v>0</v>
      </c>
      <c r="BO999" s="20">
        <f t="shared" si="124"/>
        <v>0</v>
      </c>
      <c r="BP999" s="20">
        <f t="shared" si="125"/>
        <v>13</v>
      </c>
      <c r="BQ999" s="51">
        <f t="shared" si="134"/>
        <v>2.6</v>
      </c>
      <c r="BR999" s="56" t="s">
        <v>1478</v>
      </c>
      <c r="BS999" s="91" t="s">
        <v>1479</v>
      </c>
      <c r="BT999" s="36"/>
      <c r="BU999" s="35" t="s">
        <v>1292</v>
      </c>
    </row>
    <row r="1000" s="1" customFormat="1" customHeight="1" spans="1:73">
      <c r="A1000" s="41" t="s">
        <v>1480</v>
      </c>
      <c r="B1000" s="15">
        <v>200</v>
      </c>
      <c r="C1000" s="16">
        <v>25</v>
      </c>
      <c r="D1000" s="29"/>
      <c r="E1000" s="30"/>
      <c r="F1000" s="29"/>
      <c r="G1000" s="30"/>
      <c r="H1000" s="29"/>
      <c r="I1000" s="29"/>
      <c r="J1000" s="29"/>
      <c r="K1000" s="29"/>
      <c r="L1000" s="29"/>
      <c r="M1000" s="30"/>
      <c r="N1000" s="29"/>
      <c r="O1000" s="29"/>
      <c r="P1000" s="29"/>
      <c r="Q1000" s="29"/>
      <c r="R1000" s="29"/>
      <c r="S1000" s="29"/>
      <c r="T1000" s="29"/>
      <c r="U1000" s="29"/>
      <c r="V1000" s="29"/>
      <c r="W1000" s="82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30"/>
      <c r="AH1000" s="29"/>
      <c r="AI1000" s="29"/>
      <c r="AJ1000" s="29"/>
      <c r="AK1000" s="30"/>
      <c r="AL1000" s="29"/>
      <c r="AM1000" s="29"/>
      <c r="AN1000" s="29"/>
      <c r="AO1000" s="29"/>
      <c r="AP1000" s="29"/>
      <c r="AQ1000" s="29"/>
      <c r="AR1000" s="29"/>
      <c r="AS1000" s="30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30"/>
      <c r="BF1000" s="29"/>
      <c r="BG1000" s="29"/>
      <c r="BH1000" s="29"/>
      <c r="BI1000" s="29"/>
      <c r="BJ1000" s="29"/>
      <c r="BK1000" s="29"/>
      <c r="BL1000" s="29"/>
      <c r="BM1000" s="29"/>
      <c r="BN1000" s="20">
        <f t="shared" si="123"/>
        <v>0</v>
      </c>
      <c r="BO1000" s="20">
        <f t="shared" si="124"/>
        <v>0</v>
      </c>
      <c r="BP1000" s="20">
        <f t="shared" si="125"/>
        <v>25</v>
      </c>
      <c r="BQ1000" s="51">
        <f t="shared" si="134"/>
        <v>5</v>
      </c>
      <c r="BR1000" s="56" t="s">
        <v>1481</v>
      </c>
      <c r="BS1000" s="91" t="s">
        <v>1280</v>
      </c>
      <c r="BT1000" s="36" t="s">
        <v>1482</v>
      </c>
      <c r="BU1000" s="35" t="s">
        <v>1292</v>
      </c>
    </row>
    <row r="1001" s="1" customFormat="1" customHeight="1" spans="1:73">
      <c r="A1001" s="41" t="s">
        <v>1483</v>
      </c>
      <c r="B1001" s="15">
        <v>200</v>
      </c>
      <c r="C1001" s="16">
        <v>15</v>
      </c>
      <c r="D1001" s="29"/>
      <c r="E1001" s="30"/>
      <c r="F1001" s="29"/>
      <c r="G1001" s="30"/>
      <c r="H1001" s="29"/>
      <c r="I1001" s="29"/>
      <c r="J1001" s="29"/>
      <c r="K1001" s="29"/>
      <c r="L1001" s="29"/>
      <c r="M1001" s="30"/>
      <c r="N1001" s="29"/>
      <c r="O1001" s="29"/>
      <c r="P1001" s="29"/>
      <c r="Q1001" s="29"/>
      <c r="R1001" s="29"/>
      <c r="S1001" s="29"/>
      <c r="T1001" s="29"/>
      <c r="U1001" s="29"/>
      <c r="V1001" s="29"/>
      <c r="W1001" s="82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30"/>
      <c r="AH1001" s="29"/>
      <c r="AI1001" s="29"/>
      <c r="AJ1001" s="29"/>
      <c r="AK1001" s="30"/>
      <c r="AL1001" s="29"/>
      <c r="AM1001" s="29"/>
      <c r="AN1001" s="29"/>
      <c r="AO1001" s="29"/>
      <c r="AP1001" s="29"/>
      <c r="AQ1001" s="29"/>
      <c r="AR1001" s="29"/>
      <c r="AS1001" s="30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30"/>
      <c r="BF1001" s="29"/>
      <c r="BG1001" s="29"/>
      <c r="BH1001" s="29"/>
      <c r="BI1001" s="29"/>
      <c r="BJ1001" s="29"/>
      <c r="BK1001" s="29"/>
      <c r="BL1001" s="29"/>
      <c r="BM1001" s="29"/>
      <c r="BN1001" s="20">
        <f t="shared" ref="BN1001:BN1064" si="135">D1001+F1001+H1001+J1001+L1001+N1001+P1001+R1001+T1001+V1001+X1001+Z1001+AB1001+AD1001+AF1001+AH1001+AJ1001+AL1001+AN1001+AP1001+AR1001+AT1001+AV1001+AX1001+AZ1001+BB1001+BD1001+BF1001+BH1001+BJ1001+BL1001</f>
        <v>0</v>
      </c>
      <c r="BO1001" s="20">
        <f t="shared" ref="BO1001:BO1064" si="136">E1001+G1001+I1001+K1001+M1001+O1001+Q1001+S1001+U1001+W1001+Y1001+AA1001+AC1001+AE1001+AG1001+AI1001+AK1001+AM1001+AO1001+AQ1001+AS1001+AU1001+AW1001+AY1001+BA1001+BC1001+BE1001+BG1001+BI1001+BK1001+BM1001</f>
        <v>0</v>
      </c>
      <c r="BP1001" s="20">
        <f t="shared" ref="BP1001:BP1064" si="137">C1001+BN1001-BO1001</f>
        <v>15</v>
      </c>
      <c r="BQ1001" s="51">
        <f t="shared" si="134"/>
        <v>3</v>
      </c>
      <c r="BR1001" s="56" t="s">
        <v>1481</v>
      </c>
      <c r="BS1001" s="91" t="s">
        <v>1484</v>
      </c>
      <c r="BT1001" s="36"/>
      <c r="BU1001" s="35" t="s">
        <v>1292</v>
      </c>
    </row>
    <row r="1002" s="1" customFormat="1" customHeight="1" spans="1:73">
      <c r="A1002" s="41" t="s">
        <v>1485</v>
      </c>
      <c r="B1002" s="15">
        <v>200</v>
      </c>
      <c r="C1002" s="16">
        <v>20</v>
      </c>
      <c r="D1002" s="29"/>
      <c r="E1002" s="30"/>
      <c r="F1002" s="29"/>
      <c r="G1002" s="30"/>
      <c r="H1002" s="29"/>
      <c r="I1002" s="29"/>
      <c r="J1002" s="29"/>
      <c r="K1002" s="29"/>
      <c r="L1002" s="29"/>
      <c r="M1002" s="30"/>
      <c r="N1002" s="29"/>
      <c r="O1002" s="29"/>
      <c r="P1002" s="29"/>
      <c r="Q1002" s="29"/>
      <c r="R1002" s="29"/>
      <c r="S1002" s="29"/>
      <c r="T1002" s="29"/>
      <c r="U1002" s="29"/>
      <c r="V1002" s="29"/>
      <c r="W1002" s="82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30"/>
      <c r="AH1002" s="29"/>
      <c r="AI1002" s="29"/>
      <c r="AJ1002" s="29"/>
      <c r="AK1002" s="30"/>
      <c r="AL1002" s="29"/>
      <c r="AM1002" s="29"/>
      <c r="AN1002" s="29"/>
      <c r="AO1002" s="29"/>
      <c r="AP1002" s="29"/>
      <c r="AQ1002" s="29"/>
      <c r="AR1002" s="29"/>
      <c r="AS1002" s="30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30"/>
      <c r="BF1002" s="29"/>
      <c r="BG1002" s="29"/>
      <c r="BH1002" s="29"/>
      <c r="BI1002" s="29"/>
      <c r="BJ1002" s="29"/>
      <c r="BK1002" s="29"/>
      <c r="BL1002" s="29"/>
      <c r="BM1002" s="29"/>
      <c r="BN1002" s="20">
        <f t="shared" si="135"/>
        <v>0</v>
      </c>
      <c r="BO1002" s="20">
        <f t="shared" si="136"/>
        <v>0</v>
      </c>
      <c r="BP1002" s="20">
        <f t="shared" si="137"/>
        <v>20</v>
      </c>
      <c r="BQ1002" s="51">
        <f t="shared" si="134"/>
        <v>4</v>
      </c>
      <c r="BR1002" s="56" t="s">
        <v>1486</v>
      </c>
      <c r="BS1002" s="91" t="s">
        <v>1484</v>
      </c>
      <c r="BT1002" s="36" t="s">
        <v>1487</v>
      </c>
      <c r="BU1002" s="35" t="s">
        <v>1292</v>
      </c>
    </row>
    <row r="1003" s="1" customFormat="1" customHeight="1" spans="1:73">
      <c r="A1003" s="15" t="s">
        <v>1488</v>
      </c>
      <c r="B1003" s="15">
        <v>155</v>
      </c>
      <c r="C1003" s="16">
        <v>54</v>
      </c>
      <c r="D1003" s="29"/>
      <c r="E1003" s="30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30"/>
      <c r="AH1003" s="29"/>
      <c r="AI1003" s="29"/>
      <c r="AJ1003" s="29"/>
      <c r="AK1003" s="30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0">
        <f t="shared" si="135"/>
        <v>0</v>
      </c>
      <c r="BO1003" s="20">
        <f t="shared" si="136"/>
        <v>0</v>
      </c>
      <c r="BP1003" s="20">
        <f t="shared" si="137"/>
        <v>54</v>
      </c>
      <c r="BQ1003" s="51">
        <f t="shared" si="134"/>
        <v>8.37</v>
      </c>
      <c r="BR1003" s="56" t="s">
        <v>1489</v>
      </c>
      <c r="BS1003" s="91" t="s">
        <v>1490</v>
      </c>
      <c r="BT1003" s="36"/>
      <c r="BU1003" s="35" t="s">
        <v>1464</v>
      </c>
    </row>
    <row r="1004" s="1" customFormat="1" customHeight="1" spans="1:73">
      <c r="A1004" s="155" t="s">
        <v>1491</v>
      </c>
      <c r="B1004" s="15"/>
      <c r="C1004" s="16"/>
      <c r="D1004" s="29"/>
      <c r="E1004" s="30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30"/>
      <c r="AH1004" s="29"/>
      <c r="AI1004" s="29"/>
      <c r="AJ1004" s="29"/>
      <c r="AK1004" s="30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0">
        <f t="shared" si="135"/>
        <v>0</v>
      </c>
      <c r="BO1004" s="20">
        <f t="shared" si="136"/>
        <v>0</v>
      </c>
      <c r="BP1004" s="20">
        <f t="shared" si="137"/>
        <v>0</v>
      </c>
      <c r="BQ1004" s="51"/>
      <c r="BR1004" s="56"/>
      <c r="BS1004" s="91"/>
      <c r="BT1004" s="36"/>
      <c r="BU1004" s="112"/>
    </row>
    <row r="1005" s="1" customFormat="1" customHeight="1" spans="1:73">
      <c r="A1005" s="15" t="s">
        <v>1492</v>
      </c>
      <c r="B1005" s="15">
        <v>108</v>
      </c>
      <c r="C1005" s="16">
        <v>115</v>
      </c>
      <c r="D1005" s="29"/>
      <c r="E1005" s="30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54"/>
      <c r="W1005" s="54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30"/>
      <c r="AH1005" s="29"/>
      <c r="AI1005" s="29"/>
      <c r="AJ1005" s="29"/>
      <c r="AK1005" s="30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0">
        <f t="shared" si="135"/>
        <v>0</v>
      </c>
      <c r="BO1005" s="20">
        <f t="shared" si="136"/>
        <v>0</v>
      </c>
      <c r="BP1005" s="20">
        <f t="shared" si="137"/>
        <v>115</v>
      </c>
      <c r="BQ1005" s="55">
        <f t="shared" ref="BQ1005:BQ1011" si="138">B1005*BP1005/1000</f>
        <v>12.42</v>
      </c>
      <c r="BR1005" s="68" t="s">
        <v>1493</v>
      </c>
      <c r="BS1005" s="33" t="s">
        <v>376</v>
      </c>
      <c r="BT1005" s="36"/>
      <c r="BU1005" s="35" t="s">
        <v>1494</v>
      </c>
    </row>
    <row r="1006" s="1" customFormat="1" customHeight="1" spans="1:73">
      <c r="A1006" s="15" t="s">
        <v>1495</v>
      </c>
      <c r="B1006" s="15">
        <v>75</v>
      </c>
      <c r="C1006" s="16">
        <v>306</v>
      </c>
      <c r="D1006" s="29"/>
      <c r="E1006" s="30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54"/>
      <c r="W1006" s="54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30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0">
        <f t="shared" si="135"/>
        <v>0</v>
      </c>
      <c r="BO1006" s="20">
        <f t="shared" si="136"/>
        <v>0</v>
      </c>
      <c r="BP1006" s="20">
        <f t="shared" si="137"/>
        <v>306</v>
      </c>
      <c r="BQ1006" s="55">
        <f t="shared" si="138"/>
        <v>22.95</v>
      </c>
      <c r="BR1006" s="68" t="s">
        <v>1496</v>
      </c>
      <c r="BS1006" s="33" t="s">
        <v>1497</v>
      </c>
      <c r="BT1006" s="36" t="s">
        <v>1498</v>
      </c>
      <c r="BU1006" s="35" t="s">
        <v>1494</v>
      </c>
    </row>
    <row r="1007" s="1" customFormat="1" customHeight="1" spans="1:73">
      <c r="A1007" s="15" t="s">
        <v>1495</v>
      </c>
      <c r="B1007" s="15">
        <v>130</v>
      </c>
      <c r="C1007" s="16">
        <v>316</v>
      </c>
      <c r="D1007" s="29"/>
      <c r="E1007" s="30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54"/>
      <c r="W1007" s="54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30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0">
        <f t="shared" si="135"/>
        <v>0</v>
      </c>
      <c r="BO1007" s="20">
        <f t="shared" si="136"/>
        <v>0</v>
      </c>
      <c r="BP1007" s="20">
        <f t="shared" si="137"/>
        <v>316</v>
      </c>
      <c r="BQ1007" s="55">
        <f t="shared" si="138"/>
        <v>41.08</v>
      </c>
      <c r="BR1007" s="68" t="s">
        <v>1496</v>
      </c>
      <c r="BS1007" s="33" t="s">
        <v>1497</v>
      </c>
      <c r="BT1007" s="36" t="s">
        <v>1499</v>
      </c>
      <c r="BU1007" s="35" t="s">
        <v>1494</v>
      </c>
    </row>
    <row r="1008" s="1" customFormat="1" customHeight="1" spans="1:73">
      <c r="A1008" s="15" t="s">
        <v>1500</v>
      </c>
      <c r="B1008" s="15">
        <v>200</v>
      </c>
      <c r="C1008" s="16">
        <v>21</v>
      </c>
      <c r="D1008" s="29"/>
      <c r="E1008" s="30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54"/>
      <c r="W1008" s="54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30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0">
        <f t="shared" si="135"/>
        <v>0</v>
      </c>
      <c r="BO1008" s="20">
        <f t="shared" si="136"/>
        <v>0</v>
      </c>
      <c r="BP1008" s="20">
        <f t="shared" si="137"/>
        <v>21</v>
      </c>
      <c r="BQ1008" s="55">
        <f t="shared" si="138"/>
        <v>4.2</v>
      </c>
      <c r="BR1008" s="68" t="s">
        <v>1501</v>
      </c>
      <c r="BS1008" s="33" t="s">
        <v>376</v>
      </c>
      <c r="BT1008" s="36"/>
      <c r="BU1008" s="35" t="s">
        <v>1494</v>
      </c>
    </row>
    <row r="1009" s="1" customFormat="1" customHeight="1" spans="1:73">
      <c r="A1009" s="15" t="s">
        <v>1502</v>
      </c>
      <c r="B1009" s="15">
        <v>1000</v>
      </c>
      <c r="C1009" s="16">
        <v>0.7</v>
      </c>
      <c r="D1009" s="29"/>
      <c r="E1009" s="30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54"/>
      <c r="W1009" s="54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30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0">
        <f t="shared" si="135"/>
        <v>0</v>
      </c>
      <c r="BO1009" s="20">
        <f t="shared" si="136"/>
        <v>0</v>
      </c>
      <c r="BP1009" s="20">
        <f t="shared" si="137"/>
        <v>0.7</v>
      </c>
      <c r="BQ1009" s="55">
        <f t="shared" si="138"/>
        <v>0.7</v>
      </c>
      <c r="BR1009" s="68" t="s">
        <v>1503</v>
      </c>
      <c r="BS1009" s="33" t="s">
        <v>376</v>
      </c>
      <c r="BT1009" s="34" t="s">
        <v>1504</v>
      </c>
      <c r="BU1009" s="35" t="s">
        <v>1494</v>
      </c>
    </row>
    <row r="1010" s="1" customFormat="1" customHeight="1" spans="1:73">
      <c r="A1010" s="15" t="s">
        <v>1505</v>
      </c>
      <c r="B1010" s="15">
        <v>1000</v>
      </c>
      <c r="C1010" s="16">
        <v>1.5</v>
      </c>
      <c r="D1010" s="29"/>
      <c r="E1010" s="30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54"/>
      <c r="W1010" s="54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30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0">
        <f t="shared" si="135"/>
        <v>0</v>
      </c>
      <c r="BO1010" s="20">
        <f t="shared" si="136"/>
        <v>0</v>
      </c>
      <c r="BP1010" s="20">
        <f t="shared" si="137"/>
        <v>1.5</v>
      </c>
      <c r="BQ1010" s="55">
        <f t="shared" si="138"/>
        <v>1.5</v>
      </c>
      <c r="BR1010" s="68" t="s">
        <v>1503</v>
      </c>
      <c r="BS1010" s="33" t="s">
        <v>376</v>
      </c>
      <c r="BT1010" s="34" t="s">
        <v>1506</v>
      </c>
      <c r="BU1010" s="35" t="s">
        <v>1494</v>
      </c>
    </row>
    <row r="1011" s="1" customFormat="1" customHeight="1" spans="1:73">
      <c r="A1011" s="58" t="s">
        <v>1507</v>
      </c>
      <c r="B1011" s="15"/>
      <c r="C1011" s="156">
        <v>20</v>
      </c>
      <c r="D1011" s="29"/>
      <c r="E1011" s="30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54"/>
      <c r="W1011" s="54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30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0">
        <f t="shared" si="135"/>
        <v>0</v>
      </c>
      <c r="BO1011" s="20">
        <f t="shared" si="136"/>
        <v>0</v>
      </c>
      <c r="BP1011" s="20">
        <f t="shared" si="137"/>
        <v>20</v>
      </c>
      <c r="BQ1011" s="55">
        <f t="shared" si="138"/>
        <v>0</v>
      </c>
      <c r="BR1011" s="68" t="s">
        <v>1508</v>
      </c>
      <c r="BS1011" s="33" t="s">
        <v>1509</v>
      </c>
      <c r="BT1011" s="73" t="s">
        <v>1510</v>
      </c>
      <c r="BU1011" s="35" t="s">
        <v>1494</v>
      </c>
    </row>
    <row r="1012" s="1" customFormat="1" customHeight="1" spans="1:73">
      <c r="A1012" s="53" t="s">
        <v>1511</v>
      </c>
      <c r="B1012" s="15"/>
      <c r="C1012" s="16"/>
      <c r="D1012" s="29"/>
      <c r="E1012" s="30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30"/>
      <c r="AH1012" s="29"/>
      <c r="AI1012" s="29"/>
      <c r="AJ1012" s="29"/>
      <c r="AK1012" s="30"/>
      <c r="AL1012" s="29"/>
      <c r="AM1012" s="29"/>
      <c r="AN1012" s="29"/>
      <c r="AO1012" s="29"/>
      <c r="AP1012" s="29"/>
      <c r="AQ1012" s="29"/>
      <c r="AR1012" s="29"/>
      <c r="AS1012" s="29"/>
      <c r="AT1012" s="29"/>
      <c r="AU1012" s="29"/>
      <c r="AV1012" s="29"/>
      <c r="AW1012" s="29"/>
      <c r="AX1012" s="29"/>
      <c r="AY1012" s="29"/>
      <c r="AZ1012" s="29"/>
      <c r="BA1012" s="29"/>
      <c r="BB1012" s="29"/>
      <c r="BC1012" s="29"/>
      <c r="BD1012" s="29"/>
      <c r="BE1012" s="29"/>
      <c r="BF1012" s="29"/>
      <c r="BG1012" s="29"/>
      <c r="BH1012" s="29"/>
      <c r="BI1012" s="29"/>
      <c r="BJ1012" s="29"/>
      <c r="BK1012" s="29"/>
      <c r="BL1012" s="29"/>
      <c r="BM1012" s="29"/>
      <c r="BN1012" s="20">
        <f t="shared" si="135"/>
        <v>0</v>
      </c>
      <c r="BO1012" s="20">
        <f t="shared" si="136"/>
        <v>0</v>
      </c>
      <c r="BP1012" s="20">
        <f t="shared" si="137"/>
        <v>0</v>
      </c>
      <c r="BQ1012" s="51"/>
      <c r="BR1012" s="56"/>
      <c r="BS1012" s="91"/>
      <c r="BT1012" s="36"/>
      <c r="BU1012" s="112"/>
    </row>
    <row r="1013" s="1" customFormat="1" customHeight="1" spans="1:73">
      <c r="A1013" s="15" t="s">
        <v>1512</v>
      </c>
      <c r="B1013" s="15">
        <v>146</v>
      </c>
      <c r="C1013" s="16">
        <v>40</v>
      </c>
      <c r="D1013" s="29"/>
      <c r="E1013" s="30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30"/>
      <c r="AH1013" s="29"/>
      <c r="AI1013" s="29"/>
      <c r="AJ1013" s="29"/>
      <c r="AK1013" s="30"/>
      <c r="AL1013" s="29"/>
      <c r="AM1013" s="29"/>
      <c r="AN1013" s="29"/>
      <c r="AO1013" s="29"/>
      <c r="AP1013" s="29"/>
      <c r="AQ1013" s="29"/>
      <c r="AR1013" s="29"/>
      <c r="AS1013" s="29"/>
      <c r="AT1013" s="29"/>
      <c r="AU1013" s="29"/>
      <c r="AV1013" s="29"/>
      <c r="AW1013" s="29"/>
      <c r="AX1013" s="29"/>
      <c r="AY1013" s="29"/>
      <c r="AZ1013" s="29"/>
      <c r="BA1013" s="29"/>
      <c r="BB1013" s="29"/>
      <c r="BC1013" s="29"/>
      <c r="BD1013" s="29"/>
      <c r="BE1013" s="29"/>
      <c r="BF1013" s="29"/>
      <c r="BG1013" s="29"/>
      <c r="BH1013" s="29"/>
      <c r="BI1013" s="29"/>
      <c r="BJ1013" s="29"/>
      <c r="BK1013" s="29"/>
      <c r="BL1013" s="29"/>
      <c r="BM1013" s="29"/>
      <c r="BN1013" s="20">
        <f t="shared" si="135"/>
        <v>0</v>
      </c>
      <c r="BO1013" s="20">
        <f t="shared" si="136"/>
        <v>0</v>
      </c>
      <c r="BP1013" s="20">
        <f t="shared" si="137"/>
        <v>40</v>
      </c>
      <c r="BQ1013" s="51">
        <f t="shared" ref="BQ1013:BQ1018" si="139">B1013/1000*BP1013</f>
        <v>5.84</v>
      </c>
      <c r="BR1013" s="56" t="s">
        <v>685</v>
      </c>
      <c r="BS1013" s="33" t="s">
        <v>1513</v>
      </c>
      <c r="BT1013" s="36"/>
      <c r="BU1013" s="35" t="s">
        <v>1514</v>
      </c>
    </row>
    <row r="1014" s="1" customFormat="1" customHeight="1" spans="1:73">
      <c r="A1014" s="15" t="s">
        <v>1512</v>
      </c>
      <c r="B1014" s="15">
        <v>185</v>
      </c>
      <c r="C1014" s="16">
        <v>97</v>
      </c>
      <c r="D1014" s="29"/>
      <c r="E1014" s="30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30"/>
      <c r="AH1014" s="29"/>
      <c r="AI1014" s="29"/>
      <c r="AJ1014" s="29"/>
      <c r="AK1014" s="30"/>
      <c r="AL1014" s="29"/>
      <c r="AM1014" s="29"/>
      <c r="AN1014" s="29"/>
      <c r="AO1014" s="29"/>
      <c r="AP1014" s="29"/>
      <c r="AQ1014" s="29"/>
      <c r="AR1014" s="29"/>
      <c r="AS1014" s="29"/>
      <c r="AT1014" s="29"/>
      <c r="AU1014" s="29"/>
      <c r="AV1014" s="29"/>
      <c r="AW1014" s="29"/>
      <c r="AX1014" s="29"/>
      <c r="AY1014" s="29"/>
      <c r="AZ1014" s="29"/>
      <c r="BA1014" s="29"/>
      <c r="BB1014" s="29"/>
      <c r="BC1014" s="29"/>
      <c r="BD1014" s="29"/>
      <c r="BE1014" s="29"/>
      <c r="BF1014" s="29"/>
      <c r="BG1014" s="29"/>
      <c r="BH1014" s="29"/>
      <c r="BI1014" s="29"/>
      <c r="BJ1014" s="29"/>
      <c r="BK1014" s="29"/>
      <c r="BL1014" s="29"/>
      <c r="BM1014" s="29"/>
      <c r="BN1014" s="20">
        <f t="shared" si="135"/>
        <v>0</v>
      </c>
      <c r="BO1014" s="20">
        <f t="shared" si="136"/>
        <v>0</v>
      </c>
      <c r="BP1014" s="20">
        <f t="shared" si="137"/>
        <v>97</v>
      </c>
      <c r="BQ1014" s="51">
        <f t="shared" si="139"/>
        <v>17.945</v>
      </c>
      <c r="BR1014" s="56" t="s">
        <v>1515</v>
      </c>
      <c r="BS1014" s="33" t="s">
        <v>376</v>
      </c>
      <c r="BT1014" s="36"/>
      <c r="BU1014" s="35" t="s">
        <v>1514</v>
      </c>
    </row>
    <row r="1015" s="1" customFormat="1" customHeight="1" spans="1:73">
      <c r="A1015" s="15" t="s">
        <v>1512</v>
      </c>
      <c r="B1015" s="15">
        <v>198</v>
      </c>
      <c r="C1015" s="16">
        <v>12</v>
      </c>
      <c r="D1015" s="29"/>
      <c r="E1015" s="30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30"/>
      <c r="AH1015" s="29"/>
      <c r="AI1015" s="29"/>
      <c r="AJ1015" s="29"/>
      <c r="AK1015" s="30"/>
      <c r="AL1015" s="29"/>
      <c r="AM1015" s="29"/>
      <c r="AN1015" s="29"/>
      <c r="AO1015" s="29"/>
      <c r="AP1015" s="29"/>
      <c r="AQ1015" s="29"/>
      <c r="AR1015" s="29"/>
      <c r="AS1015" s="29"/>
      <c r="AT1015" s="29"/>
      <c r="AU1015" s="29"/>
      <c r="AV1015" s="29"/>
      <c r="AW1015" s="29"/>
      <c r="AX1015" s="29"/>
      <c r="AY1015" s="29"/>
      <c r="AZ1015" s="29"/>
      <c r="BA1015" s="29"/>
      <c r="BB1015" s="29"/>
      <c r="BC1015" s="29"/>
      <c r="BD1015" s="29"/>
      <c r="BE1015" s="29"/>
      <c r="BF1015" s="29"/>
      <c r="BG1015" s="29"/>
      <c r="BH1015" s="29"/>
      <c r="BI1015" s="29"/>
      <c r="BJ1015" s="29"/>
      <c r="BK1015" s="29"/>
      <c r="BL1015" s="29"/>
      <c r="BM1015" s="29"/>
      <c r="BN1015" s="20">
        <f t="shared" si="135"/>
        <v>0</v>
      </c>
      <c r="BO1015" s="20">
        <f t="shared" si="136"/>
        <v>0</v>
      </c>
      <c r="BP1015" s="20">
        <f t="shared" si="137"/>
        <v>12</v>
      </c>
      <c r="BQ1015" s="51">
        <f t="shared" si="139"/>
        <v>2.376</v>
      </c>
      <c r="BR1015" s="56" t="s">
        <v>1516</v>
      </c>
      <c r="BS1015" s="33" t="s">
        <v>1513</v>
      </c>
      <c r="BT1015" s="36" t="s">
        <v>1517</v>
      </c>
      <c r="BU1015" s="35" t="s">
        <v>1514</v>
      </c>
    </row>
    <row r="1016" s="1" customFormat="1" customHeight="1" spans="1:73">
      <c r="A1016" s="37" t="s">
        <v>1518</v>
      </c>
      <c r="B1016" s="15">
        <v>270</v>
      </c>
      <c r="C1016" s="16">
        <v>10</v>
      </c>
      <c r="D1016" s="29"/>
      <c r="E1016" s="30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30"/>
      <c r="AH1016" s="29"/>
      <c r="AI1016" s="29"/>
      <c r="AJ1016" s="29"/>
      <c r="AK1016" s="30"/>
      <c r="AL1016" s="29"/>
      <c r="AM1016" s="29"/>
      <c r="AN1016" s="29"/>
      <c r="AO1016" s="29"/>
      <c r="AP1016" s="29"/>
      <c r="AQ1016" s="29"/>
      <c r="AR1016" s="29"/>
      <c r="AS1016" s="29"/>
      <c r="AT1016" s="29"/>
      <c r="AU1016" s="29"/>
      <c r="AV1016" s="29"/>
      <c r="AW1016" s="29"/>
      <c r="AX1016" s="29"/>
      <c r="AY1016" s="29"/>
      <c r="AZ1016" s="29"/>
      <c r="BA1016" s="29"/>
      <c r="BB1016" s="29"/>
      <c r="BC1016" s="29"/>
      <c r="BD1016" s="29"/>
      <c r="BE1016" s="29"/>
      <c r="BF1016" s="29"/>
      <c r="BG1016" s="29"/>
      <c r="BH1016" s="29"/>
      <c r="BI1016" s="29"/>
      <c r="BJ1016" s="29"/>
      <c r="BK1016" s="29"/>
      <c r="BL1016" s="29"/>
      <c r="BM1016" s="29"/>
      <c r="BN1016" s="20">
        <f t="shared" si="135"/>
        <v>0</v>
      </c>
      <c r="BO1016" s="20">
        <f t="shared" si="136"/>
        <v>0</v>
      </c>
      <c r="BP1016" s="20">
        <f t="shared" si="137"/>
        <v>10</v>
      </c>
      <c r="BQ1016" s="51">
        <f t="shared" si="139"/>
        <v>2.7</v>
      </c>
      <c r="BR1016" s="56" t="s">
        <v>1519</v>
      </c>
      <c r="BS1016" s="33" t="s">
        <v>1520</v>
      </c>
      <c r="BT1016" s="36"/>
      <c r="BU1016" s="35" t="s">
        <v>1514</v>
      </c>
    </row>
    <row r="1017" s="1" customFormat="1" customHeight="1" spans="1:73">
      <c r="A1017" s="37" t="s">
        <v>1518</v>
      </c>
      <c r="B1017" s="15">
        <v>330</v>
      </c>
      <c r="C1017" s="16">
        <v>51</v>
      </c>
      <c r="D1017" s="29"/>
      <c r="E1017" s="30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30"/>
      <c r="AH1017" s="29"/>
      <c r="AI1017" s="29"/>
      <c r="AJ1017" s="29"/>
      <c r="AK1017" s="30"/>
      <c r="AL1017" s="29"/>
      <c r="AM1017" s="29"/>
      <c r="AN1017" s="29"/>
      <c r="AO1017" s="29"/>
      <c r="AP1017" s="29"/>
      <c r="AQ1017" s="29"/>
      <c r="AR1017" s="29"/>
      <c r="AS1017" s="29"/>
      <c r="AT1017" s="29"/>
      <c r="AU1017" s="29"/>
      <c r="AV1017" s="29"/>
      <c r="AW1017" s="29"/>
      <c r="AX1017" s="29"/>
      <c r="AY1017" s="29"/>
      <c r="AZ1017" s="29"/>
      <c r="BA1017" s="29"/>
      <c r="BB1017" s="29"/>
      <c r="BC1017" s="29"/>
      <c r="BD1017" s="29"/>
      <c r="BE1017" s="29"/>
      <c r="BF1017" s="29"/>
      <c r="BG1017" s="29"/>
      <c r="BH1017" s="29"/>
      <c r="BI1017" s="29"/>
      <c r="BJ1017" s="29"/>
      <c r="BK1017" s="29"/>
      <c r="BL1017" s="29"/>
      <c r="BM1017" s="29"/>
      <c r="BN1017" s="20">
        <f t="shared" si="135"/>
        <v>0</v>
      </c>
      <c r="BO1017" s="20">
        <f t="shared" si="136"/>
        <v>0</v>
      </c>
      <c r="BP1017" s="20">
        <f t="shared" si="137"/>
        <v>51</v>
      </c>
      <c r="BQ1017" s="51">
        <f t="shared" si="139"/>
        <v>16.83</v>
      </c>
      <c r="BR1017" s="56" t="s">
        <v>1519</v>
      </c>
      <c r="BS1017" s="33" t="s">
        <v>1520</v>
      </c>
      <c r="BT1017" s="57" t="s">
        <v>1521</v>
      </c>
      <c r="BU1017" s="35" t="s">
        <v>1514</v>
      </c>
    </row>
    <row r="1018" s="1" customFormat="1" customHeight="1" spans="1:73">
      <c r="A1018" s="157" t="s">
        <v>1522</v>
      </c>
      <c r="B1018" s="15">
        <v>457</v>
      </c>
      <c r="C1018" s="16">
        <v>82</v>
      </c>
      <c r="D1018" s="29"/>
      <c r="E1018" s="30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30"/>
      <c r="AH1018" s="29"/>
      <c r="AI1018" s="29"/>
      <c r="AJ1018" s="29"/>
      <c r="AK1018" s="30"/>
      <c r="AL1018" s="29"/>
      <c r="AM1018" s="29"/>
      <c r="AN1018" s="29"/>
      <c r="AO1018" s="29"/>
      <c r="AP1018" s="29"/>
      <c r="AQ1018" s="29"/>
      <c r="AR1018" s="29"/>
      <c r="AS1018" s="29"/>
      <c r="AT1018" s="29"/>
      <c r="AU1018" s="29"/>
      <c r="AV1018" s="29"/>
      <c r="AW1018" s="29"/>
      <c r="AX1018" s="29"/>
      <c r="AY1018" s="29"/>
      <c r="AZ1018" s="29"/>
      <c r="BA1018" s="29"/>
      <c r="BB1018" s="29"/>
      <c r="BC1018" s="29"/>
      <c r="BD1018" s="29"/>
      <c r="BE1018" s="29"/>
      <c r="BF1018" s="29"/>
      <c r="BG1018" s="29"/>
      <c r="BH1018" s="29"/>
      <c r="BI1018" s="29"/>
      <c r="BJ1018" s="29"/>
      <c r="BK1018" s="29"/>
      <c r="BL1018" s="29"/>
      <c r="BM1018" s="29"/>
      <c r="BN1018" s="20">
        <f t="shared" si="135"/>
        <v>0</v>
      </c>
      <c r="BO1018" s="20">
        <f t="shared" si="136"/>
        <v>0</v>
      </c>
      <c r="BP1018" s="20">
        <f t="shared" si="137"/>
        <v>82</v>
      </c>
      <c r="BQ1018" s="51">
        <f t="shared" si="139"/>
        <v>37.474</v>
      </c>
      <c r="BR1018" s="56" t="s">
        <v>1523</v>
      </c>
      <c r="BS1018" s="33" t="s">
        <v>376</v>
      </c>
      <c r="BT1018" s="158" t="s">
        <v>1524</v>
      </c>
      <c r="BU1018" s="35" t="s">
        <v>1514</v>
      </c>
    </row>
    <row r="1019" s="1" customFormat="1" customHeight="1" spans="1:73">
      <c r="A1019" s="53" t="s">
        <v>1525</v>
      </c>
      <c r="B1019" s="15"/>
      <c r="C1019" s="16"/>
      <c r="D1019" s="29"/>
      <c r="E1019" s="30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30"/>
      <c r="AH1019" s="29"/>
      <c r="AI1019" s="29"/>
      <c r="AJ1019" s="29"/>
      <c r="AK1019" s="30"/>
      <c r="AL1019" s="29"/>
      <c r="AM1019" s="29"/>
      <c r="AN1019" s="29"/>
      <c r="AO1019" s="29"/>
      <c r="AP1019" s="29"/>
      <c r="AQ1019" s="29"/>
      <c r="AR1019" s="29"/>
      <c r="AS1019" s="29"/>
      <c r="AT1019" s="29"/>
      <c r="AU1019" s="29"/>
      <c r="AV1019" s="29"/>
      <c r="AW1019" s="29"/>
      <c r="AX1019" s="29"/>
      <c r="AY1019" s="29"/>
      <c r="AZ1019" s="29"/>
      <c r="BA1019" s="29"/>
      <c r="BB1019" s="29"/>
      <c r="BC1019" s="29"/>
      <c r="BD1019" s="29"/>
      <c r="BE1019" s="29"/>
      <c r="BF1019" s="29"/>
      <c r="BG1019" s="29"/>
      <c r="BH1019" s="29"/>
      <c r="BI1019" s="29"/>
      <c r="BJ1019" s="29"/>
      <c r="BK1019" s="29"/>
      <c r="BL1019" s="29"/>
      <c r="BM1019" s="29"/>
      <c r="BN1019" s="20">
        <f t="shared" si="135"/>
        <v>0</v>
      </c>
      <c r="BO1019" s="20">
        <f t="shared" si="136"/>
        <v>0</v>
      </c>
      <c r="BP1019" s="20">
        <f t="shared" si="137"/>
        <v>0</v>
      </c>
      <c r="BQ1019" s="51"/>
      <c r="BR1019" s="56"/>
      <c r="BS1019" s="33"/>
      <c r="BT1019" s="36"/>
      <c r="BU1019" s="49"/>
    </row>
    <row r="1020" s="1" customFormat="1" customHeight="1" spans="1:73">
      <c r="A1020" s="37" t="s">
        <v>1526</v>
      </c>
      <c r="B1020" s="15">
        <v>22</v>
      </c>
      <c r="C1020" s="16">
        <v>325</v>
      </c>
      <c r="D1020" s="29"/>
      <c r="E1020" s="30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30"/>
      <c r="AH1020" s="29"/>
      <c r="AI1020" s="29"/>
      <c r="AJ1020" s="29"/>
      <c r="AK1020" s="30"/>
      <c r="AL1020" s="29"/>
      <c r="AM1020" s="29"/>
      <c r="AN1020" s="29"/>
      <c r="AO1020" s="29"/>
      <c r="AP1020" s="29"/>
      <c r="AQ1020" s="29"/>
      <c r="AR1020" s="29"/>
      <c r="AS1020" s="29"/>
      <c r="AT1020" s="29"/>
      <c r="AU1020" s="29"/>
      <c r="AV1020" s="29"/>
      <c r="AW1020" s="29"/>
      <c r="AX1020" s="29"/>
      <c r="AY1020" s="29"/>
      <c r="AZ1020" s="29"/>
      <c r="BA1020" s="29"/>
      <c r="BB1020" s="29"/>
      <c r="BC1020" s="29"/>
      <c r="BD1020" s="29"/>
      <c r="BE1020" s="29"/>
      <c r="BF1020" s="29"/>
      <c r="BG1020" s="29"/>
      <c r="BH1020" s="29"/>
      <c r="BI1020" s="29"/>
      <c r="BJ1020" s="29"/>
      <c r="BK1020" s="29"/>
      <c r="BL1020" s="29"/>
      <c r="BM1020" s="29"/>
      <c r="BN1020" s="20">
        <f t="shared" si="135"/>
        <v>0</v>
      </c>
      <c r="BO1020" s="20">
        <f t="shared" si="136"/>
        <v>0</v>
      </c>
      <c r="BP1020" s="20">
        <f t="shared" si="137"/>
        <v>325</v>
      </c>
      <c r="BQ1020" s="51">
        <f t="shared" ref="BQ1020:BQ1041" si="140">B1020*BP1020/1000</f>
        <v>7.15</v>
      </c>
      <c r="BR1020" s="56" t="s">
        <v>1527</v>
      </c>
      <c r="BS1020" s="33" t="s">
        <v>1528</v>
      </c>
      <c r="BT1020" s="111" t="s">
        <v>1529</v>
      </c>
      <c r="BU1020" s="35" t="s">
        <v>1514</v>
      </c>
    </row>
    <row r="1021" s="1" customFormat="1" customHeight="1" spans="1:73">
      <c r="A1021" s="15" t="s">
        <v>1530</v>
      </c>
      <c r="B1021" s="15">
        <v>35</v>
      </c>
      <c r="C1021" s="16">
        <v>50</v>
      </c>
      <c r="D1021" s="29"/>
      <c r="E1021" s="30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30"/>
      <c r="AH1021" s="29"/>
      <c r="AI1021" s="29"/>
      <c r="AJ1021" s="29"/>
      <c r="AK1021" s="30"/>
      <c r="AL1021" s="29"/>
      <c r="AM1021" s="29"/>
      <c r="AN1021" s="29"/>
      <c r="AO1021" s="29"/>
      <c r="AP1021" s="29"/>
      <c r="AQ1021" s="29"/>
      <c r="AR1021" s="29"/>
      <c r="AS1021" s="29"/>
      <c r="AT1021" s="29"/>
      <c r="AU1021" s="29"/>
      <c r="AV1021" s="29"/>
      <c r="AW1021" s="29"/>
      <c r="AX1021" s="29"/>
      <c r="AY1021" s="29"/>
      <c r="AZ1021" s="29"/>
      <c r="BA1021" s="29"/>
      <c r="BB1021" s="29"/>
      <c r="BC1021" s="29"/>
      <c r="BD1021" s="29"/>
      <c r="BE1021" s="29"/>
      <c r="BF1021" s="29"/>
      <c r="BG1021" s="29"/>
      <c r="BH1021" s="29"/>
      <c r="BI1021" s="29"/>
      <c r="BJ1021" s="29"/>
      <c r="BK1021" s="29"/>
      <c r="BL1021" s="29"/>
      <c r="BM1021" s="29"/>
      <c r="BN1021" s="20">
        <f t="shared" si="135"/>
        <v>0</v>
      </c>
      <c r="BO1021" s="20">
        <f t="shared" si="136"/>
        <v>0</v>
      </c>
      <c r="BP1021" s="20">
        <f t="shared" si="137"/>
        <v>50</v>
      </c>
      <c r="BQ1021" s="51">
        <f t="shared" si="140"/>
        <v>1.75</v>
      </c>
      <c r="BR1021" s="56" t="s">
        <v>1531</v>
      </c>
      <c r="BS1021" s="33" t="s">
        <v>1532</v>
      </c>
      <c r="BT1021" s="36" t="s">
        <v>1533</v>
      </c>
      <c r="BU1021" s="35" t="s">
        <v>1514</v>
      </c>
    </row>
    <row r="1022" s="1" customFormat="1" customHeight="1" spans="1:73">
      <c r="A1022" s="15" t="s">
        <v>1530</v>
      </c>
      <c r="B1022" s="15">
        <v>200</v>
      </c>
      <c r="C1022" s="16">
        <v>50</v>
      </c>
      <c r="D1022" s="29"/>
      <c r="E1022" s="30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30"/>
      <c r="AH1022" s="29"/>
      <c r="AI1022" s="29"/>
      <c r="AJ1022" s="29"/>
      <c r="AK1022" s="30"/>
      <c r="AL1022" s="29"/>
      <c r="AM1022" s="29"/>
      <c r="AN1022" s="29"/>
      <c r="AO1022" s="29"/>
      <c r="AP1022" s="29"/>
      <c r="AQ1022" s="29"/>
      <c r="AR1022" s="29"/>
      <c r="AS1022" s="29"/>
      <c r="AT1022" s="29"/>
      <c r="AU1022" s="29"/>
      <c r="AV1022" s="29"/>
      <c r="AW1022" s="29"/>
      <c r="AX1022" s="29"/>
      <c r="AY1022" s="29"/>
      <c r="AZ1022" s="29"/>
      <c r="BA1022" s="29"/>
      <c r="BB1022" s="29"/>
      <c r="BC1022" s="29"/>
      <c r="BD1022" s="29"/>
      <c r="BE1022" s="29"/>
      <c r="BF1022" s="29"/>
      <c r="BG1022" s="29"/>
      <c r="BH1022" s="29"/>
      <c r="BI1022" s="29"/>
      <c r="BJ1022" s="29"/>
      <c r="BK1022" s="29"/>
      <c r="BL1022" s="29"/>
      <c r="BM1022" s="29"/>
      <c r="BN1022" s="20">
        <f t="shared" si="135"/>
        <v>0</v>
      </c>
      <c r="BO1022" s="20">
        <f t="shared" si="136"/>
        <v>0</v>
      </c>
      <c r="BP1022" s="20">
        <f t="shared" si="137"/>
        <v>50</v>
      </c>
      <c r="BQ1022" s="51">
        <f t="shared" si="140"/>
        <v>10</v>
      </c>
      <c r="BR1022" s="56" t="s">
        <v>1534</v>
      </c>
      <c r="BS1022" s="33" t="s">
        <v>1528</v>
      </c>
      <c r="BT1022" s="111" t="s">
        <v>1529</v>
      </c>
      <c r="BU1022" s="35" t="s">
        <v>1514</v>
      </c>
    </row>
    <row r="1023" s="1" customFormat="1" customHeight="1" spans="1:73">
      <c r="A1023" s="124" t="s">
        <v>1535</v>
      </c>
      <c r="B1023" s="15">
        <v>120</v>
      </c>
      <c r="C1023" s="29">
        <v>0</v>
      </c>
      <c r="D1023" s="29"/>
      <c r="E1023" s="30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30"/>
      <c r="AH1023" s="29"/>
      <c r="AI1023" s="29"/>
      <c r="AJ1023" s="29"/>
      <c r="AK1023" s="30"/>
      <c r="AL1023" s="29"/>
      <c r="AM1023" s="29"/>
      <c r="AN1023" s="29"/>
      <c r="AO1023" s="29"/>
      <c r="AP1023" s="29"/>
      <c r="AQ1023" s="29"/>
      <c r="AR1023" s="29"/>
      <c r="AS1023" s="29"/>
      <c r="AT1023" s="29"/>
      <c r="AU1023" s="29"/>
      <c r="AV1023" s="29"/>
      <c r="AW1023" s="29"/>
      <c r="AX1023" s="29"/>
      <c r="AY1023" s="29"/>
      <c r="AZ1023" s="29"/>
      <c r="BA1023" s="29"/>
      <c r="BB1023" s="29"/>
      <c r="BC1023" s="29"/>
      <c r="BD1023" s="29"/>
      <c r="BE1023" s="29"/>
      <c r="BF1023" s="29"/>
      <c r="BG1023" s="29"/>
      <c r="BH1023" s="29"/>
      <c r="BI1023" s="29"/>
      <c r="BJ1023" s="29"/>
      <c r="BK1023" s="29"/>
      <c r="BL1023" s="29"/>
      <c r="BM1023" s="29"/>
      <c r="BN1023" s="20">
        <f t="shared" si="135"/>
        <v>0</v>
      </c>
      <c r="BO1023" s="20">
        <f t="shared" si="136"/>
        <v>0</v>
      </c>
      <c r="BP1023" s="20">
        <f t="shared" si="137"/>
        <v>0</v>
      </c>
      <c r="BQ1023" s="135">
        <f t="shared" si="140"/>
        <v>0</v>
      </c>
      <c r="BR1023" s="159" t="s">
        <v>1536</v>
      </c>
      <c r="BS1023" s="33" t="s">
        <v>1528</v>
      </c>
      <c r="BT1023" s="50" t="s">
        <v>1537</v>
      </c>
      <c r="BU1023" s="44" t="s">
        <v>1538</v>
      </c>
    </row>
    <row r="1024" s="1" customFormat="1" customHeight="1" spans="1:73">
      <c r="A1024" s="15" t="s">
        <v>1539</v>
      </c>
      <c r="B1024" s="15">
        <v>120</v>
      </c>
      <c r="C1024" s="16">
        <v>157</v>
      </c>
      <c r="D1024" s="29"/>
      <c r="E1024" s="30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30"/>
      <c r="AH1024" s="29"/>
      <c r="AI1024" s="29"/>
      <c r="AJ1024" s="29"/>
      <c r="AK1024" s="30"/>
      <c r="AL1024" s="29"/>
      <c r="AM1024" s="29"/>
      <c r="AN1024" s="29"/>
      <c r="AO1024" s="29"/>
      <c r="AP1024" s="29"/>
      <c r="AQ1024" s="29"/>
      <c r="AR1024" s="29"/>
      <c r="AS1024" s="29"/>
      <c r="AT1024" s="29"/>
      <c r="AU1024" s="29"/>
      <c r="AV1024" s="29"/>
      <c r="AW1024" s="29"/>
      <c r="AX1024" s="29"/>
      <c r="AY1024" s="29"/>
      <c r="AZ1024" s="29"/>
      <c r="BA1024" s="29"/>
      <c r="BB1024" s="29"/>
      <c r="BC1024" s="29"/>
      <c r="BD1024" s="29"/>
      <c r="BE1024" s="29"/>
      <c r="BF1024" s="29"/>
      <c r="BG1024" s="29"/>
      <c r="BH1024" s="29"/>
      <c r="BI1024" s="29"/>
      <c r="BJ1024" s="29"/>
      <c r="BK1024" s="29"/>
      <c r="BL1024" s="29"/>
      <c r="BM1024" s="29"/>
      <c r="BN1024" s="20">
        <f t="shared" si="135"/>
        <v>0</v>
      </c>
      <c r="BO1024" s="20">
        <f t="shared" si="136"/>
        <v>0</v>
      </c>
      <c r="BP1024" s="20">
        <f t="shared" si="137"/>
        <v>157</v>
      </c>
      <c r="BQ1024" s="51">
        <f t="shared" si="140"/>
        <v>18.84</v>
      </c>
      <c r="BR1024" s="56" t="s">
        <v>1540</v>
      </c>
      <c r="BS1024" s="33" t="s">
        <v>1528</v>
      </c>
      <c r="BT1024" s="34" t="s">
        <v>1541</v>
      </c>
      <c r="BU1024" s="35" t="s">
        <v>1514</v>
      </c>
    </row>
    <row r="1025" s="1" customFormat="1" customHeight="1" spans="1:73">
      <c r="A1025" s="15" t="s">
        <v>1542</v>
      </c>
      <c r="B1025" s="15">
        <v>70</v>
      </c>
      <c r="C1025" s="16">
        <v>45</v>
      </c>
      <c r="D1025" s="29"/>
      <c r="E1025" s="30"/>
      <c r="F1025" s="29"/>
      <c r="G1025" s="29"/>
      <c r="H1025" s="29"/>
      <c r="I1025" s="29"/>
      <c r="J1025" s="29"/>
      <c r="K1025" s="29"/>
      <c r="L1025" s="29"/>
      <c r="M1025" s="82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30"/>
      <c r="AH1025" s="29"/>
      <c r="AI1025" s="29"/>
      <c r="AJ1025" s="29"/>
      <c r="AK1025" s="30"/>
      <c r="AL1025" s="29"/>
      <c r="AM1025" s="29"/>
      <c r="AN1025" s="29"/>
      <c r="AO1025" s="29"/>
      <c r="AP1025" s="29"/>
      <c r="AQ1025" s="29"/>
      <c r="AR1025" s="29"/>
      <c r="AS1025" s="29"/>
      <c r="AT1025" s="29"/>
      <c r="AU1025" s="29"/>
      <c r="AV1025" s="29"/>
      <c r="AW1025" s="29"/>
      <c r="AX1025" s="29"/>
      <c r="AY1025" s="29"/>
      <c r="AZ1025" s="29"/>
      <c r="BA1025" s="29"/>
      <c r="BB1025" s="29"/>
      <c r="BC1025" s="29"/>
      <c r="BD1025" s="29"/>
      <c r="BE1025" s="29"/>
      <c r="BF1025" s="29"/>
      <c r="BG1025" s="29"/>
      <c r="BH1025" s="29"/>
      <c r="BI1025" s="29"/>
      <c r="BJ1025" s="29"/>
      <c r="BK1025" s="29"/>
      <c r="BL1025" s="29"/>
      <c r="BM1025" s="29"/>
      <c r="BN1025" s="20">
        <f t="shared" si="135"/>
        <v>0</v>
      </c>
      <c r="BO1025" s="20">
        <f t="shared" si="136"/>
        <v>0</v>
      </c>
      <c r="BP1025" s="20">
        <f t="shared" si="137"/>
        <v>45</v>
      </c>
      <c r="BQ1025" s="51">
        <f t="shared" si="140"/>
        <v>3.15</v>
      </c>
      <c r="BR1025" s="56"/>
      <c r="BS1025" s="111"/>
      <c r="BT1025" s="34"/>
      <c r="BU1025" s="35" t="s">
        <v>1514</v>
      </c>
    </row>
    <row r="1026" s="1" customFormat="1" customHeight="1" spans="1:73">
      <c r="A1026" s="15" t="s">
        <v>1543</v>
      </c>
      <c r="B1026" s="15">
        <v>65</v>
      </c>
      <c r="C1026" s="16">
        <v>80</v>
      </c>
      <c r="D1026" s="29"/>
      <c r="E1026" s="30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30"/>
      <c r="AH1026" s="29"/>
      <c r="AI1026" s="29"/>
      <c r="AJ1026" s="29"/>
      <c r="AK1026" s="30"/>
      <c r="AL1026" s="29"/>
      <c r="AM1026" s="29"/>
      <c r="AN1026" s="29"/>
      <c r="AO1026" s="29"/>
      <c r="AP1026" s="29"/>
      <c r="AQ1026" s="29"/>
      <c r="AR1026" s="29"/>
      <c r="AS1026" s="29"/>
      <c r="AT1026" s="29"/>
      <c r="AU1026" s="29"/>
      <c r="AV1026" s="29"/>
      <c r="AW1026" s="29"/>
      <c r="AX1026" s="29"/>
      <c r="AY1026" s="29"/>
      <c r="AZ1026" s="29"/>
      <c r="BA1026" s="29"/>
      <c r="BB1026" s="29"/>
      <c r="BC1026" s="29"/>
      <c r="BD1026" s="29"/>
      <c r="BE1026" s="29"/>
      <c r="BF1026" s="29"/>
      <c r="BG1026" s="29"/>
      <c r="BH1026" s="29"/>
      <c r="BI1026" s="29"/>
      <c r="BJ1026" s="29"/>
      <c r="BK1026" s="29"/>
      <c r="BL1026" s="29"/>
      <c r="BM1026" s="29"/>
      <c r="BN1026" s="20">
        <f t="shared" si="135"/>
        <v>0</v>
      </c>
      <c r="BO1026" s="20">
        <f t="shared" si="136"/>
        <v>0</v>
      </c>
      <c r="BP1026" s="20">
        <f t="shared" si="137"/>
        <v>80</v>
      </c>
      <c r="BQ1026" s="51">
        <f t="shared" si="140"/>
        <v>5.2</v>
      </c>
      <c r="BR1026" s="56" t="s">
        <v>868</v>
      </c>
      <c r="BS1026" s="33" t="s">
        <v>1544</v>
      </c>
      <c r="BT1026" s="33" t="s">
        <v>1545</v>
      </c>
      <c r="BU1026" s="35" t="s">
        <v>1514</v>
      </c>
    </row>
    <row r="1027" s="1" customFormat="1" customHeight="1" spans="1:73">
      <c r="A1027" s="15" t="s">
        <v>1546</v>
      </c>
      <c r="B1027" s="15">
        <v>165</v>
      </c>
      <c r="C1027" s="16">
        <v>22</v>
      </c>
      <c r="D1027" s="29"/>
      <c r="E1027" s="30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30"/>
      <c r="AH1027" s="29"/>
      <c r="AI1027" s="29"/>
      <c r="AJ1027" s="29"/>
      <c r="AK1027" s="30"/>
      <c r="AL1027" s="29"/>
      <c r="AM1027" s="29"/>
      <c r="AN1027" s="29"/>
      <c r="AO1027" s="29"/>
      <c r="AP1027" s="29"/>
      <c r="AQ1027" s="29"/>
      <c r="AR1027" s="29"/>
      <c r="AS1027" s="29"/>
      <c r="AT1027" s="29"/>
      <c r="AU1027" s="29"/>
      <c r="AV1027" s="29"/>
      <c r="AW1027" s="29"/>
      <c r="AX1027" s="29"/>
      <c r="AY1027" s="29"/>
      <c r="AZ1027" s="29"/>
      <c r="BA1027" s="29"/>
      <c r="BB1027" s="29"/>
      <c r="BC1027" s="29"/>
      <c r="BD1027" s="29"/>
      <c r="BE1027" s="29"/>
      <c r="BF1027" s="29"/>
      <c r="BG1027" s="29"/>
      <c r="BH1027" s="29"/>
      <c r="BI1027" s="29"/>
      <c r="BJ1027" s="29"/>
      <c r="BK1027" s="29"/>
      <c r="BL1027" s="29"/>
      <c r="BM1027" s="29"/>
      <c r="BN1027" s="20">
        <f t="shared" si="135"/>
        <v>0</v>
      </c>
      <c r="BO1027" s="20">
        <f t="shared" si="136"/>
        <v>0</v>
      </c>
      <c r="BP1027" s="20">
        <f t="shared" si="137"/>
        <v>22</v>
      </c>
      <c r="BQ1027" s="51">
        <f t="shared" si="140"/>
        <v>3.63</v>
      </c>
      <c r="BR1027" s="56" t="s">
        <v>942</v>
      </c>
      <c r="BS1027" s="33" t="s">
        <v>1528</v>
      </c>
      <c r="BT1027" s="160" t="s">
        <v>1547</v>
      </c>
      <c r="BU1027" s="35" t="s">
        <v>1514</v>
      </c>
    </row>
    <row r="1028" s="1" customFormat="1" customHeight="1" spans="1:73">
      <c r="A1028" s="15" t="s">
        <v>1548</v>
      </c>
      <c r="B1028" s="15">
        <v>130</v>
      </c>
      <c r="C1028" s="16">
        <v>368</v>
      </c>
      <c r="D1028" s="29"/>
      <c r="E1028" s="30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30"/>
      <c r="AH1028" s="29"/>
      <c r="AI1028" s="29"/>
      <c r="AJ1028" s="29"/>
      <c r="AK1028" s="30"/>
      <c r="AL1028" s="29"/>
      <c r="AM1028" s="29"/>
      <c r="AN1028" s="29"/>
      <c r="AO1028" s="29"/>
      <c r="AP1028" s="29"/>
      <c r="AQ1028" s="29"/>
      <c r="AR1028" s="29"/>
      <c r="AS1028" s="29"/>
      <c r="AT1028" s="29"/>
      <c r="AU1028" s="29"/>
      <c r="AV1028" s="29"/>
      <c r="AW1028" s="29"/>
      <c r="AX1028" s="29"/>
      <c r="AY1028" s="29"/>
      <c r="AZ1028" s="29"/>
      <c r="BA1028" s="29"/>
      <c r="BB1028" s="29"/>
      <c r="BC1028" s="29"/>
      <c r="BD1028" s="29"/>
      <c r="BE1028" s="29"/>
      <c r="BF1028" s="29"/>
      <c r="BG1028" s="29"/>
      <c r="BH1028" s="29"/>
      <c r="BI1028" s="29"/>
      <c r="BJ1028" s="29"/>
      <c r="BK1028" s="29"/>
      <c r="BL1028" s="29"/>
      <c r="BM1028" s="29"/>
      <c r="BN1028" s="20">
        <f t="shared" si="135"/>
        <v>0</v>
      </c>
      <c r="BO1028" s="20">
        <f t="shared" si="136"/>
        <v>0</v>
      </c>
      <c r="BP1028" s="20">
        <f t="shared" si="137"/>
        <v>368</v>
      </c>
      <c r="BQ1028" s="51">
        <f t="shared" si="140"/>
        <v>47.84</v>
      </c>
      <c r="BR1028" s="56" t="s">
        <v>907</v>
      </c>
      <c r="BS1028" s="33" t="s">
        <v>1549</v>
      </c>
      <c r="BT1028" s="161" t="s">
        <v>1550</v>
      </c>
      <c r="BU1028" s="35" t="s">
        <v>1514</v>
      </c>
    </row>
    <row r="1029" s="1" customFormat="1" customHeight="1" spans="1:73">
      <c r="A1029" s="162" t="s">
        <v>1551</v>
      </c>
      <c r="B1029" s="15">
        <v>100</v>
      </c>
      <c r="C1029" s="16">
        <v>22</v>
      </c>
      <c r="D1029" s="29"/>
      <c r="E1029" s="30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30"/>
      <c r="AH1029" s="29"/>
      <c r="AI1029" s="29"/>
      <c r="AJ1029" s="29"/>
      <c r="AK1029" s="30"/>
      <c r="AL1029" s="29"/>
      <c r="AM1029" s="29"/>
      <c r="AN1029" s="29"/>
      <c r="AO1029" s="29"/>
      <c r="AP1029" s="29"/>
      <c r="AQ1029" s="29"/>
      <c r="AR1029" s="29"/>
      <c r="AS1029" s="29"/>
      <c r="AT1029" s="29"/>
      <c r="AU1029" s="29"/>
      <c r="AV1029" s="29"/>
      <c r="AW1029" s="29"/>
      <c r="AX1029" s="29"/>
      <c r="AY1029" s="29"/>
      <c r="AZ1029" s="29"/>
      <c r="BA1029" s="29"/>
      <c r="BB1029" s="29"/>
      <c r="BC1029" s="29"/>
      <c r="BD1029" s="29"/>
      <c r="BE1029" s="29"/>
      <c r="BF1029" s="29"/>
      <c r="BG1029" s="29"/>
      <c r="BH1029" s="29"/>
      <c r="BI1029" s="29"/>
      <c r="BJ1029" s="29"/>
      <c r="BK1029" s="29"/>
      <c r="BL1029" s="29"/>
      <c r="BM1029" s="29"/>
      <c r="BN1029" s="20">
        <f t="shared" si="135"/>
        <v>0</v>
      </c>
      <c r="BO1029" s="20">
        <f t="shared" si="136"/>
        <v>0</v>
      </c>
      <c r="BP1029" s="20">
        <f t="shared" si="137"/>
        <v>22</v>
      </c>
      <c r="BQ1029" s="51">
        <f t="shared" si="140"/>
        <v>2.2</v>
      </c>
      <c r="BR1029" s="56" t="s">
        <v>1552</v>
      </c>
      <c r="BS1029" s="33" t="s">
        <v>73</v>
      </c>
      <c r="BT1029" s="160" t="s">
        <v>1553</v>
      </c>
      <c r="BU1029" s="35" t="s">
        <v>1514</v>
      </c>
    </row>
    <row r="1030" s="1" customFormat="1" customHeight="1" spans="1:73">
      <c r="A1030" s="162" t="s">
        <v>1554</v>
      </c>
      <c r="B1030" s="15">
        <v>305</v>
      </c>
      <c r="C1030" s="16">
        <v>0</v>
      </c>
      <c r="D1030" s="29"/>
      <c r="E1030" s="30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30"/>
      <c r="AH1030" s="29"/>
      <c r="AI1030" s="29"/>
      <c r="AJ1030" s="29"/>
      <c r="AK1030" s="30"/>
      <c r="AL1030" s="29"/>
      <c r="AM1030" s="29"/>
      <c r="AN1030" s="29"/>
      <c r="AO1030" s="29"/>
      <c r="AP1030" s="29"/>
      <c r="AQ1030" s="29"/>
      <c r="AR1030" s="29"/>
      <c r="AS1030" s="29"/>
      <c r="AT1030" s="29"/>
      <c r="AU1030" s="29"/>
      <c r="AV1030" s="29"/>
      <c r="AW1030" s="29"/>
      <c r="AX1030" s="29"/>
      <c r="AY1030" s="29"/>
      <c r="AZ1030" s="29"/>
      <c r="BA1030" s="29"/>
      <c r="BB1030" s="29"/>
      <c r="BC1030" s="29"/>
      <c r="BD1030" s="29"/>
      <c r="BE1030" s="29"/>
      <c r="BF1030" s="29"/>
      <c r="BG1030" s="29"/>
      <c r="BH1030" s="29"/>
      <c r="BI1030" s="29"/>
      <c r="BJ1030" s="29"/>
      <c r="BK1030" s="29"/>
      <c r="BL1030" s="29"/>
      <c r="BM1030" s="29"/>
      <c r="BN1030" s="20">
        <f t="shared" si="135"/>
        <v>0</v>
      </c>
      <c r="BO1030" s="20">
        <f t="shared" si="136"/>
        <v>0</v>
      </c>
      <c r="BP1030" s="20">
        <f t="shared" si="137"/>
        <v>0</v>
      </c>
      <c r="BQ1030" s="135">
        <f t="shared" si="140"/>
        <v>0</v>
      </c>
      <c r="BR1030" s="56" t="s">
        <v>213</v>
      </c>
      <c r="BS1030" s="33" t="s">
        <v>214</v>
      </c>
      <c r="BT1030" s="160" t="s">
        <v>1555</v>
      </c>
      <c r="BU1030" s="35" t="s">
        <v>1514</v>
      </c>
    </row>
    <row r="1031" s="1" customFormat="1" customHeight="1" spans="1:73">
      <c r="A1031" s="162" t="s">
        <v>1556</v>
      </c>
      <c r="B1031" s="15">
        <v>275</v>
      </c>
      <c r="C1031" s="16">
        <v>0</v>
      </c>
      <c r="D1031" s="29"/>
      <c r="E1031" s="30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30"/>
      <c r="AH1031" s="29"/>
      <c r="AI1031" s="29"/>
      <c r="AJ1031" s="29"/>
      <c r="AK1031" s="30"/>
      <c r="AL1031" s="29"/>
      <c r="AM1031" s="29"/>
      <c r="AN1031" s="29"/>
      <c r="AO1031" s="29"/>
      <c r="AP1031" s="29"/>
      <c r="AQ1031" s="29"/>
      <c r="AR1031" s="29"/>
      <c r="AS1031" s="29"/>
      <c r="AT1031" s="29"/>
      <c r="AU1031" s="29"/>
      <c r="AV1031" s="29"/>
      <c r="AW1031" s="29"/>
      <c r="AX1031" s="29"/>
      <c r="AY1031" s="29"/>
      <c r="AZ1031" s="29"/>
      <c r="BA1031" s="29"/>
      <c r="BB1031" s="29"/>
      <c r="BC1031" s="29"/>
      <c r="BD1031" s="29"/>
      <c r="BE1031" s="29"/>
      <c r="BF1031" s="29"/>
      <c r="BG1031" s="29"/>
      <c r="BH1031" s="29"/>
      <c r="BI1031" s="29"/>
      <c r="BJ1031" s="29"/>
      <c r="BK1031" s="29"/>
      <c r="BL1031" s="29"/>
      <c r="BM1031" s="29"/>
      <c r="BN1031" s="20">
        <f t="shared" si="135"/>
        <v>0</v>
      </c>
      <c r="BO1031" s="20">
        <f t="shared" si="136"/>
        <v>0</v>
      </c>
      <c r="BP1031" s="20">
        <f t="shared" si="137"/>
        <v>0</v>
      </c>
      <c r="BQ1031" s="135">
        <f t="shared" si="140"/>
        <v>0</v>
      </c>
      <c r="BR1031" s="56" t="s">
        <v>213</v>
      </c>
      <c r="BS1031" s="33" t="s">
        <v>214</v>
      </c>
      <c r="BT1031" s="160" t="s">
        <v>1555</v>
      </c>
      <c r="BU1031" s="35" t="s">
        <v>1514</v>
      </c>
    </row>
    <row r="1032" s="1" customFormat="1" customHeight="1" spans="1:73">
      <c r="A1032" s="162" t="s">
        <v>1557</v>
      </c>
      <c r="B1032" s="15">
        <v>275</v>
      </c>
      <c r="C1032" s="16">
        <v>300</v>
      </c>
      <c r="D1032" s="29"/>
      <c r="E1032" s="30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30"/>
      <c r="AH1032" s="29"/>
      <c r="AI1032" s="29"/>
      <c r="AJ1032" s="29"/>
      <c r="AK1032" s="30"/>
      <c r="AL1032" s="29"/>
      <c r="AM1032" s="29"/>
      <c r="AN1032" s="29"/>
      <c r="AO1032" s="29"/>
      <c r="AP1032" s="29"/>
      <c r="AQ1032" s="29"/>
      <c r="AR1032" s="29"/>
      <c r="AS1032" s="29"/>
      <c r="AT1032" s="29"/>
      <c r="AU1032" s="29"/>
      <c r="AV1032" s="29"/>
      <c r="AW1032" s="29"/>
      <c r="AX1032" s="29"/>
      <c r="AY1032" s="29"/>
      <c r="AZ1032" s="29"/>
      <c r="BA1032" s="29"/>
      <c r="BB1032" s="29"/>
      <c r="BC1032" s="29"/>
      <c r="BD1032" s="29"/>
      <c r="BE1032" s="29"/>
      <c r="BF1032" s="29"/>
      <c r="BG1032" s="29"/>
      <c r="BH1032" s="29"/>
      <c r="BI1032" s="29"/>
      <c r="BJ1032" s="29"/>
      <c r="BK1032" s="29"/>
      <c r="BL1032" s="29"/>
      <c r="BM1032" s="29"/>
      <c r="BN1032" s="20">
        <f t="shared" si="135"/>
        <v>0</v>
      </c>
      <c r="BO1032" s="20">
        <f t="shared" si="136"/>
        <v>0</v>
      </c>
      <c r="BP1032" s="20">
        <f t="shared" si="137"/>
        <v>300</v>
      </c>
      <c r="BQ1032" s="51">
        <f t="shared" si="140"/>
        <v>82.5</v>
      </c>
      <c r="BR1032" s="56" t="s">
        <v>251</v>
      </c>
      <c r="BS1032" s="33" t="s">
        <v>252</v>
      </c>
      <c r="BT1032" s="160" t="s">
        <v>1558</v>
      </c>
      <c r="BU1032" s="35" t="s">
        <v>1514</v>
      </c>
    </row>
    <row r="1033" s="1" customFormat="1" customHeight="1" spans="1:73">
      <c r="A1033" s="162" t="s">
        <v>1557</v>
      </c>
      <c r="B1033" s="15">
        <v>160</v>
      </c>
      <c r="C1033" s="16">
        <v>150</v>
      </c>
      <c r="D1033" s="29"/>
      <c r="E1033" s="30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30"/>
      <c r="AH1033" s="29"/>
      <c r="AI1033" s="29"/>
      <c r="AJ1033" s="29"/>
      <c r="AK1033" s="30"/>
      <c r="AL1033" s="29"/>
      <c r="AM1033" s="29"/>
      <c r="AN1033" s="29"/>
      <c r="AO1033" s="29"/>
      <c r="AP1033" s="29"/>
      <c r="AQ1033" s="29"/>
      <c r="AR1033" s="29"/>
      <c r="AS1033" s="29"/>
      <c r="AT1033" s="29"/>
      <c r="AU1033" s="29"/>
      <c r="AV1033" s="29"/>
      <c r="AW1033" s="29"/>
      <c r="AX1033" s="29"/>
      <c r="AY1033" s="29"/>
      <c r="AZ1033" s="29"/>
      <c r="BA1033" s="29"/>
      <c r="BB1033" s="29"/>
      <c r="BC1033" s="29"/>
      <c r="BD1033" s="29"/>
      <c r="BE1033" s="29"/>
      <c r="BF1033" s="29"/>
      <c r="BG1033" s="29"/>
      <c r="BH1033" s="29"/>
      <c r="BI1033" s="29"/>
      <c r="BJ1033" s="29"/>
      <c r="BK1033" s="29"/>
      <c r="BL1033" s="29"/>
      <c r="BM1033" s="29"/>
      <c r="BN1033" s="20">
        <f t="shared" si="135"/>
        <v>0</v>
      </c>
      <c r="BO1033" s="20">
        <f t="shared" si="136"/>
        <v>0</v>
      </c>
      <c r="BP1033" s="20">
        <f t="shared" si="137"/>
        <v>150</v>
      </c>
      <c r="BQ1033" s="51">
        <f t="shared" si="140"/>
        <v>24</v>
      </c>
      <c r="BR1033" s="56" t="s">
        <v>251</v>
      </c>
      <c r="BS1033" s="33" t="s">
        <v>252</v>
      </c>
      <c r="BT1033" s="160" t="s">
        <v>1558</v>
      </c>
      <c r="BU1033" s="35" t="s">
        <v>1514</v>
      </c>
    </row>
    <row r="1034" s="1" customFormat="1" customHeight="1" spans="1:73">
      <c r="A1034" s="15" t="s">
        <v>1559</v>
      </c>
      <c r="B1034" s="15">
        <v>130</v>
      </c>
      <c r="C1034" s="16">
        <v>190</v>
      </c>
      <c r="D1034" s="29"/>
      <c r="E1034" s="30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30"/>
      <c r="AH1034" s="29"/>
      <c r="AI1034" s="29"/>
      <c r="AJ1034" s="29"/>
      <c r="AK1034" s="30"/>
      <c r="AL1034" s="29"/>
      <c r="AM1034" s="29"/>
      <c r="AN1034" s="29"/>
      <c r="AO1034" s="29"/>
      <c r="AP1034" s="29"/>
      <c r="AQ1034" s="29"/>
      <c r="AR1034" s="29"/>
      <c r="AS1034" s="29"/>
      <c r="AT1034" s="29"/>
      <c r="AU1034" s="29"/>
      <c r="AV1034" s="29"/>
      <c r="AW1034" s="29"/>
      <c r="AX1034" s="29"/>
      <c r="AY1034" s="29"/>
      <c r="AZ1034" s="29"/>
      <c r="BA1034" s="29"/>
      <c r="BB1034" s="29"/>
      <c r="BC1034" s="29"/>
      <c r="BD1034" s="18"/>
      <c r="BE1034" s="29"/>
      <c r="BF1034" s="29"/>
      <c r="BG1034" s="29"/>
      <c r="BH1034" s="29"/>
      <c r="BI1034" s="29"/>
      <c r="BJ1034" s="29"/>
      <c r="BK1034" s="29"/>
      <c r="BL1034" s="29"/>
      <c r="BM1034" s="29"/>
      <c r="BN1034" s="20">
        <f t="shared" si="135"/>
        <v>0</v>
      </c>
      <c r="BO1034" s="20">
        <f t="shared" si="136"/>
        <v>0</v>
      </c>
      <c r="BP1034" s="20">
        <f t="shared" si="137"/>
        <v>190</v>
      </c>
      <c r="BQ1034" s="51">
        <f t="shared" si="140"/>
        <v>24.7</v>
      </c>
      <c r="BR1034" s="56" t="s">
        <v>759</v>
      </c>
      <c r="BS1034" s="91" t="s">
        <v>573</v>
      </c>
      <c r="BT1034" s="36"/>
      <c r="BU1034" s="35" t="s">
        <v>1560</v>
      </c>
    </row>
    <row r="1035" s="1" customFormat="1" customHeight="1" spans="1:73">
      <c r="A1035" s="15" t="s">
        <v>1559</v>
      </c>
      <c r="B1035" s="15">
        <v>165</v>
      </c>
      <c r="C1035" s="16">
        <v>191</v>
      </c>
      <c r="D1035" s="29"/>
      <c r="E1035" s="30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30"/>
      <c r="AH1035" s="29"/>
      <c r="AI1035" s="29"/>
      <c r="AJ1035" s="29"/>
      <c r="AK1035" s="30"/>
      <c r="AL1035" s="29"/>
      <c r="AM1035" s="29"/>
      <c r="AN1035" s="29"/>
      <c r="AO1035" s="29"/>
      <c r="AP1035" s="29"/>
      <c r="AQ1035" s="29"/>
      <c r="AR1035" s="29"/>
      <c r="AS1035" s="29"/>
      <c r="AT1035" s="29"/>
      <c r="AU1035" s="29"/>
      <c r="AV1035" s="29"/>
      <c r="AW1035" s="29"/>
      <c r="AX1035" s="29"/>
      <c r="AY1035" s="29"/>
      <c r="AZ1035" s="29"/>
      <c r="BA1035" s="29"/>
      <c r="BB1035" s="29"/>
      <c r="BC1035" s="29"/>
      <c r="BD1035" s="18"/>
      <c r="BE1035" s="29"/>
      <c r="BF1035" s="29"/>
      <c r="BG1035" s="29"/>
      <c r="BH1035" s="29"/>
      <c r="BI1035" s="29"/>
      <c r="BJ1035" s="29"/>
      <c r="BK1035" s="29"/>
      <c r="BL1035" s="29"/>
      <c r="BM1035" s="29"/>
      <c r="BN1035" s="20">
        <f t="shared" si="135"/>
        <v>0</v>
      </c>
      <c r="BO1035" s="20">
        <f t="shared" si="136"/>
        <v>0</v>
      </c>
      <c r="BP1035" s="20">
        <f t="shared" si="137"/>
        <v>191</v>
      </c>
      <c r="BQ1035" s="51">
        <f t="shared" si="140"/>
        <v>31.515</v>
      </c>
      <c r="BR1035" s="56" t="s">
        <v>759</v>
      </c>
      <c r="BS1035" s="91" t="s">
        <v>573</v>
      </c>
      <c r="BT1035" s="36"/>
      <c r="BU1035" s="35" t="s">
        <v>1560</v>
      </c>
    </row>
    <row r="1036" s="1" customFormat="1" customHeight="1" spans="1:73">
      <c r="A1036" s="15" t="s">
        <v>1559</v>
      </c>
      <c r="B1036" s="15">
        <v>210</v>
      </c>
      <c r="C1036" s="16">
        <v>167</v>
      </c>
      <c r="D1036" s="29"/>
      <c r="E1036" s="30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30"/>
      <c r="AH1036" s="29"/>
      <c r="AI1036" s="29"/>
      <c r="AJ1036" s="29"/>
      <c r="AK1036" s="30"/>
      <c r="AL1036" s="29"/>
      <c r="AM1036" s="29"/>
      <c r="AN1036" s="29"/>
      <c r="AO1036" s="29"/>
      <c r="AP1036" s="29"/>
      <c r="AQ1036" s="29"/>
      <c r="AR1036" s="29"/>
      <c r="AS1036" s="29"/>
      <c r="AT1036" s="29"/>
      <c r="AU1036" s="29"/>
      <c r="AV1036" s="29"/>
      <c r="AW1036" s="29"/>
      <c r="AX1036" s="29"/>
      <c r="AY1036" s="29"/>
      <c r="AZ1036" s="29"/>
      <c r="BA1036" s="29"/>
      <c r="BB1036" s="29"/>
      <c r="BC1036" s="29"/>
      <c r="BD1036" s="18"/>
      <c r="BE1036" s="29"/>
      <c r="BF1036" s="29"/>
      <c r="BG1036" s="29"/>
      <c r="BH1036" s="29"/>
      <c r="BI1036" s="29"/>
      <c r="BJ1036" s="29"/>
      <c r="BK1036" s="29"/>
      <c r="BL1036" s="29"/>
      <c r="BM1036" s="29"/>
      <c r="BN1036" s="20">
        <f t="shared" si="135"/>
        <v>0</v>
      </c>
      <c r="BO1036" s="20">
        <f t="shared" si="136"/>
        <v>0</v>
      </c>
      <c r="BP1036" s="20">
        <f t="shared" si="137"/>
        <v>167</v>
      </c>
      <c r="BQ1036" s="51">
        <f t="shared" si="140"/>
        <v>35.07</v>
      </c>
      <c r="BR1036" s="56" t="s">
        <v>759</v>
      </c>
      <c r="BS1036" s="91" t="s">
        <v>573</v>
      </c>
      <c r="BT1036" s="36"/>
      <c r="BU1036" s="35" t="s">
        <v>1560</v>
      </c>
    </row>
    <row r="1037" s="1" customFormat="1" customHeight="1" spans="1:73">
      <c r="A1037" s="15" t="s">
        <v>1559</v>
      </c>
      <c r="B1037" s="15">
        <v>220</v>
      </c>
      <c r="C1037" s="16">
        <v>150</v>
      </c>
      <c r="D1037" s="29"/>
      <c r="E1037" s="30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30"/>
      <c r="AH1037" s="29"/>
      <c r="AI1037" s="29"/>
      <c r="AJ1037" s="29"/>
      <c r="AK1037" s="30"/>
      <c r="AL1037" s="29"/>
      <c r="AM1037" s="29"/>
      <c r="AN1037" s="29"/>
      <c r="AO1037" s="29"/>
      <c r="AP1037" s="29"/>
      <c r="AQ1037" s="29"/>
      <c r="AR1037" s="29"/>
      <c r="AS1037" s="29"/>
      <c r="AT1037" s="29"/>
      <c r="AU1037" s="29"/>
      <c r="AV1037" s="29"/>
      <c r="AW1037" s="29"/>
      <c r="AX1037" s="29"/>
      <c r="AY1037" s="29"/>
      <c r="AZ1037" s="29"/>
      <c r="BA1037" s="29"/>
      <c r="BB1037" s="29"/>
      <c r="BC1037" s="29"/>
      <c r="BD1037" s="18"/>
      <c r="BE1037" s="29"/>
      <c r="BF1037" s="29"/>
      <c r="BG1037" s="29"/>
      <c r="BH1037" s="29"/>
      <c r="BI1037" s="29"/>
      <c r="BJ1037" s="29"/>
      <c r="BK1037" s="29"/>
      <c r="BL1037" s="29"/>
      <c r="BM1037" s="29"/>
      <c r="BN1037" s="20">
        <f t="shared" si="135"/>
        <v>0</v>
      </c>
      <c r="BO1037" s="20">
        <f t="shared" si="136"/>
        <v>0</v>
      </c>
      <c r="BP1037" s="20">
        <f t="shared" si="137"/>
        <v>150</v>
      </c>
      <c r="BQ1037" s="51">
        <f t="shared" si="140"/>
        <v>33</v>
      </c>
      <c r="BR1037" s="56" t="s">
        <v>759</v>
      </c>
      <c r="BS1037" s="91" t="s">
        <v>573</v>
      </c>
      <c r="BT1037" s="36"/>
      <c r="BU1037" s="35" t="s">
        <v>1560</v>
      </c>
    </row>
    <row r="1038" s="1" customFormat="1" customHeight="1" spans="1:73">
      <c r="A1038" s="15" t="s">
        <v>1559</v>
      </c>
      <c r="B1038" s="15">
        <v>265</v>
      </c>
      <c r="C1038" s="16">
        <v>160</v>
      </c>
      <c r="D1038" s="29"/>
      <c r="E1038" s="30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30"/>
      <c r="AH1038" s="29"/>
      <c r="AI1038" s="29"/>
      <c r="AJ1038" s="29"/>
      <c r="AK1038" s="30"/>
      <c r="AL1038" s="29"/>
      <c r="AM1038" s="30"/>
      <c r="AN1038" s="29"/>
      <c r="AO1038" s="29"/>
      <c r="AP1038" s="29"/>
      <c r="AQ1038" s="29"/>
      <c r="AR1038" s="29"/>
      <c r="AS1038" s="29"/>
      <c r="AT1038" s="29"/>
      <c r="AU1038" s="29"/>
      <c r="AV1038" s="29"/>
      <c r="AW1038" s="29"/>
      <c r="AX1038" s="29"/>
      <c r="AY1038" s="29"/>
      <c r="AZ1038" s="29"/>
      <c r="BA1038" s="29"/>
      <c r="BB1038" s="29"/>
      <c r="BC1038" s="29"/>
      <c r="BD1038" s="18"/>
      <c r="BE1038" s="29"/>
      <c r="BF1038" s="29"/>
      <c r="BG1038" s="29"/>
      <c r="BH1038" s="29"/>
      <c r="BI1038" s="29"/>
      <c r="BJ1038" s="29"/>
      <c r="BK1038" s="29"/>
      <c r="BL1038" s="29"/>
      <c r="BM1038" s="29"/>
      <c r="BN1038" s="20">
        <f t="shared" si="135"/>
        <v>0</v>
      </c>
      <c r="BO1038" s="20">
        <f t="shared" si="136"/>
        <v>0</v>
      </c>
      <c r="BP1038" s="20">
        <f t="shared" si="137"/>
        <v>160</v>
      </c>
      <c r="BQ1038" s="51">
        <f t="shared" si="140"/>
        <v>42.4</v>
      </c>
      <c r="BR1038" s="56" t="s">
        <v>759</v>
      </c>
      <c r="BS1038" s="91" t="s">
        <v>573</v>
      </c>
      <c r="BT1038" s="36"/>
      <c r="BU1038" s="35" t="s">
        <v>1560</v>
      </c>
    </row>
    <row r="1039" s="1" customFormat="1" customHeight="1" spans="1:73">
      <c r="A1039" s="37" t="s">
        <v>1561</v>
      </c>
      <c r="B1039" s="15">
        <v>166</v>
      </c>
      <c r="C1039" s="16">
        <v>229</v>
      </c>
      <c r="D1039" s="29"/>
      <c r="E1039" s="30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30"/>
      <c r="AH1039" s="29"/>
      <c r="AI1039" s="29"/>
      <c r="AJ1039" s="29"/>
      <c r="AK1039" s="30"/>
      <c r="AL1039" s="29"/>
      <c r="AM1039" s="29"/>
      <c r="AN1039" s="29"/>
      <c r="AO1039" s="29"/>
      <c r="AP1039" s="29"/>
      <c r="AQ1039" s="29"/>
      <c r="AR1039" s="29"/>
      <c r="AS1039" s="29"/>
      <c r="AT1039" s="29"/>
      <c r="AU1039" s="29"/>
      <c r="AV1039" s="29"/>
      <c r="AW1039" s="29"/>
      <c r="AX1039" s="29"/>
      <c r="AY1039" s="29"/>
      <c r="AZ1039" s="29"/>
      <c r="BA1039" s="29"/>
      <c r="BB1039" s="29"/>
      <c r="BC1039" s="29"/>
      <c r="BD1039" s="18"/>
      <c r="BE1039" s="29"/>
      <c r="BF1039" s="29"/>
      <c r="BG1039" s="29"/>
      <c r="BH1039" s="29"/>
      <c r="BI1039" s="29"/>
      <c r="BJ1039" s="29"/>
      <c r="BK1039" s="29"/>
      <c r="BL1039" s="29"/>
      <c r="BM1039" s="29"/>
      <c r="BN1039" s="20">
        <f t="shared" si="135"/>
        <v>0</v>
      </c>
      <c r="BO1039" s="20">
        <f t="shared" si="136"/>
        <v>0</v>
      </c>
      <c r="BP1039" s="20">
        <f t="shared" si="137"/>
        <v>229</v>
      </c>
      <c r="BQ1039" s="51">
        <f t="shared" si="140"/>
        <v>38.014</v>
      </c>
      <c r="BR1039" s="56" t="s">
        <v>1562</v>
      </c>
      <c r="BS1039" s="91" t="s">
        <v>1563</v>
      </c>
      <c r="BT1039" s="36" t="s">
        <v>1564</v>
      </c>
      <c r="BU1039" s="35" t="s">
        <v>1560</v>
      </c>
    </row>
    <row r="1040" s="1" customFormat="1" customHeight="1" spans="1:73">
      <c r="A1040" s="15" t="s">
        <v>1565</v>
      </c>
      <c r="B1040" s="15">
        <v>160</v>
      </c>
      <c r="C1040" s="29">
        <v>1597</v>
      </c>
      <c r="D1040" s="29"/>
      <c r="E1040" s="30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30"/>
      <c r="AH1040" s="29"/>
      <c r="AI1040" s="29"/>
      <c r="AJ1040" s="29"/>
      <c r="AK1040" s="30"/>
      <c r="AL1040" s="29"/>
      <c r="AM1040" s="29"/>
      <c r="AN1040" s="29"/>
      <c r="AO1040" s="29"/>
      <c r="AP1040" s="29"/>
      <c r="AQ1040" s="29"/>
      <c r="AR1040" s="29"/>
      <c r="AS1040" s="29"/>
      <c r="AT1040" s="29"/>
      <c r="AU1040" s="29"/>
      <c r="AV1040" s="29"/>
      <c r="AW1040" s="29"/>
      <c r="AX1040" s="29"/>
      <c r="AY1040" s="29"/>
      <c r="AZ1040" s="29"/>
      <c r="BA1040" s="29"/>
      <c r="BB1040" s="29"/>
      <c r="BC1040" s="29"/>
      <c r="BD1040" s="29"/>
      <c r="BE1040" s="29"/>
      <c r="BF1040" s="29"/>
      <c r="BG1040" s="29"/>
      <c r="BH1040" s="29"/>
      <c r="BI1040" s="29"/>
      <c r="BJ1040" s="29"/>
      <c r="BK1040" s="29"/>
      <c r="BL1040" s="29"/>
      <c r="BM1040" s="29"/>
      <c r="BN1040" s="20">
        <f t="shared" si="135"/>
        <v>0</v>
      </c>
      <c r="BO1040" s="20">
        <f t="shared" si="136"/>
        <v>0</v>
      </c>
      <c r="BP1040" s="20">
        <f t="shared" si="137"/>
        <v>1597</v>
      </c>
      <c r="BQ1040" s="51">
        <f t="shared" si="140"/>
        <v>255.52</v>
      </c>
      <c r="BR1040" s="68" t="s">
        <v>1566</v>
      </c>
      <c r="BS1040" s="33" t="s">
        <v>1528</v>
      </c>
      <c r="BT1040" s="111" t="s">
        <v>1567</v>
      </c>
      <c r="BU1040" s="35" t="s">
        <v>1560</v>
      </c>
    </row>
    <row r="1041" s="1" customFormat="1" customHeight="1" spans="1:74">
      <c r="A1041" s="15" t="s">
        <v>1568</v>
      </c>
      <c r="B1041" s="15">
        <v>185</v>
      </c>
      <c r="C1041" s="29">
        <v>100</v>
      </c>
      <c r="D1041" s="29"/>
      <c r="E1041" s="30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30"/>
      <c r="AH1041" s="29"/>
      <c r="AI1041" s="29"/>
      <c r="AJ1041" s="29"/>
      <c r="AK1041" s="30"/>
      <c r="AL1041" s="29"/>
      <c r="AM1041" s="29"/>
      <c r="AN1041" s="29"/>
      <c r="AO1041" s="29"/>
      <c r="AP1041" s="29"/>
      <c r="AQ1041" s="29"/>
      <c r="AR1041" s="29"/>
      <c r="AS1041" s="29"/>
      <c r="AT1041" s="29"/>
      <c r="AU1041" s="29"/>
      <c r="AV1041" s="29"/>
      <c r="AW1041" s="29"/>
      <c r="AX1041" s="29"/>
      <c r="AY1041" s="29"/>
      <c r="AZ1041" s="29"/>
      <c r="BA1041" s="29"/>
      <c r="BB1041" s="29"/>
      <c r="BC1041" s="29"/>
      <c r="BD1041" s="29"/>
      <c r="BE1041" s="29"/>
      <c r="BF1041" s="29"/>
      <c r="BG1041" s="29"/>
      <c r="BH1041" s="29"/>
      <c r="BI1041" s="29"/>
      <c r="BJ1041" s="29"/>
      <c r="BK1041" s="29"/>
      <c r="BL1041" s="29"/>
      <c r="BM1041" s="29"/>
      <c r="BN1041" s="20">
        <f t="shared" si="135"/>
        <v>0</v>
      </c>
      <c r="BO1041" s="20">
        <f t="shared" si="136"/>
        <v>0</v>
      </c>
      <c r="BP1041" s="20">
        <f t="shared" si="137"/>
        <v>100</v>
      </c>
      <c r="BQ1041" s="51">
        <f t="shared" si="140"/>
        <v>18.5</v>
      </c>
      <c r="BR1041" s="68" t="s">
        <v>1569</v>
      </c>
      <c r="BS1041" s="91" t="s">
        <v>1570</v>
      </c>
      <c r="BT1041" s="111" t="s">
        <v>1571</v>
      </c>
      <c r="BU1041" s="35" t="s">
        <v>1560</v>
      </c>
    </row>
    <row r="1042" s="1" customFormat="1" customHeight="1" spans="1:74">
      <c r="A1042" s="53" t="s">
        <v>1572</v>
      </c>
      <c r="B1042" s="15"/>
      <c r="C1042" s="16"/>
      <c r="D1042" s="29"/>
      <c r="E1042" s="30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30"/>
      <c r="AH1042" s="29"/>
      <c r="AI1042" s="29"/>
      <c r="AJ1042" s="29"/>
      <c r="AK1042" s="30"/>
      <c r="AL1042" s="29"/>
      <c r="AM1042" s="29"/>
      <c r="AN1042" s="29"/>
      <c r="AO1042" s="29"/>
      <c r="AP1042" s="29"/>
      <c r="AQ1042" s="29"/>
      <c r="AR1042" s="29"/>
      <c r="AS1042" s="29"/>
      <c r="AT1042" s="29"/>
      <c r="AU1042" s="29"/>
      <c r="AV1042" s="29"/>
      <c r="AW1042" s="29"/>
      <c r="AX1042" s="29"/>
      <c r="AY1042" s="29"/>
      <c r="AZ1042" s="29"/>
      <c r="BA1042" s="29"/>
      <c r="BB1042" s="29"/>
      <c r="BC1042" s="29"/>
      <c r="BD1042" s="29"/>
      <c r="BE1042" s="29"/>
      <c r="BF1042" s="29"/>
      <c r="BG1042" s="29"/>
      <c r="BH1042" s="29"/>
      <c r="BI1042" s="29"/>
      <c r="BJ1042" s="29"/>
      <c r="BK1042" s="29"/>
      <c r="BL1042" s="29"/>
      <c r="BM1042" s="29"/>
      <c r="BN1042" s="20">
        <f t="shared" si="135"/>
        <v>0</v>
      </c>
      <c r="BO1042" s="20">
        <f t="shared" si="136"/>
        <v>0</v>
      </c>
      <c r="BP1042" s="20">
        <f t="shared" si="137"/>
        <v>0</v>
      </c>
      <c r="BQ1042" s="51"/>
      <c r="BR1042" s="56"/>
      <c r="BS1042" s="33"/>
      <c r="BT1042" s="36"/>
      <c r="BU1042" s="112"/>
    </row>
    <row r="1043" s="1" customFormat="1" customHeight="1" spans="1:74">
      <c r="A1043" s="15" t="s">
        <v>1573</v>
      </c>
      <c r="B1043" s="15">
        <v>250</v>
      </c>
      <c r="C1043" s="16">
        <v>4</v>
      </c>
      <c r="D1043" s="29"/>
      <c r="E1043" s="30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30"/>
      <c r="AH1043" s="29"/>
      <c r="AI1043" s="29"/>
      <c r="AJ1043" s="29"/>
      <c r="AK1043" s="30"/>
      <c r="AL1043" s="29"/>
      <c r="AM1043" s="29"/>
      <c r="AN1043" s="29"/>
      <c r="AO1043" s="29"/>
      <c r="AP1043" s="29"/>
      <c r="AQ1043" s="29"/>
      <c r="AR1043" s="29"/>
      <c r="AS1043" s="29"/>
      <c r="AT1043" s="29"/>
      <c r="AU1043" s="29"/>
      <c r="AV1043" s="29"/>
      <c r="AW1043" s="29"/>
      <c r="AX1043" s="29"/>
      <c r="AY1043" s="29"/>
      <c r="AZ1043" s="29"/>
      <c r="BA1043" s="29"/>
      <c r="BB1043" s="29"/>
      <c r="BC1043" s="29"/>
      <c r="BD1043" s="29"/>
      <c r="BE1043" s="29"/>
      <c r="BF1043" s="29"/>
      <c r="BG1043" s="29"/>
      <c r="BH1043" s="29"/>
      <c r="BI1043" s="29"/>
      <c r="BJ1043" s="29"/>
      <c r="BK1043" s="29"/>
      <c r="BL1043" s="29"/>
      <c r="BM1043" s="29"/>
      <c r="BN1043" s="20">
        <f t="shared" si="135"/>
        <v>0</v>
      </c>
      <c r="BO1043" s="20">
        <f t="shared" si="136"/>
        <v>0</v>
      </c>
      <c r="BP1043" s="20">
        <f t="shared" si="137"/>
        <v>4</v>
      </c>
      <c r="BQ1043" s="51">
        <f t="shared" ref="BQ1043:BQ1053" si="141">B1043*BP1043/1000</f>
        <v>1</v>
      </c>
      <c r="BR1043" s="56" t="s">
        <v>1061</v>
      </c>
      <c r="BS1043" s="33" t="s">
        <v>1528</v>
      </c>
      <c r="BT1043" s="36" t="s">
        <v>1574</v>
      </c>
      <c r="BU1043" s="35" t="s">
        <v>1575</v>
      </c>
    </row>
    <row r="1044" s="1" customFormat="1" customHeight="1" spans="1:74">
      <c r="A1044" s="15" t="s">
        <v>1573</v>
      </c>
      <c r="B1044" s="15">
        <v>165</v>
      </c>
      <c r="C1044" s="16">
        <v>113</v>
      </c>
      <c r="D1044" s="29"/>
      <c r="E1044" s="30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30"/>
      <c r="AH1044" s="29"/>
      <c r="AI1044" s="29"/>
      <c r="AJ1044" s="29"/>
      <c r="AK1044" s="30"/>
      <c r="AL1044" s="29"/>
      <c r="AM1044" s="29"/>
      <c r="AN1044" s="29"/>
      <c r="AO1044" s="29"/>
      <c r="AP1044" s="29"/>
      <c r="AQ1044" s="29"/>
      <c r="AR1044" s="29"/>
      <c r="AS1044" s="29"/>
      <c r="AT1044" s="29"/>
      <c r="AU1044" s="29"/>
      <c r="AV1044" s="29"/>
      <c r="AW1044" s="29"/>
      <c r="AX1044" s="29"/>
      <c r="AY1044" s="29"/>
      <c r="AZ1044" s="29"/>
      <c r="BA1044" s="29"/>
      <c r="BB1044" s="29"/>
      <c r="BC1044" s="29"/>
      <c r="BD1044" s="29"/>
      <c r="BE1044" s="29"/>
      <c r="BF1044" s="29"/>
      <c r="BG1044" s="29"/>
      <c r="BH1044" s="29"/>
      <c r="BI1044" s="29"/>
      <c r="BJ1044" s="29"/>
      <c r="BK1044" s="29"/>
      <c r="BL1044" s="29"/>
      <c r="BM1044" s="29"/>
      <c r="BN1044" s="20">
        <f t="shared" si="135"/>
        <v>0</v>
      </c>
      <c r="BO1044" s="20">
        <f t="shared" si="136"/>
        <v>0</v>
      </c>
      <c r="BP1044" s="20">
        <f t="shared" si="137"/>
        <v>113</v>
      </c>
      <c r="BQ1044" s="51">
        <f t="shared" si="141"/>
        <v>18.645</v>
      </c>
      <c r="BR1044" s="56" t="s">
        <v>1344</v>
      </c>
      <c r="BS1044" s="33" t="s">
        <v>1576</v>
      </c>
      <c r="BT1044" s="36" t="s">
        <v>1577</v>
      </c>
      <c r="BU1044" s="35" t="s">
        <v>1575</v>
      </c>
    </row>
    <row r="1045" s="1" customFormat="1" customHeight="1" spans="1:74">
      <c r="A1045" s="15" t="s">
        <v>1573</v>
      </c>
      <c r="B1045" s="15">
        <v>250</v>
      </c>
      <c r="C1045" s="16">
        <v>4</v>
      </c>
      <c r="D1045" s="29"/>
      <c r="E1045" s="30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30"/>
      <c r="AH1045" s="29"/>
      <c r="AI1045" s="29"/>
      <c r="AJ1045" s="29"/>
      <c r="AK1045" s="30"/>
      <c r="AL1045" s="29"/>
      <c r="AM1045" s="29"/>
      <c r="AN1045" s="29"/>
      <c r="AO1045" s="29"/>
      <c r="AP1045" s="29"/>
      <c r="AQ1045" s="29"/>
      <c r="AR1045" s="29"/>
      <c r="AS1045" s="29"/>
      <c r="AT1045" s="29"/>
      <c r="AU1045" s="29"/>
      <c r="AV1045" s="29"/>
      <c r="AW1045" s="29"/>
      <c r="AX1045" s="29"/>
      <c r="AY1045" s="29"/>
      <c r="AZ1045" s="29"/>
      <c r="BA1045" s="29"/>
      <c r="BB1045" s="29"/>
      <c r="BC1045" s="29"/>
      <c r="BD1045" s="29"/>
      <c r="BE1045" s="29"/>
      <c r="BF1045" s="29"/>
      <c r="BG1045" s="29"/>
      <c r="BH1045" s="29"/>
      <c r="BI1045" s="29"/>
      <c r="BJ1045" s="29"/>
      <c r="BK1045" s="29"/>
      <c r="BL1045" s="29"/>
      <c r="BM1045" s="29"/>
      <c r="BN1045" s="20">
        <f t="shared" si="135"/>
        <v>0</v>
      </c>
      <c r="BO1045" s="20">
        <f t="shared" si="136"/>
        <v>0</v>
      </c>
      <c r="BP1045" s="20">
        <f t="shared" si="137"/>
        <v>4</v>
      </c>
      <c r="BQ1045" s="51">
        <f t="shared" si="141"/>
        <v>1</v>
      </c>
      <c r="BR1045" s="56" t="s">
        <v>1061</v>
      </c>
      <c r="BS1045" s="33" t="s">
        <v>1528</v>
      </c>
      <c r="BT1045" s="36" t="s">
        <v>1574</v>
      </c>
      <c r="BU1045" s="35" t="s">
        <v>1575</v>
      </c>
    </row>
    <row r="1046" s="1" customFormat="1" customHeight="1" spans="1:74">
      <c r="A1046" s="15" t="s">
        <v>1578</v>
      </c>
      <c r="B1046" s="15">
        <v>200</v>
      </c>
      <c r="C1046" s="16">
        <v>10</v>
      </c>
      <c r="D1046" s="29"/>
      <c r="E1046" s="30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30"/>
      <c r="AH1046" s="29"/>
      <c r="AI1046" s="29"/>
      <c r="AJ1046" s="29"/>
      <c r="AK1046" s="30"/>
      <c r="AL1046" s="29"/>
      <c r="AM1046" s="29"/>
      <c r="AN1046" s="29"/>
      <c r="AO1046" s="29"/>
      <c r="AP1046" s="29"/>
      <c r="AQ1046" s="29"/>
      <c r="AR1046" s="29"/>
      <c r="AS1046" s="29"/>
      <c r="AT1046" s="29"/>
      <c r="AU1046" s="29"/>
      <c r="AV1046" s="29"/>
      <c r="AW1046" s="29"/>
      <c r="AX1046" s="29"/>
      <c r="AY1046" s="29"/>
      <c r="AZ1046" s="29"/>
      <c r="BA1046" s="29"/>
      <c r="BB1046" s="29"/>
      <c r="BC1046" s="29"/>
      <c r="BD1046" s="29"/>
      <c r="BE1046" s="29"/>
      <c r="BF1046" s="29"/>
      <c r="BG1046" s="29"/>
      <c r="BH1046" s="29"/>
      <c r="BI1046" s="29"/>
      <c r="BJ1046" s="29"/>
      <c r="BK1046" s="29"/>
      <c r="BL1046" s="29"/>
      <c r="BM1046" s="29"/>
      <c r="BN1046" s="20">
        <f t="shared" si="135"/>
        <v>0</v>
      </c>
      <c r="BO1046" s="20">
        <f t="shared" si="136"/>
        <v>0</v>
      </c>
      <c r="BP1046" s="20">
        <f t="shared" si="137"/>
        <v>10</v>
      </c>
      <c r="BQ1046" s="51">
        <f t="shared" si="141"/>
        <v>2</v>
      </c>
      <c r="BR1046" s="56" t="s">
        <v>1215</v>
      </c>
      <c r="BS1046" s="33" t="s">
        <v>1579</v>
      </c>
      <c r="BT1046" s="36" t="s">
        <v>1580</v>
      </c>
      <c r="BU1046" s="35" t="s">
        <v>1575</v>
      </c>
    </row>
    <row r="1047" s="1" customFormat="1" customHeight="1" spans="1:74">
      <c r="A1047" s="15" t="s">
        <v>1581</v>
      </c>
      <c r="B1047" s="15">
        <v>200</v>
      </c>
      <c r="C1047" s="16">
        <v>20</v>
      </c>
      <c r="D1047" s="29"/>
      <c r="E1047" s="30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30"/>
      <c r="AH1047" s="29"/>
      <c r="AI1047" s="29"/>
      <c r="AJ1047" s="29"/>
      <c r="AK1047" s="30"/>
      <c r="AL1047" s="29"/>
      <c r="AM1047" s="29"/>
      <c r="AN1047" s="29"/>
      <c r="AO1047" s="29"/>
      <c r="AP1047" s="29"/>
      <c r="AQ1047" s="29"/>
      <c r="AR1047" s="29"/>
      <c r="AS1047" s="29"/>
      <c r="AT1047" s="29"/>
      <c r="AU1047" s="29"/>
      <c r="AV1047" s="29"/>
      <c r="AW1047" s="29"/>
      <c r="AX1047" s="29"/>
      <c r="AY1047" s="29"/>
      <c r="AZ1047" s="29"/>
      <c r="BA1047" s="29"/>
      <c r="BB1047" s="29"/>
      <c r="BC1047" s="29"/>
      <c r="BD1047" s="29"/>
      <c r="BE1047" s="29"/>
      <c r="BF1047" s="29"/>
      <c r="BG1047" s="29"/>
      <c r="BH1047" s="29"/>
      <c r="BI1047" s="29"/>
      <c r="BJ1047" s="29"/>
      <c r="BK1047" s="29"/>
      <c r="BL1047" s="29"/>
      <c r="BM1047" s="29"/>
      <c r="BN1047" s="20">
        <f t="shared" si="135"/>
        <v>0</v>
      </c>
      <c r="BO1047" s="20">
        <f t="shared" si="136"/>
        <v>0</v>
      </c>
      <c r="BP1047" s="20">
        <f t="shared" si="137"/>
        <v>20</v>
      </c>
      <c r="BQ1047" s="51">
        <f t="shared" si="141"/>
        <v>4</v>
      </c>
      <c r="BR1047" s="56" t="s">
        <v>1411</v>
      </c>
      <c r="BS1047" s="33" t="s">
        <v>1528</v>
      </c>
      <c r="BT1047" s="36"/>
      <c r="BU1047" s="35" t="s">
        <v>1575</v>
      </c>
    </row>
    <row r="1048" s="1" customFormat="1" customHeight="1" spans="1:74">
      <c r="A1048" s="15" t="s">
        <v>1582</v>
      </c>
      <c r="B1048" s="15">
        <v>280</v>
      </c>
      <c r="C1048" s="16">
        <v>61</v>
      </c>
      <c r="D1048" s="29"/>
      <c r="E1048" s="30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30"/>
      <c r="AH1048" s="29"/>
      <c r="AI1048" s="29"/>
      <c r="AJ1048" s="29"/>
      <c r="AK1048" s="30"/>
      <c r="AL1048" s="29"/>
      <c r="AM1048" s="29"/>
      <c r="AN1048" s="29"/>
      <c r="AO1048" s="29"/>
      <c r="AP1048" s="29"/>
      <c r="AQ1048" s="29"/>
      <c r="AR1048" s="29"/>
      <c r="AS1048" s="29"/>
      <c r="AT1048" s="29"/>
      <c r="AU1048" s="29"/>
      <c r="AV1048" s="29"/>
      <c r="AW1048" s="29"/>
      <c r="AX1048" s="29"/>
      <c r="AY1048" s="29"/>
      <c r="AZ1048" s="29"/>
      <c r="BA1048" s="29"/>
      <c r="BB1048" s="29"/>
      <c r="BC1048" s="29"/>
      <c r="BD1048" s="29"/>
      <c r="BE1048" s="29"/>
      <c r="BF1048" s="29"/>
      <c r="BG1048" s="29"/>
      <c r="BH1048" s="29"/>
      <c r="BI1048" s="29"/>
      <c r="BJ1048" s="29"/>
      <c r="BK1048" s="29"/>
      <c r="BL1048" s="29"/>
      <c r="BM1048" s="29"/>
      <c r="BN1048" s="20">
        <f t="shared" si="135"/>
        <v>0</v>
      </c>
      <c r="BO1048" s="20">
        <f t="shared" si="136"/>
        <v>0</v>
      </c>
      <c r="BP1048" s="20">
        <f t="shared" si="137"/>
        <v>61</v>
      </c>
      <c r="BQ1048" s="51">
        <f t="shared" si="141"/>
        <v>17.08</v>
      </c>
      <c r="BR1048" s="56" t="s">
        <v>184</v>
      </c>
      <c r="BS1048" s="33" t="s">
        <v>1583</v>
      </c>
      <c r="BT1048" s="36"/>
      <c r="BU1048" s="35"/>
    </row>
    <row r="1049" s="1" customFormat="1" customHeight="1" spans="1:74">
      <c r="A1049" s="15" t="s">
        <v>1584</v>
      </c>
      <c r="B1049" s="15">
        <v>220</v>
      </c>
      <c r="C1049" s="16">
        <v>4</v>
      </c>
      <c r="D1049" s="29"/>
      <c r="E1049" s="30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30"/>
      <c r="AH1049" s="29"/>
      <c r="AI1049" s="29"/>
      <c r="AJ1049" s="29"/>
      <c r="AK1049" s="30"/>
      <c r="AL1049" s="29"/>
      <c r="AM1049" s="29"/>
      <c r="AN1049" s="29"/>
      <c r="AO1049" s="29"/>
      <c r="AP1049" s="29"/>
      <c r="AQ1049" s="29"/>
      <c r="AR1049" s="29"/>
      <c r="AS1049" s="29"/>
      <c r="AT1049" s="29"/>
      <c r="AU1049" s="29"/>
      <c r="AV1049" s="29"/>
      <c r="AW1049" s="29"/>
      <c r="AX1049" s="29"/>
      <c r="AY1049" s="29"/>
      <c r="AZ1049" s="29"/>
      <c r="BA1049" s="29"/>
      <c r="BB1049" s="29"/>
      <c r="BC1049" s="29"/>
      <c r="BD1049" s="29"/>
      <c r="BE1049" s="29"/>
      <c r="BF1049" s="29"/>
      <c r="BG1049" s="29"/>
      <c r="BH1049" s="29"/>
      <c r="BI1049" s="29"/>
      <c r="BJ1049" s="29"/>
      <c r="BK1049" s="29"/>
      <c r="BL1049" s="29"/>
      <c r="BM1049" s="29"/>
      <c r="BN1049" s="20">
        <f t="shared" si="135"/>
        <v>0</v>
      </c>
      <c r="BO1049" s="20">
        <f t="shared" si="136"/>
        <v>0</v>
      </c>
      <c r="BP1049" s="20">
        <f t="shared" si="137"/>
        <v>4</v>
      </c>
      <c r="BQ1049" s="51">
        <f t="shared" si="141"/>
        <v>0.88</v>
      </c>
      <c r="BR1049" s="56" t="s">
        <v>470</v>
      </c>
      <c r="BS1049" s="33" t="s">
        <v>509</v>
      </c>
      <c r="BT1049" s="36" t="s">
        <v>1585</v>
      </c>
      <c r="BU1049" s="35" t="s">
        <v>1575</v>
      </c>
    </row>
    <row r="1050" s="1" customFormat="1" customHeight="1" spans="1:74">
      <c r="A1050" s="15" t="s">
        <v>1586</v>
      </c>
      <c r="B1050" s="15">
        <v>280</v>
      </c>
      <c r="C1050" s="16">
        <v>43</v>
      </c>
      <c r="D1050" s="29"/>
      <c r="E1050" s="30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30"/>
      <c r="AH1050" s="29"/>
      <c r="AI1050" s="29"/>
      <c r="AJ1050" s="29"/>
      <c r="AK1050" s="30"/>
      <c r="AL1050" s="29"/>
      <c r="AM1050" s="29"/>
      <c r="AN1050" s="29"/>
      <c r="AO1050" s="29"/>
      <c r="AP1050" s="29"/>
      <c r="AQ1050" s="29"/>
      <c r="AR1050" s="29"/>
      <c r="AS1050" s="29"/>
      <c r="AT1050" s="29"/>
      <c r="AU1050" s="29"/>
      <c r="AV1050" s="29"/>
      <c r="AW1050" s="29"/>
      <c r="AX1050" s="29"/>
      <c r="AY1050" s="29"/>
      <c r="AZ1050" s="29"/>
      <c r="BA1050" s="29"/>
      <c r="BB1050" s="29"/>
      <c r="BC1050" s="29"/>
      <c r="BD1050" s="29"/>
      <c r="BE1050" s="29"/>
      <c r="BF1050" s="29"/>
      <c r="BG1050" s="29"/>
      <c r="BH1050" s="29"/>
      <c r="BI1050" s="29"/>
      <c r="BJ1050" s="29"/>
      <c r="BK1050" s="29"/>
      <c r="BL1050" s="29"/>
      <c r="BM1050" s="29"/>
      <c r="BN1050" s="20">
        <f t="shared" si="135"/>
        <v>0</v>
      </c>
      <c r="BO1050" s="20">
        <f t="shared" si="136"/>
        <v>0</v>
      </c>
      <c r="BP1050" s="20">
        <f t="shared" si="137"/>
        <v>43</v>
      </c>
      <c r="BQ1050" s="51">
        <f t="shared" si="141"/>
        <v>12.04</v>
      </c>
      <c r="BR1050" s="56" t="s">
        <v>1587</v>
      </c>
      <c r="BS1050" s="33" t="s">
        <v>1588</v>
      </c>
      <c r="BT1050" s="36"/>
      <c r="BU1050" s="35" t="s">
        <v>1575</v>
      </c>
    </row>
    <row r="1051" s="1" customFormat="1" customHeight="1" spans="1:74">
      <c r="A1051" s="37" t="s">
        <v>1589</v>
      </c>
      <c r="B1051" s="15">
        <v>150</v>
      </c>
      <c r="C1051" s="16">
        <v>10</v>
      </c>
      <c r="D1051" s="29"/>
      <c r="E1051" s="30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30"/>
      <c r="AH1051" s="29"/>
      <c r="AI1051" s="29"/>
      <c r="AJ1051" s="29"/>
      <c r="AK1051" s="30"/>
      <c r="AL1051" s="29"/>
      <c r="AM1051" s="29"/>
      <c r="AN1051" s="29"/>
      <c r="AO1051" s="29"/>
      <c r="AP1051" s="29"/>
      <c r="AQ1051" s="29"/>
      <c r="AR1051" s="29"/>
      <c r="AS1051" s="29"/>
      <c r="AT1051" s="29"/>
      <c r="AU1051" s="29"/>
      <c r="AV1051" s="29"/>
      <c r="AW1051" s="29"/>
      <c r="AX1051" s="29"/>
      <c r="AY1051" s="29"/>
      <c r="AZ1051" s="29"/>
      <c r="BA1051" s="29"/>
      <c r="BB1051" s="29"/>
      <c r="BC1051" s="29"/>
      <c r="BD1051" s="29"/>
      <c r="BE1051" s="29"/>
      <c r="BF1051" s="29"/>
      <c r="BG1051" s="29"/>
      <c r="BH1051" s="29"/>
      <c r="BI1051" s="29"/>
      <c r="BJ1051" s="29"/>
      <c r="BK1051" s="29"/>
      <c r="BL1051" s="29"/>
      <c r="BM1051" s="29"/>
      <c r="BN1051" s="20">
        <f t="shared" si="135"/>
        <v>0</v>
      </c>
      <c r="BO1051" s="20">
        <f t="shared" si="136"/>
        <v>0</v>
      </c>
      <c r="BP1051" s="20">
        <f t="shared" si="137"/>
        <v>10</v>
      </c>
      <c r="BQ1051" s="51">
        <f t="shared" si="141"/>
        <v>1.5</v>
      </c>
      <c r="BR1051" s="56" t="s">
        <v>1590</v>
      </c>
      <c r="BS1051" s="33" t="s">
        <v>1591</v>
      </c>
      <c r="BT1051" s="36" t="s">
        <v>1592</v>
      </c>
      <c r="BU1051" s="35" t="s">
        <v>1575</v>
      </c>
    </row>
    <row r="1052" s="1" customFormat="1" customHeight="1" spans="1:74">
      <c r="A1052" s="37" t="s">
        <v>1593</v>
      </c>
      <c r="B1052" s="15">
        <v>400</v>
      </c>
      <c r="C1052" s="29">
        <v>10</v>
      </c>
      <c r="D1052" s="29"/>
      <c r="E1052" s="30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30"/>
      <c r="AH1052" s="29"/>
      <c r="AI1052" s="29"/>
      <c r="AJ1052" s="29"/>
      <c r="AK1052" s="30"/>
      <c r="AL1052" s="29"/>
      <c r="AM1052" s="29"/>
      <c r="AN1052" s="29"/>
      <c r="AO1052" s="29"/>
      <c r="AP1052" s="29"/>
      <c r="AQ1052" s="29"/>
      <c r="AR1052" s="29"/>
      <c r="AS1052" s="29"/>
      <c r="AT1052" s="29"/>
      <c r="AU1052" s="29"/>
      <c r="AV1052" s="29"/>
      <c r="AW1052" s="29"/>
      <c r="AX1052" s="29"/>
      <c r="AY1052" s="29"/>
      <c r="AZ1052" s="29"/>
      <c r="BA1052" s="29"/>
      <c r="BB1052" s="29"/>
      <c r="BC1052" s="29"/>
      <c r="BD1052" s="29"/>
      <c r="BE1052" s="29"/>
      <c r="BF1052" s="29"/>
      <c r="BG1052" s="29"/>
      <c r="BH1052" s="29"/>
      <c r="BI1052" s="29"/>
      <c r="BJ1052" s="29"/>
      <c r="BK1052" s="29"/>
      <c r="BL1052" s="29"/>
      <c r="BM1052" s="29"/>
      <c r="BN1052" s="20">
        <f t="shared" si="135"/>
        <v>0</v>
      </c>
      <c r="BO1052" s="20">
        <f t="shared" si="136"/>
        <v>0</v>
      </c>
      <c r="BP1052" s="20">
        <f t="shared" si="137"/>
        <v>10</v>
      </c>
      <c r="BQ1052" s="51">
        <f t="shared" si="141"/>
        <v>4</v>
      </c>
      <c r="BR1052" s="68" t="s">
        <v>616</v>
      </c>
      <c r="BS1052" s="33" t="s">
        <v>1509</v>
      </c>
      <c r="BT1052" s="111" t="s">
        <v>1594</v>
      </c>
      <c r="BU1052" s="35" t="s">
        <v>1575</v>
      </c>
    </row>
    <row r="1053" s="1" customFormat="1" customHeight="1" spans="1:74">
      <c r="A1053" s="37" t="s">
        <v>1595</v>
      </c>
      <c r="B1053" s="15">
        <v>740</v>
      </c>
      <c r="C1053" s="16">
        <v>1</v>
      </c>
      <c r="D1053" s="29"/>
      <c r="E1053" s="30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30"/>
      <c r="AD1053" s="29"/>
      <c r="AE1053" s="29"/>
      <c r="AF1053" s="29"/>
      <c r="AG1053" s="30"/>
      <c r="AH1053" s="29"/>
      <c r="AI1053" s="29"/>
      <c r="AJ1053" s="29"/>
      <c r="AK1053" s="30"/>
      <c r="AL1053" s="29"/>
      <c r="AM1053" s="29"/>
      <c r="AN1053" s="29"/>
      <c r="AO1053" s="29"/>
      <c r="AP1053" s="29"/>
      <c r="AQ1053" s="29"/>
      <c r="AR1053" s="29"/>
      <c r="AS1053" s="29"/>
      <c r="AT1053" s="29"/>
      <c r="AU1053" s="29"/>
      <c r="AV1053" s="29"/>
      <c r="AW1053" s="29"/>
      <c r="AX1053" s="29"/>
      <c r="AY1053" s="29"/>
      <c r="AZ1053" s="29"/>
      <c r="BA1053" s="29"/>
      <c r="BB1053" s="29"/>
      <c r="BC1053" s="29"/>
      <c r="BD1053" s="29"/>
      <c r="BE1053" s="29"/>
      <c r="BF1053" s="29"/>
      <c r="BG1053" s="29"/>
      <c r="BH1053" s="29"/>
      <c r="BI1053" s="29"/>
      <c r="BJ1053" s="29"/>
      <c r="BK1053" s="29"/>
      <c r="BL1053" s="29"/>
      <c r="BM1053" s="82"/>
      <c r="BN1053" s="20">
        <f t="shared" si="135"/>
        <v>0</v>
      </c>
      <c r="BO1053" s="20">
        <f t="shared" si="136"/>
        <v>0</v>
      </c>
      <c r="BP1053" s="20">
        <f t="shared" si="137"/>
        <v>1</v>
      </c>
      <c r="BQ1053" s="51">
        <f t="shared" si="141"/>
        <v>0.74</v>
      </c>
      <c r="BR1053" s="56" t="s">
        <v>1596</v>
      </c>
      <c r="BS1053" s="91" t="s">
        <v>573</v>
      </c>
      <c r="BT1053" s="36" t="s">
        <v>1597</v>
      </c>
      <c r="BU1053" s="49" t="s">
        <v>118</v>
      </c>
    </row>
    <row r="1054" s="1" customFormat="1" customHeight="1" spans="1:74">
      <c r="A1054" s="15" t="s">
        <v>1598</v>
      </c>
      <c r="B1054" s="15" t="s">
        <v>1599</v>
      </c>
      <c r="C1054" s="29">
        <v>1800</v>
      </c>
      <c r="D1054" s="29"/>
      <c r="E1054" s="30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30"/>
      <c r="AH1054" s="29"/>
      <c r="AI1054" s="29"/>
      <c r="AJ1054" s="29"/>
      <c r="AK1054" s="30"/>
      <c r="AL1054" s="29"/>
      <c r="AM1054" s="29"/>
      <c r="AN1054" s="29"/>
      <c r="AO1054" s="29"/>
      <c r="AP1054" s="29"/>
      <c r="AQ1054" s="29"/>
      <c r="AR1054" s="29"/>
      <c r="AS1054" s="29"/>
      <c r="AT1054" s="29"/>
      <c r="AU1054" s="29"/>
      <c r="AV1054" s="29"/>
      <c r="AW1054" s="29"/>
      <c r="AX1054" s="29"/>
      <c r="AY1054" s="29"/>
      <c r="AZ1054" s="29"/>
      <c r="BA1054" s="29"/>
      <c r="BB1054" s="29"/>
      <c r="BC1054" s="29"/>
      <c r="BD1054" s="29"/>
      <c r="BE1054" s="29"/>
      <c r="BF1054" s="29"/>
      <c r="BG1054" s="29"/>
      <c r="BH1054" s="29"/>
      <c r="BI1054" s="29"/>
      <c r="BJ1054" s="29"/>
      <c r="BK1054" s="29"/>
      <c r="BL1054" s="29"/>
      <c r="BM1054" s="29"/>
      <c r="BN1054" s="20">
        <f t="shared" si="135"/>
        <v>0</v>
      </c>
      <c r="BO1054" s="20">
        <f t="shared" si="136"/>
        <v>0</v>
      </c>
      <c r="BP1054" s="20">
        <f t="shared" si="137"/>
        <v>1800</v>
      </c>
      <c r="BQ1054" s="51">
        <f>0.6*0.457*BP1054</f>
        <v>493.56</v>
      </c>
      <c r="BR1054" s="68" t="s">
        <v>616</v>
      </c>
      <c r="BS1054" s="91" t="s">
        <v>573</v>
      </c>
      <c r="BT1054" s="75" t="s">
        <v>1600</v>
      </c>
      <c r="BU1054" s="163" t="s">
        <v>1560</v>
      </c>
      <c r="BV1054" s="1" t="s">
        <v>1601</v>
      </c>
    </row>
    <row r="1055" s="1" customFormat="1" customHeight="1" spans="1:74">
      <c r="A1055" s="37" t="s">
        <v>700</v>
      </c>
      <c r="B1055" s="15">
        <v>930</v>
      </c>
      <c r="C1055" s="16">
        <v>70</v>
      </c>
      <c r="D1055" s="29"/>
      <c r="E1055" s="30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30"/>
      <c r="AD1055" s="29"/>
      <c r="AE1055" s="29"/>
      <c r="AF1055" s="29"/>
      <c r="AG1055" s="30"/>
      <c r="AH1055" s="29"/>
      <c r="AI1055" s="29"/>
      <c r="AJ1055" s="29"/>
      <c r="AK1055" s="30"/>
      <c r="AL1055" s="29"/>
      <c r="AM1055" s="29"/>
      <c r="AN1055" s="29"/>
      <c r="AO1055" s="29"/>
      <c r="AP1055" s="29"/>
      <c r="AQ1055" s="29"/>
      <c r="AR1055" s="29"/>
      <c r="AS1055" s="29"/>
      <c r="AT1055" s="29"/>
      <c r="AU1055" s="29"/>
      <c r="AV1055" s="29"/>
      <c r="AW1055" s="29"/>
      <c r="AX1055" s="29"/>
      <c r="AY1055" s="29"/>
      <c r="AZ1055" s="29"/>
      <c r="BA1055" s="29"/>
      <c r="BB1055" s="29"/>
      <c r="BC1055" s="29"/>
      <c r="BD1055" s="29"/>
      <c r="BE1055" s="29"/>
      <c r="BF1055" s="29"/>
      <c r="BG1055" s="29"/>
      <c r="BH1055" s="29"/>
      <c r="BI1055" s="29"/>
      <c r="BJ1055" s="29"/>
      <c r="BK1055" s="29"/>
      <c r="BL1055" s="29"/>
      <c r="BM1055" s="82"/>
      <c r="BN1055" s="20">
        <f t="shared" si="135"/>
        <v>0</v>
      </c>
      <c r="BO1055" s="20">
        <f t="shared" si="136"/>
        <v>0</v>
      </c>
      <c r="BP1055" s="20">
        <f t="shared" si="137"/>
        <v>70</v>
      </c>
      <c r="BQ1055" s="51">
        <f t="shared" ref="BQ1055:BQ1057" si="142">B1055*BP1055/1000</f>
        <v>65.1</v>
      </c>
      <c r="BR1055" s="56" t="s">
        <v>1602</v>
      </c>
      <c r="BS1055" s="91" t="s">
        <v>573</v>
      </c>
      <c r="BT1055" s="36" t="s">
        <v>1603</v>
      </c>
      <c r="BU1055" s="49" t="s">
        <v>118</v>
      </c>
    </row>
    <row r="1056" s="1" customFormat="1" customHeight="1" spans="1:74">
      <c r="A1056" s="37" t="s">
        <v>671</v>
      </c>
      <c r="B1056" s="15">
        <v>900</v>
      </c>
      <c r="C1056" s="29">
        <v>50</v>
      </c>
      <c r="D1056" s="29"/>
      <c r="E1056" s="30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30"/>
      <c r="AH1056" s="29"/>
      <c r="AI1056" s="29"/>
      <c r="AJ1056" s="29"/>
      <c r="AK1056" s="30"/>
      <c r="AL1056" s="29"/>
      <c r="AM1056" s="29"/>
      <c r="AN1056" s="29"/>
      <c r="AO1056" s="29"/>
      <c r="AP1056" s="29"/>
      <c r="AQ1056" s="29"/>
      <c r="AR1056" s="29"/>
      <c r="AS1056" s="29"/>
      <c r="AT1056" s="29"/>
      <c r="AU1056" s="29"/>
      <c r="AV1056" s="29"/>
      <c r="AW1056" s="29"/>
      <c r="AX1056" s="29"/>
      <c r="AY1056" s="29"/>
      <c r="AZ1056" s="29"/>
      <c r="BA1056" s="29"/>
      <c r="BB1056" s="29"/>
      <c r="BC1056" s="29"/>
      <c r="BD1056" s="29"/>
      <c r="BE1056" s="29"/>
      <c r="BF1056" s="29"/>
      <c r="BG1056" s="29"/>
      <c r="BH1056" s="29"/>
      <c r="BI1056" s="29"/>
      <c r="BJ1056" s="29"/>
      <c r="BK1056" s="29"/>
      <c r="BL1056" s="29"/>
      <c r="BM1056" s="29"/>
      <c r="BN1056" s="20">
        <f t="shared" si="135"/>
        <v>0</v>
      </c>
      <c r="BO1056" s="20">
        <f t="shared" si="136"/>
        <v>0</v>
      </c>
      <c r="BP1056" s="20">
        <f t="shared" si="137"/>
        <v>50</v>
      </c>
      <c r="BQ1056" s="51">
        <f t="shared" si="142"/>
        <v>45</v>
      </c>
      <c r="BR1056" s="56" t="s">
        <v>1602</v>
      </c>
      <c r="BS1056" s="91" t="s">
        <v>573</v>
      </c>
      <c r="BT1056" s="36" t="s">
        <v>1603</v>
      </c>
      <c r="BU1056" s="49" t="s">
        <v>118</v>
      </c>
    </row>
    <row r="1057" s="1" customFormat="1" customHeight="1" spans="1:73">
      <c r="A1057" s="37" t="s">
        <v>896</v>
      </c>
      <c r="B1057" s="15">
        <v>820</v>
      </c>
      <c r="C1057" s="16">
        <v>75</v>
      </c>
      <c r="D1057" s="29"/>
      <c r="E1057" s="30"/>
      <c r="F1057" s="29"/>
      <c r="G1057" s="30"/>
      <c r="H1057" s="29"/>
      <c r="I1057" s="30"/>
      <c r="J1057" s="29"/>
      <c r="K1057" s="29"/>
      <c r="L1057" s="29"/>
      <c r="M1057" s="30"/>
      <c r="N1057" s="29"/>
      <c r="O1057" s="29"/>
      <c r="P1057" s="29"/>
      <c r="Q1057" s="29"/>
      <c r="R1057" s="29"/>
      <c r="S1057" s="29"/>
      <c r="T1057" s="29"/>
      <c r="U1057" s="29"/>
      <c r="V1057" s="29"/>
      <c r="W1057" s="30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30"/>
      <c r="AH1057" s="29"/>
      <c r="AI1057" s="30"/>
      <c r="AJ1057" s="29"/>
      <c r="AK1057" s="29"/>
      <c r="AL1057" s="29"/>
      <c r="AM1057" s="29"/>
      <c r="AN1057" s="29"/>
      <c r="AO1057" s="29"/>
      <c r="AP1057" s="29"/>
      <c r="AQ1057" s="30"/>
      <c r="AR1057" s="29"/>
      <c r="AS1057" s="29"/>
      <c r="AT1057" s="29"/>
      <c r="AU1057" s="30"/>
      <c r="AV1057" s="29"/>
      <c r="AW1057" s="29"/>
      <c r="AX1057" s="29"/>
      <c r="AY1057" s="29"/>
      <c r="AZ1057" s="29"/>
      <c r="BA1057" s="29"/>
      <c r="BB1057" s="29"/>
      <c r="BC1057" s="29"/>
      <c r="BD1057" s="29"/>
      <c r="BE1057" s="29"/>
      <c r="BF1057" s="29"/>
      <c r="BG1057" s="29"/>
      <c r="BH1057" s="29"/>
      <c r="BI1057" s="29"/>
      <c r="BJ1057" s="29"/>
      <c r="BK1057" s="29"/>
      <c r="BL1057" s="29"/>
      <c r="BM1057" s="29"/>
      <c r="BN1057" s="20">
        <f t="shared" si="135"/>
        <v>0</v>
      </c>
      <c r="BO1057" s="20">
        <f t="shared" si="136"/>
        <v>0</v>
      </c>
      <c r="BP1057" s="20">
        <f t="shared" si="137"/>
        <v>75</v>
      </c>
      <c r="BQ1057" s="51">
        <f t="shared" si="142"/>
        <v>61.5</v>
      </c>
      <c r="BR1057" s="56" t="s">
        <v>1604</v>
      </c>
      <c r="BS1057" s="91" t="s">
        <v>573</v>
      </c>
      <c r="BT1057" s="36" t="s">
        <v>1605</v>
      </c>
      <c r="BU1057" s="49" t="s">
        <v>118</v>
      </c>
    </row>
    <row r="1058" s="1" customFormat="1" customHeight="1" spans="1:73">
      <c r="A1058" s="53" t="s">
        <v>1606</v>
      </c>
      <c r="B1058" s="15"/>
      <c r="C1058" s="16"/>
      <c r="D1058" s="29"/>
      <c r="E1058" s="30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30"/>
      <c r="T1058" s="30"/>
      <c r="U1058" s="29"/>
      <c r="V1058" s="29"/>
      <c r="W1058" s="29"/>
      <c r="X1058" s="29"/>
      <c r="Y1058" s="29"/>
      <c r="Z1058" s="29"/>
      <c r="AA1058" s="29"/>
      <c r="AB1058" s="29"/>
      <c r="AC1058" s="30"/>
      <c r="AD1058" s="29"/>
      <c r="AE1058" s="29"/>
      <c r="AF1058" s="29"/>
      <c r="AG1058" s="30"/>
      <c r="AH1058" s="29"/>
      <c r="AI1058" s="29"/>
      <c r="AJ1058" s="29"/>
      <c r="AK1058" s="30"/>
      <c r="AL1058" s="29"/>
      <c r="AM1058" s="29"/>
      <c r="AN1058" s="29"/>
      <c r="AO1058" s="29"/>
      <c r="AP1058" s="29"/>
      <c r="AQ1058" s="29"/>
      <c r="AR1058" s="29"/>
      <c r="AS1058" s="29"/>
      <c r="AT1058" s="29"/>
      <c r="AU1058" s="82"/>
      <c r="AV1058" s="29"/>
      <c r="AW1058" s="29"/>
      <c r="AX1058" s="29"/>
      <c r="AY1058" s="29"/>
      <c r="AZ1058" s="29"/>
      <c r="BA1058" s="29"/>
      <c r="BB1058" s="29"/>
      <c r="BC1058" s="29"/>
      <c r="BD1058" s="29"/>
      <c r="BE1058" s="29"/>
      <c r="BF1058" s="29"/>
      <c r="BG1058" s="82"/>
      <c r="BH1058" s="29"/>
      <c r="BI1058" s="29"/>
      <c r="BJ1058" s="29"/>
      <c r="BK1058" s="29"/>
      <c r="BL1058" s="29"/>
      <c r="BM1058" s="29"/>
      <c r="BN1058" s="20">
        <f t="shared" si="135"/>
        <v>0</v>
      </c>
      <c r="BO1058" s="20">
        <f t="shared" si="136"/>
        <v>0</v>
      </c>
      <c r="BP1058" s="20">
        <f t="shared" si="137"/>
        <v>0</v>
      </c>
      <c r="BQ1058" s="51"/>
      <c r="BR1058" s="56"/>
      <c r="BS1058" s="91"/>
      <c r="BT1058" s="36"/>
      <c r="BU1058" s="35"/>
    </row>
    <row r="1059" s="1" customFormat="1" customHeight="1" spans="1:73">
      <c r="A1059" s="15" t="s">
        <v>1607</v>
      </c>
      <c r="B1059" s="15" t="s">
        <v>1608</v>
      </c>
      <c r="C1059" s="16">
        <v>1411</v>
      </c>
      <c r="D1059" s="29"/>
      <c r="E1059" s="30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30"/>
      <c r="AH1059" s="29"/>
      <c r="AI1059" s="29"/>
      <c r="AJ1059" s="29"/>
      <c r="AK1059" s="30"/>
      <c r="AL1059" s="29"/>
      <c r="AM1059" s="29"/>
      <c r="AN1059" s="29"/>
      <c r="AO1059" s="29"/>
      <c r="AP1059" s="29"/>
      <c r="AQ1059" s="29"/>
      <c r="AR1059" s="29"/>
      <c r="AS1059" s="29"/>
      <c r="AT1059" s="29"/>
      <c r="AU1059" s="29"/>
      <c r="AV1059" s="29"/>
      <c r="AW1059" s="29"/>
      <c r="AX1059" s="29"/>
      <c r="AY1059" s="29"/>
      <c r="AZ1059" s="29"/>
      <c r="BA1059" s="29"/>
      <c r="BB1059" s="29"/>
      <c r="BC1059" s="29"/>
      <c r="BD1059" s="29"/>
      <c r="BE1059" s="29"/>
      <c r="BF1059" s="29"/>
      <c r="BG1059" s="29"/>
      <c r="BH1059" s="29"/>
      <c r="BI1059" s="29"/>
      <c r="BJ1059" s="29"/>
      <c r="BK1059" s="29"/>
      <c r="BL1059" s="29"/>
      <c r="BM1059" s="29"/>
      <c r="BN1059" s="20">
        <f t="shared" si="135"/>
        <v>0</v>
      </c>
      <c r="BO1059" s="20">
        <f t="shared" si="136"/>
        <v>0</v>
      </c>
      <c r="BP1059" s="20">
        <f t="shared" si="137"/>
        <v>1411</v>
      </c>
      <c r="BQ1059" s="51"/>
      <c r="BR1059" s="56"/>
      <c r="BS1059" s="111" t="s">
        <v>1609</v>
      </c>
      <c r="BT1059" s="36" t="s">
        <v>1610</v>
      </c>
      <c r="BU1059" s="112"/>
    </row>
    <row r="1060" s="1" customFormat="1" customHeight="1" spans="1:73">
      <c r="A1060" s="15" t="s">
        <v>1611</v>
      </c>
      <c r="B1060" s="15" t="s">
        <v>1608</v>
      </c>
      <c r="C1060" s="16">
        <v>600</v>
      </c>
      <c r="D1060" s="29"/>
      <c r="E1060" s="30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30"/>
      <c r="AH1060" s="29"/>
      <c r="AI1060" s="29"/>
      <c r="AJ1060" s="29"/>
      <c r="AK1060" s="30"/>
      <c r="AL1060" s="29"/>
      <c r="AM1060" s="29"/>
      <c r="AN1060" s="29"/>
      <c r="AO1060" s="29"/>
      <c r="AP1060" s="29"/>
      <c r="AQ1060" s="29"/>
      <c r="AR1060" s="29"/>
      <c r="AS1060" s="29"/>
      <c r="AT1060" s="29"/>
      <c r="AU1060" s="29"/>
      <c r="AV1060" s="29"/>
      <c r="AW1060" s="29"/>
      <c r="AX1060" s="29"/>
      <c r="AY1060" s="29"/>
      <c r="AZ1060" s="29"/>
      <c r="BA1060" s="29"/>
      <c r="BB1060" s="29"/>
      <c r="BC1060" s="29"/>
      <c r="BD1060" s="29"/>
      <c r="BE1060" s="29"/>
      <c r="BF1060" s="29"/>
      <c r="BG1060" s="29"/>
      <c r="BH1060" s="29"/>
      <c r="BI1060" s="29"/>
      <c r="BJ1060" s="29"/>
      <c r="BK1060" s="29"/>
      <c r="BL1060" s="29"/>
      <c r="BM1060" s="29"/>
      <c r="BN1060" s="20">
        <f t="shared" si="135"/>
        <v>0</v>
      </c>
      <c r="BO1060" s="20">
        <f t="shared" si="136"/>
        <v>0</v>
      </c>
      <c r="BP1060" s="20">
        <f t="shared" si="137"/>
        <v>600</v>
      </c>
      <c r="BQ1060" s="51"/>
      <c r="BR1060" s="56"/>
      <c r="BS1060" s="111"/>
      <c r="BT1060" s="36"/>
      <c r="BU1060" s="112"/>
    </row>
    <row r="1061" s="1" customFormat="1" customHeight="1" spans="1:73">
      <c r="A1061" s="15" t="s">
        <v>1612</v>
      </c>
      <c r="B1061" s="15" t="s">
        <v>1613</v>
      </c>
      <c r="C1061" s="16">
        <v>1900</v>
      </c>
      <c r="D1061" s="29"/>
      <c r="E1061" s="30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30"/>
      <c r="AH1061" s="29"/>
      <c r="AI1061" s="29"/>
      <c r="AJ1061" s="29"/>
      <c r="AK1061" s="30"/>
      <c r="AL1061" s="29"/>
      <c r="AM1061" s="29"/>
      <c r="AN1061" s="29"/>
      <c r="AO1061" s="29"/>
      <c r="AP1061" s="29"/>
      <c r="AQ1061" s="29"/>
      <c r="AR1061" s="29"/>
      <c r="AS1061" s="29"/>
      <c r="AT1061" s="29"/>
      <c r="AU1061" s="29"/>
      <c r="AV1061" s="29"/>
      <c r="AW1061" s="29"/>
      <c r="AX1061" s="29"/>
      <c r="AY1061" s="29"/>
      <c r="AZ1061" s="29"/>
      <c r="BA1061" s="29"/>
      <c r="BB1061" s="29"/>
      <c r="BC1061" s="29"/>
      <c r="BD1061" s="29"/>
      <c r="BE1061" s="29"/>
      <c r="BF1061" s="29"/>
      <c r="BG1061" s="29"/>
      <c r="BH1061" s="29"/>
      <c r="BI1061" s="29"/>
      <c r="BJ1061" s="29"/>
      <c r="BK1061" s="29"/>
      <c r="BL1061" s="29"/>
      <c r="BM1061" s="29"/>
      <c r="BN1061" s="20">
        <f t="shared" si="135"/>
        <v>0</v>
      </c>
      <c r="BO1061" s="20">
        <f t="shared" si="136"/>
        <v>0</v>
      </c>
      <c r="BP1061" s="20">
        <f t="shared" si="137"/>
        <v>1900</v>
      </c>
      <c r="BQ1061" s="51" t="s">
        <v>1614</v>
      </c>
      <c r="BR1061" s="56"/>
      <c r="BS1061" s="111"/>
      <c r="BT1061" s="36"/>
      <c r="BU1061" s="112"/>
    </row>
    <row r="1062" s="1" customFormat="1" customHeight="1" spans="1:73">
      <c r="A1062" s="15" t="s">
        <v>1615</v>
      </c>
      <c r="B1062" s="15" t="s">
        <v>1613</v>
      </c>
      <c r="C1062" s="16">
        <v>3000</v>
      </c>
      <c r="D1062" s="29"/>
      <c r="E1062" s="30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30"/>
      <c r="AH1062" s="29"/>
      <c r="AI1062" s="29"/>
      <c r="AJ1062" s="29"/>
      <c r="AK1062" s="30"/>
      <c r="AL1062" s="29"/>
      <c r="AM1062" s="29"/>
      <c r="AN1062" s="29"/>
      <c r="AO1062" s="29"/>
      <c r="AP1062" s="29"/>
      <c r="AQ1062" s="29"/>
      <c r="AR1062" s="29"/>
      <c r="AS1062" s="29"/>
      <c r="AT1062" s="29"/>
      <c r="AU1062" s="29"/>
      <c r="AV1062" s="29"/>
      <c r="AW1062" s="29"/>
      <c r="AX1062" s="29"/>
      <c r="AY1062" s="29"/>
      <c r="AZ1062" s="29"/>
      <c r="BA1062" s="29"/>
      <c r="BB1062" s="29"/>
      <c r="BC1062" s="29"/>
      <c r="BD1062" s="29"/>
      <c r="BE1062" s="29"/>
      <c r="BF1062" s="29"/>
      <c r="BG1062" s="29"/>
      <c r="BH1062" s="29"/>
      <c r="BI1062" s="29"/>
      <c r="BJ1062" s="29"/>
      <c r="BK1062" s="29"/>
      <c r="BL1062" s="29"/>
      <c r="BM1062" s="29"/>
      <c r="BN1062" s="20">
        <f t="shared" si="135"/>
        <v>0</v>
      </c>
      <c r="BO1062" s="20">
        <f t="shared" si="136"/>
        <v>0</v>
      </c>
      <c r="BP1062" s="20">
        <f t="shared" si="137"/>
        <v>3000</v>
      </c>
      <c r="BQ1062" s="51" t="s">
        <v>1614</v>
      </c>
      <c r="BR1062" s="56"/>
      <c r="BS1062" s="111"/>
      <c r="BT1062" s="36"/>
      <c r="BU1062" s="112"/>
    </row>
    <row r="1063" s="1" customFormat="1" ht="21.75" customHeight="1" spans="1:73">
      <c r="A1063" s="15" t="s">
        <v>1616</v>
      </c>
      <c r="B1063" s="15" t="s">
        <v>1613</v>
      </c>
      <c r="C1063" s="16">
        <v>5650</v>
      </c>
      <c r="D1063" s="29"/>
      <c r="E1063" s="30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30"/>
      <c r="AH1063" s="29"/>
      <c r="AI1063" s="29"/>
      <c r="AJ1063" s="29"/>
      <c r="AK1063" s="30"/>
      <c r="AL1063" s="29"/>
      <c r="AM1063" s="29"/>
      <c r="AN1063" s="29"/>
      <c r="AO1063" s="29"/>
      <c r="AP1063" s="29"/>
      <c r="AQ1063" s="29"/>
      <c r="AR1063" s="29"/>
      <c r="AS1063" s="29"/>
      <c r="AT1063" s="29"/>
      <c r="AU1063" s="29"/>
      <c r="AV1063" s="29"/>
      <c r="AW1063" s="29"/>
      <c r="AX1063" s="29"/>
      <c r="AY1063" s="29"/>
      <c r="AZ1063" s="29"/>
      <c r="BA1063" s="29"/>
      <c r="BB1063" s="29"/>
      <c r="BC1063" s="29"/>
      <c r="BD1063" s="29"/>
      <c r="BE1063" s="29"/>
      <c r="BF1063" s="29"/>
      <c r="BG1063" s="29"/>
      <c r="BH1063" s="29"/>
      <c r="BI1063" s="29"/>
      <c r="BJ1063" s="29"/>
      <c r="BK1063" s="29"/>
      <c r="BL1063" s="29"/>
      <c r="BM1063" s="29"/>
      <c r="BN1063" s="20">
        <f t="shared" si="135"/>
        <v>0</v>
      </c>
      <c r="BO1063" s="20">
        <f t="shared" si="136"/>
        <v>0</v>
      </c>
      <c r="BP1063" s="20">
        <f t="shared" si="137"/>
        <v>5650</v>
      </c>
      <c r="BQ1063" s="51" t="s">
        <v>1614</v>
      </c>
      <c r="BR1063" s="56"/>
      <c r="BS1063" s="111"/>
      <c r="BT1063" s="36"/>
      <c r="BU1063" s="112"/>
    </row>
    <row r="1064" s="1" customFormat="1" customHeight="1" spans="1:73">
      <c r="A1064" s="15" t="s">
        <v>1617</v>
      </c>
      <c r="B1064" s="15" t="s">
        <v>1613</v>
      </c>
      <c r="C1064" s="16">
        <v>4982</v>
      </c>
      <c r="D1064" s="29"/>
      <c r="E1064" s="30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30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30"/>
      <c r="AH1064" s="29"/>
      <c r="AI1064" s="29"/>
      <c r="AJ1064" s="29"/>
      <c r="AK1064" s="30"/>
      <c r="AL1064" s="29"/>
      <c r="AM1064" s="29"/>
      <c r="AN1064" s="29"/>
      <c r="AO1064" s="29"/>
      <c r="AP1064" s="29"/>
      <c r="AQ1064" s="29"/>
      <c r="AR1064" s="29"/>
      <c r="AS1064" s="29"/>
      <c r="AT1064" s="29"/>
      <c r="AU1064" s="29"/>
      <c r="AV1064" s="29"/>
      <c r="AW1064" s="29"/>
      <c r="AX1064" s="29"/>
      <c r="AY1064" s="29"/>
      <c r="AZ1064" s="29"/>
      <c r="BA1064" s="29"/>
      <c r="BB1064" s="29"/>
      <c r="BC1064" s="29"/>
      <c r="BD1064" s="29"/>
      <c r="BE1064" s="29"/>
      <c r="BF1064" s="18"/>
      <c r="BG1064" s="29"/>
      <c r="BH1064" s="29"/>
      <c r="BI1064" s="29"/>
      <c r="BJ1064" s="29"/>
      <c r="BK1064" s="29"/>
      <c r="BL1064" s="29"/>
      <c r="BM1064" s="29"/>
      <c r="BN1064" s="20">
        <f t="shared" si="135"/>
        <v>0</v>
      </c>
      <c r="BO1064" s="20">
        <f t="shared" si="136"/>
        <v>0</v>
      </c>
      <c r="BP1064" s="20">
        <f t="shared" si="137"/>
        <v>4982</v>
      </c>
      <c r="BQ1064" s="51" t="s">
        <v>1614</v>
      </c>
      <c r="BR1064" s="56"/>
      <c r="BS1064" s="111"/>
      <c r="BT1064" s="36"/>
      <c r="BU1064" s="112"/>
    </row>
    <row r="1065" s="1" customFormat="1" customHeight="1" spans="1:73">
      <c r="A1065" s="15" t="s">
        <v>1618</v>
      </c>
      <c r="B1065" s="15" t="s">
        <v>1613</v>
      </c>
      <c r="C1065" s="16">
        <v>4473</v>
      </c>
      <c r="D1065" s="29"/>
      <c r="E1065" s="30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30"/>
      <c r="AH1065" s="29"/>
      <c r="AI1065" s="29"/>
      <c r="AJ1065" s="29"/>
      <c r="AK1065" s="30"/>
      <c r="AL1065" s="29"/>
      <c r="AM1065" s="29"/>
      <c r="AN1065" s="29"/>
      <c r="AO1065" s="29"/>
      <c r="AP1065" s="29"/>
      <c r="AQ1065" s="29"/>
      <c r="AR1065" s="29"/>
      <c r="AS1065" s="29"/>
      <c r="AT1065" s="29"/>
      <c r="AU1065" s="29"/>
      <c r="AV1065" s="29"/>
      <c r="AW1065" s="29"/>
      <c r="AX1065" s="29"/>
      <c r="AY1065" s="29"/>
      <c r="AZ1065" s="29"/>
      <c r="BA1065" s="29"/>
      <c r="BB1065" s="29"/>
      <c r="BC1065" s="29"/>
      <c r="BD1065" s="29"/>
      <c r="BE1065" s="29"/>
      <c r="BF1065" s="29"/>
      <c r="BG1065" s="29"/>
      <c r="BH1065" s="29"/>
      <c r="BI1065" s="29"/>
      <c r="BJ1065" s="29"/>
      <c r="BK1065" s="29"/>
      <c r="BL1065" s="29"/>
      <c r="BM1065" s="29"/>
      <c r="BN1065" s="20">
        <f t="shared" ref="BN1065:BN1128" si="143">D1065+F1065+H1065+J1065+L1065+N1065+P1065+R1065+T1065+V1065+X1065+Z1065+AB1065+AD1065+AF1065+AH1065+AJ1065+AL1065+AN1065+AP1065+AR1065+AT1065+AV1065+AX1065+AZ1065+BB1065+BD1065+BF1065+BH1065+BJ1065+BL1065</f>
        <v>0</v>
      </c>
      <c r="BO1065" s="20">
        <f t="shared" ref="BO1065:BO1128" si="144">E1065+G1065+I1065+K1065+M1065+O1065+Q1065+S1065+U1065+W1065+Y1065+AA1065+AC1065+AE1065+AG1065+AI1065+AK1065+AM1065+AO1065+AQ1065+AS1065+AU1065+AW1065+AY1065+BA1065+BC1065+BE1065+BG1065+BI1065+BK1065+BM1065</f>
        <v>0</v>
      </c>
      <c r="BP1065" s="20">
        <f t="shared" ref="BP1065:BP1128" si="145">C1065+BN1065-BO1065</f>
        <v>4473</v>
      </c>
      <c r="BQ1065" s="51" t="s">
        <v>1614</v>
      </c>
      <c r="BR1065" s="56"/>
      <c r="BS1065" s="111"/>
      <c r="BT1065" s="36"/>
      <c r="BU1065" s="112"/>
    </row>
    <row r="1066" s="1" customFormat="1" customHeight="1" spans="1:73">
      <c r="A1066" s="15" t="s">
        <v>1619</v>
      </c>
      <c r="B1066" s="15" t="s">
        <v>1613</v>
      </c>
      <c r="C1066" s="16">
        <v>3479</v>
      </c>
      <c r="D1066" s="29"/>
      <c r="E1066" s="30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30"/>
      <c r="AH1066" s="29"/>
      <c r="AI1066" s="29"/>
      <c r="AJ1066" s="29"/>
      <c r="AK1066" s="30"/>
      <c r="AL1066" s="29"/>
      <c r="AM1066" s="29"/>
      <c r="AN1066" s="29"/>
      <c r="AO1066" s="29"/>
      <c r="AP1066" s="29"/>
      <c r="AQ1066" s="29"/>
      <c r="AR1066" s="29"/>
      <c r="AS1066" s="29"/>
      <c r="AT1066" s="29"/>
      <c r="AU1066" s="29"/>
      <c r="AV1066" s="29"/>
      <c r="AW1066" s="29"/>
      <c r="AX1066" s="29"/>
      <c r="AY1066" s="29"/>
      <c r="AZ1066" s="29"/>
      <c r="BA1066" s="29"/>
      <c r="BB1066" s="29"/>
      <c r="BC1066" s="29"/>
      <c r="BD1066" s="29"/>
      <c r="BE1066" s="29"/>
      <c r="BF1066" s="29"/>
      <c r="BG1066" s="29"/>
      <c r="BH1066" s="29"/>
      <c r="BI1066" s="29"/>
      <c r="BJ1066" s="29"/>
      <c r="BK1066" s="29"/>
      <c r="BL1066" s="29"/>
      <c r="BM1066" s="29"/>
      <c r="BN1066" s="20">
        <f t="shared" si="143"/>
        <v>0</v>
      </c>
      <c r="BO1066" s="20">
        <f t="shared" si="144"/>
        <v>0</v>
      </c>
      <c r="BP1066" s="20">
        <f t="shared" si="145"/>
        <v>3479</v>
      </c>
      <c r="BQ1066" s="51" t="s">
        <v>1614</v>
      </c>
      <c r="BR1066" s="56"/>
      <c r="BS1066" s="111"/>
      <c r="BT1066" s="36"/>
      <c r="BU1066" s="112"/>
    </row>
    <row r="1067" s="1" customFormat="1" customHeight="1" spans="1:73">
      <c r="A1067" s="15" t="s">
        <v>1620</v>
      </c>
      <c r="B1067" s="15" t="s">
        <v>1613</v>
      </c>
      <c r="C1067" s="16">
        <v>5220</v>
      </c>
      <c r="D1067" s="29"/>
      <c r="E1067" s="30"/>
      <c r="F1067" s="30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30"/>
      <c r="AH1067" s="29"/>
      <c r="AI1067" s="29"/>
      <c r="AJ1067" s="29"/>
      <c r="AK1067" s="30"/>
      <c r="AL1067" s="29"/>
      <c r="AM1067" s="29"/>
      <c r="AN1067" s="29"/>
      <c r="AO1067" s="29"/>
      <c r="AP1067" s="29"/>
      <c r="AQ1067" s="29"/>
      <c r="AR1067" s="29"/>
      <c r="AS1067" s="29"/>
      <c r="AT1067" s="29"/>
      <c r="AU1067" s="29"/>
      <c r="AV1067" s="29"/>
      <c r="AW1067" s="29"/>
      <c r="AX1067" s="29"/>
      <c r="AY1067" s="29"/>
      <c r="AZ1067" s="29"/>
      <c r="BA1067" s="29"/>
      <c r="BB1067" s="29"/>
      <c r="BC1067" s="29"/>
      <c r="BD1067" s="29"/>
      <c r="BE1067" s="29"/>
      <c r="BF1067" s="29"/>
      <c r="BG1067" s="29"/>
      <c r="BH1067" s="29"/>
      <c r="BI1067" s="29"/>
      <c r="BJ1067" s="29"/>
      <c r="BK1067" s="29"/>
      <c r="BL1067" s="29"/>
      <c r="BM1067" s="29"/>
      <c r="BN1067" s="20">
        <f t="shared" si="143"/>
        <v>0</v>
      </c>
      <c r="BO1067" s="20">
        <f t="shared" si="144"/>
        <v>0</v>
      </c>
      <c r="BP1067" s="20">
        <f t="shared" si="145"/>
        <v>5220</v>
      </c>
      <c r="BQ1067" s="51" t="s">
        <v>1614</v>
      </c>
      <c r="BR1067" s="56"/>
      <c r="BS1067" s="111"/>
      <c r="BT1067" s="36"/>
      <c r="BU1067" s="112"/>
    </row>
    <row r="1068" s="1" customFormat="1" customHeight="1" spans="1:73">
      <c r="A1068" s="15" t="s">
        <v>1621</v>
      </c>
      <c r="B1068" s="15" t="s">
        <v>1613</v>
      </c>
      <c r="C1068" s="16">
        <v>5636</v>
      </c>
      <c r="D1068" s="29"/>
      <c r="E1068" s="30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30"/>
      <c r="AH1068" s="29"/>
      <c r="AI1068" s="29"/>
      <c r="AJ1068" s="29"/>
      <c r="AK1068" s="30"/>
      <c r="AL1068" s="29"/>
      <c r="AM1068" s="29"/>
      <c r="AN1068" s="29"/>
      <c r="AO1068" s="29"/>
      <c r="AP1068" s="29"/>
      <c r="AQ1068" s="29"/>
      <c r="AR1068" s="29"/>
      <c r="AS1068" s="29"/>
      <c r="AT1068" s="29"/>
      <c r="AU1068" s="29"/>
      <c r="AV1068" s="29"/>
      <c r="AW1068" s="29"/>
      <c r="AX1068" s="29"/>
      <c r="AY1068" s="29"/>
      <c r="AZ1068" s="29"/>
      <c r="BA1068" s="29"/>
      <c r="BB1068" s="29"/>
      <c r="BC1068" s="29"/>
      <c r="BD1068" s="29"/>
      <c r="BE1068" s="29"/>
      <c r="BF1068" s="29"/>
      <c r="BG1068" s="29"/>
      <c r="BH1068" s="29"/>
      <c r="BI1068" s="29"/>
      <c r="BJ1068" s="29"/>
      <c r="BK1068" s="29"/>
      <c r="BL1068" s="29"/>
      <c r="BM1068" s="29"/>
      <c r="BN1068" s="20">
        <f t="shared" si="143"/>
        <v>0</v>
      </c>
      <c r="BO1068" s="20">
        <f t="shared" si="144"/>
        <v>0</v>
      </c>
      <c r="BP1068" s="20">
        <f t="shared" si="145"/>
        <v>5636</v>
      </c>
      <c r="BQ1068" s="51" t="s">
        <v>1614</v>
      </c>
      <c r="BR1068" s="56"/>
      <c r="BS1068" s="111"/>
      <c r="BT1068" s="36"/>
      <c r="BU1068" s="112"/>
    </row>
    <row r="1069" s="1" customFormat="1" customHeight="1" spans="1:73">
      <c r="A1069" s="15" t="s">
        <v>1622</v>
      </c>
      <c r="B1069" s="15" t="s">
        <v>1613</v>
      </c>
      <c r="C1069" s="16">
        <v>2000</v>
      </c>
      <c r="D1069" s="29"/>
      <c r="E1069" s="30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30"/>
      <c r="AH1069" s="29"/>
      <c r="AI1069" s="29"/>
      <c r="AJ1069" s="29"/>
      <c r="AK1069" s="30"/>
      <c r="AL1069" s="29"/>
      <c r="AM1069" s="29"/>
      <c r="AN1069" s="29"/>
      <c r="AO1069" s="29"/>
      <c r="AP1069" s="29"/>
      <c r="AQ1069" s="29"/>
      <c r="AR1069" s="29"/>
      <c r="AS1069" s="29"/>
      <c r="AT1069" s="29"/>
      <c r="AU1069" s="29"/>
      <c r="AV1069" s="29"/>
      <c r="AW1069" s="29"/>
      <c r="AX1069" s="29"/>
      <c r="AY1069" s="29"/>
      <c r="AZ1069" s="29"/>
      <c r="BA1069" s="29"/>
      <c r="BB1069" s="29"/>
      <c r="BC1069" s="29"/>
      <c r="BD1069" s="29"/>
      <c r="BE1069" s="29"/>
      <c r="BF1069" s="29"/>
      <c r="BG1069" s="29"/>
      <c r="BH1069" s="29"/>
      <c r="BI1069" s="29"/>
      <c r="BJ1069" s="29"/>
      <c r="BK1069" s="29"/>
      <c r="BL1069" s="29"/>
      <c r="BM1069" s="29"/>
      <c r="BN1069" s="20">
        <f t="shared" si="143"/>
        <v>0</v>
      </c>
      <c r="BO1069" s="20">
        <f t="shared" si="144"/>
        <v>0</v>
      </c>
      <c r="BP1069" s="20">
        <f t="shared" si="145"/>
        <v>2000</v>
      </c>
      <c r="BQ1069" s="51" t="s">
        <v>1614</v>
      </c>
      <c r="BR1069" s="56"/>
      <c r="BS1069" s="111"/>
      <c r="BT1069" s="36"/>
      <c r="BU1069" s="112"/>
    </row>
    <row r="1070" s="1" customFormat="1" customHeight="1" spans="1:73">
      <c r="A1070" s="15" t="s">
        <v>1623</v>
      </c>
      <c r="B1070" s="15" t="s">
        <v>1624</v>
      </c>
      <c r="C1070" s="16">
        <v>5625</v>
      </c>
      <c r="D1070" s="29"/>
      <c r="E1070" s="30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30"/>
      <c r="AH1070" s="29"/>
      <c r="AI1070" s="29"/>
      <c r="AJ1070" s="29"/>
      <c r="AK1070" s="30"/>
      <c r="AL1070" s="29"/>
      <c r="AM1070" s="29"/>
      <c r="AN1070" s="29"/>
      <c r="AO1070" s="29"/>
      <c r="AP1070" s="29"/>
      <c r="AQ1070" s="29"/>
      <c r="AR1070" s="29"/>
      <c r="AS1070" s="29"/>
      <c r="AT1070" s="29"/>
      <c r="AU1070" s="29"/>
      <c r="AV1070" s="29"/>
      <c r="AW1070" s="29"/>
      <c r="AX1070" s="29"/>
      <c r="AY1070" s="29"/>
      <c r="AZ1070" s="29"/>
      <c r="BA1070" s="29"/>
      <c r="BB1070" s="29"/>
      <c r="BC1070" s="29"/>
      <c r="BD1070" s="29"/>
      <c r="BE1070" s="29"/>
      <c r="BF1070" s="29"/>
      <c r="BG1070" s="29"/>
      <c r="BH1070" s="29"/>
      <c r="BI1070" s="29"/>
      <c r="BJ1070" s="29"/>
      <c r="BK1070" s="29"/>
      <c r="BL1070" s="29"/>
      <c r="BM1070" s="29"/>
      <c r="BN1070" s="20">
        <f t="shared" si="143"/>
        <v>0</v>
      </c>
      <c r="BO1070" s="20">
        <f t="shared" si="144"/>
        <v>0</v>
      </c>
      <c r="BP1070" s="20">
        <f t="shared" si="145"/>
        <v>5625</v>
      </c>
      <c r="BQ1070" s="51" t="s">
        <v>1614</v>
      </c>
      <c r="BR1070" s="56"/>
      <c r="BS1070" s="111"/>
      <c r="BT1070" s="36"/>
      <c r="BU1070" s="112"/>
    </row>
    <row r="1071" s="1" customFormat="1" customHeight="1" spans="1:73">
      <c r="A1071" s="15" t="s">
        <v>1625</v>
      </c>
      <c r="B1071" s="15" t="s">
        <v>1626</v>
      </c>
      <c r="C1071" s="16">
        <v>12315</v>
      </c>
      <c r="D1071" s="29"/>
      <c r="E1071" s="30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30"/>
      <c r="AH1071" s="29"/>
      <c r="AI1071" s="29"/>
      <c r="AJ1071" s="29"/>
      <c r="AK1071" s="30"/>
      <c r="AL1071" s="29"/>
      <c r="AM1071" s="29"/>
      <c r="AN1071" s="29"/>
      <c r="AO1071" s="29"/>
      <c r="AP1071" s="29"/>
      <c r="AQ1071" s="29"/>
      <c r="AR1071" s="29"/>
      <c r="AS1071" s="29"/>
      <c r="AT1071" s="29"/>
      <c r="AU1071" s="29"/>
      <c r="AV1071" s="29"/>
      <c r="AW1071" s="29"/>
      <c r="AX1071" s="29"/>
      <c r="AY1071" s="29"/>
      <c r="AZ1071" s="29"/>
      <c r="BA1071" s="29"/>
      <c r="BB1071" s="29"/>
      <c r="BC1071" s="29"/>
      <c r="BD1071" s="29"/>
      <c r="BE1071" s="29"/>
      <c r="BF1071" s="29"/>
      <c r="BG1071" s="29"/>
      <c r="BH1071" s="29"/>
      <c r="BI1071" s="29"/>
      <c r="BJ1071" s="29"/>
      <c r="BK1071" s="29"/>
      <c r="BL1071" s="29"/>
      <c r="BM1071" s="29"/>
      <c r="BN1071" s="20">
        <f t="shared" si="143"/>
        <v>0</v>
      </c>
      <c r="BO1071" s="20">
        <f t="shared" si="144"/>
        <v>0</v>
      </c>
      <c r="BP1071" s="20">
        <f t="shared" si="145"/>
        <v>12315</v>
      </c>
      <c r="BQ1071" s="51" t="s">
        <v>1614</v>
      </c>
      <c r="BR1071" s="56"/>
      <c r="BS1071" s="111"/>
      <c r="BT1071" s="36"/>
      <c r="BU1071" s="112"/>
    </row>
    <row r="1072" s="1" customFormat="1" customHeight="1" spans="1:73">
      <c r="A1072" s="15" t="s">
        <v>1627</v>
      </c>
      <c r="B1072" s="15" t="s">
        <v>1613</v>
      </c>
      <c r="C1072" s="16">
        <v>1402</v>
      </c>
      <c r="D1072" s="29"/>
      <c r="E1072" s="30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30"/>
      <c r="AH1072" s="29"/>
      <c r="AI1072" s="29"/>
      <c r="AJ1072" s="29"/>
      <c r="AK1072" s="30"/>
      <c r="AL1072" s="29"/>
      <c r="AM1072" s="29"/>
      <c r="AN1072" s="29"/>
      <c r="AO1072" s="29"/>
      <c r="AP1072" s="29"/>
      <c r="AQ1072" s="29"/>
      <c r="AR1072" s="29"/>
      <c r="AS1072" s="29"/>
      <c r="AT1072" s="29"/>
      <c r="AU1072" s="29"/>
      <c r="AV1072" s="29"/>
      <c r="AW1072" s="29"/>
      <c r="AX1072" s="29"/>
      <c r="AY1072" s="29"/>
      <c r="AZ1072" s="29"/>
      <c r="BA1072" s="29"/>
      <c r="BB1072" s="29"/>
      <c r="BC1072" s="29"/>
      <c r="BD1072" s="29"/>
      <c r="BE1072" s="29"/>
      <c r="BF1072" s="29"/>
      <c r="BG1072" s="29"/>
      <c r="BH1072" s="29"/>
      <c r="BI1072" s="29"/>
      <c r="BJ1072" s="29"/>
      <c r="BK1072" s="29"/>
      <c r="BL1072" s="29"/>
      <c r="BM1072" s="29"/>
      <c r="BN1072" s="20">
        <f t="shared" si="143"/>
        <v>0</v>
      </c>
      <c r="BO1072" s="20">
        <f t="shared" si="144"/>
        <v>0</v>
      </c>
      <c r="BP1072" s="20">
        <f t="shared" si="145"/>
        <v>1402</v>
      </c>
      <c r="BQ1072" s="51" t="s">
        <v>1614</v>
      </c>
      <c r="BR1072" s="56"/>
      <c r="BS1072" s="111"/>
      <c r="BT1072" s="36"/>
      <c r="BU1072" s="112"/>
    </row>
    <row r="1073" s="1" customFormat="1" customHeight="1" spans="1:73">
      <c r="A1073" s="15" t="s">
        <v>1628</v>
      </c>
      <c r="B1073" s="15" t="s">
        <v>1613</v>
      </c>
      <c r="C1073" s="16">
        <v>590</v>
      </c>
      <c r="D1073" s="29"/>
      <c r="E1073" s="30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30"/>
      <c r="AH1073" s="29"/>
      <c r="AI1073" s="29"/>
      <c r="AJ1073" s="29"/>
      <c r="AK1073" s="30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  <c r="AZ1073" s="29"/>
      <c r="BA1073" s="29"/>
      <c r="BB1073" s="29"/>
      <c r="BC1073" s="29"/>
      <c r="BD1073" s="29"/>
      <c r="BE1073" s="29"/>
      <c r="BF1073" s="29"/>
      <c r="BG1073" s="29"/>
      <c r="BH1073" s="29"/>
      <c r="BI1073" s="29"/>
      <c r="BJ1073" s="29"/>
      <c r="BK1073" s="29"/>
      <c r="BL1073" s="29"/>
      <c r="BM1073" s="29"/>
      <c r="BN1073" s="20">
        <f t="shared" si="143"/>
        <v>0</v>
      </c>
      <c r="BO1073" s="20">
        <f t="shared" si="144"/>
        <v>0</v>
      </c>
      <c r="BP1073" s="20">
        <f t="shared" si="145"/>
        <v>590</v>
      </c>
      <c r="BQ1073" s="51" t="s">
        <v>1614</v>
      </c>
      <c r="BR1073" s="56"/>
      <c r="BS1073" s="111"/>
      <c r="BT1073" s="36"/>
      <c r="BU1073" s="112"/>
    </row>
    <row r="1074" s="1" customFormat="1" customHeight="1" spans="1:73">
      <c r="A1074" s="15" t="s">
        <v>1629</v>
      </c>
      <c r="B1074" s="15" t="s">
        <v>1613</v>
      </c>
      <c r="C1074" s="16">
        <v>3864</v>
      </c>
      <c r="D1074" s="29"/>
      <c r="E1074" s="30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30"/>
      <c r="AH1074" s="29"/>
      <c r="AI1074" s="29"/>
      <c r="AJ1074" s="29"/>
      <c r="AK1074" s="30"/>
      <c r="AL1074" s="29"/>
      <c r="AM1074" s="29"/>
      <c r="AN1074" s="29"/>
      <c r="AO1074" s="29"/>
      <c r="AP1074" s="29"/>
      <c r="AQ1074" s="29"/>
      <c r="AR1074" s="29"/>
      <c r="AS1074" s="29"/>
      <c r="AT1074" s="29"/>
      <c r="AU1074" s="29"/>
      <c r="AV1074" s="29"/>
      <c r="AW1074" s="29"/>
      <c r="AX1074" s="29"/>
      <c r="AY1074" s="29"/>
      <c r="AZ1074" s="29"/>
      <c r="BA1074" s="29"/>
      <c r="BB1074" s="29"/>
      <c r="BC1074" s="29"/>
      <c r="BD1074" s="29"/>
      <c r="BE1074" s="29"/>
      <c r="BF1074" s="29"/>
      <c r="BG1074" s="29"/>
      <c r="BH1074" s="29"/>
      <c r="BI1074" s="29"/>
      <c r="BJ1074" s="29"/>
      <c r="BK1074" s="29"/>
      <c r="BL1074" s="29"/>
      <c r="BM1074" s="29"/>
      <c r="BN1074" s="20">
        <f t="shared" si="143"/>
        <v>0</v>
      </c>
      <c r="BO1074" s="20">
        <f t="shared" si="144"/>
        <v>0</v>
      </c>
      <c r="BP1074" s="20">
        <f t="shared" si="145"/>
        <v>3864</v>
      </c>
      <c r="BQ1074" s="51" t="s">
        <v>1614</v>
      </c>
      <c r="BR1074" s="56"/>
      <c r="BS1074" s="111"/>
      <c r="BT1074" s="36"/>
      <c r="BU1074" s="112"/>
    </row>
    <row r="1075" s="1" customFormat="1" customHeight="1" spans="1:73">
      <c r="A1075" s="15" t="s">
        <v>1630</v>
      </c>
      <c r="B1075" s="15" t="s">
        <v>1613</v>
      </c>
      <c r="C1075" s="16">
        <v>1100</v>
      </c>
      <c r="D1075" s="29"/>
      <c r="E1075" s="30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30"/>
      <c r="AH1075" s="29"/>
      <c r="AI1075" s="29"/>
      <c r="AJ1075" s="29"/>
      <c r="AK1075" s="30"/>
      <c r="AL1075" s="29"/>
      <c r="AM1075" s="29"/>
      <c r="AN1075" s="29"/>
      <c r="AO1075" s="29"/>
      <c r="AP1075" s="29"/>
      <c r="AQ1075" s="29"/>
      <c r="AR1075" s="29"/>
      <c r="AS1075" s="29"/>
      <c r="AT1075" s="29"/>
      <c r="AU1075" s="29"/>
      <c r="AV1075" s="29"/>
      <c r="AW1075" s="29"/>
      <c r="AX1075" s="29"/>
      <c r="AY1075" s="29"/>
      <c r="AZ1075" s="29"/>
      <c r="BA1075" s="29"/>
      <c r="BB1075" s="29"/>
      <c r="BC1075" s="29"/>
      <c r="BD1075" s="29"/>
      <c r="BE1075" s="29"/>
      <c r="BF1075" s="29"/>
      <c r="BG1075" s="29"/>
      <c r="BH1075" s="29"/>
      <c r="BI1075" s="29"/>
      <c r="BJ1075" s="29"/>
      <c r="BK1075" s="29"/>
      <c r="BL1075" s="29"/>
      <c r="BM1075" s="29"/>
      <c r="BN1075" s="20">
        <f t="shared" si="143"/>
        <v>0</v>
      </c>
      <c r="BO1075" s="20">
        <f t="shared" si="144"/>
        <v>0</v>
      </c>
      <c r="BP1075" s="20">
        <f t="shared" si="145"/>
        <v>1100</v>
      </c>
      <c r="BQ1075" s="51" t="s">
        <v>1614</v>
      </c>
      <c r="BR1075" s="56"/>
      <c r="BS1075" s="111"/>
      <c r="BT1075" s="36"/>
      <c r="BU1075" s="112"/>
    </row>
    <row r="1076" s="1" customFormat="1" customHeight="1" spans="1:73">
      <c r="A1076" s="15" t="s">
        <v>1631</v>
      </c>
      <c r="B1076" s="15" t="s">
        <v>1632</v>
      </c>
      <c r="C1076" s="16">
        <v>2090</v>
      </c>
      <c r="D1076" s="29"/>
      <c r="E1076" s="30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30"/>
      <c r="AH1076" s="29"/>
      <c r="AI1076" s="29"/>
      <c r="AJ1076" s="29"/>
      <c r="AK1076" s="30"/>
      <c r="AL1076" s="29"/>
      <c r="AM1076" s="29"/>
      <c r="AN1076" s="29"/>
      <c r="AO1076" s="29"/>
      <c r="AP1076" s="29"/>
      <c r="AQ1076" s="29"/>
      <c r="AR1076" s="29"/>
      <c r="AS1076" s="29"/>
      <c r="AT1076" s="29"/>
      <c r="AU1076" s="29"/>
      <c r="AV1076" s="29"/>
      <c r="AW1076" s="29"/>
      <c r="AX1076" s="29"/>
      <c r="AY1076" s="29"/>
      <c r="AZ1076" s="29"/>
      <c r="BA1076" s="29"/>
      <c r="BB1076" s="29"/>
      <c r="BC1076" s="29"/>
      <c r="BD1076" s="29"/>
      <c r="BE1076" s="29"/>
      <c r="BF1076" s="29"/>
      <c r="BG1076" s="29"/>
      <c r="BH1076" s="29"/>
      <c r="BI1076" s="29"/>
      <c r="BJ1076" s="29"/>
      <c r="BK1076" s="29"/>
      <c r="BL1076" s="29"/>
      <c r="BM1076" s="29"/>
      <c r="BN1076" s="20">
        <f t="shared" si="143"/>
        <v>0</v>
      </c>
      <c r="BO1076" s="20">
        <f t="shared" si="144"/>
        <v>0</v>
      </c>
      <c r="BP1076" s="20">
        <f t="shared" si="145"/>
        <v>2090</v>
      </c>
      <c r="BQ1076" s="51"/>
      <c r="BR1076" s="56"/>
      <c r="BS1076" s="111" t="s">
        <v>1633</v>
      </c>
      <c r="BT1076" s="36"/>
      <c r="BU1076" s="112"/>
    </row>
    <row r="1077" s="2" customFormat="1" customHeight="1" spans="1:73">
      <c r="A1077" s="15" t="s">
        <v>1634</v>
      </c>
      <c r="B1077" s="15" t="s">
        <v>1632</v>
      </c>
      <c r="C1077" s="16">
        <v>861</v>
      </c>
      <c r="D1077" s="29"/>
      <c r="E1077" s="30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30"/>
      <c r="AH1077" s="29"/>
      <c r="AI1077" s="29"/>
      <c r="AJ1077" s="29"/>
      <c r="AK1077" s="30"/>
      <c r="AL1077" s="29"/>
      <c r="AM1077" s="29"/>
      <c r="AN1077" s="29"/>
      <c r="AO1077" s="29"/>
      <c r="AP1077" s="29"/>
      <c r="AQ1077" s="29"/>
      <c r="AR1077" s="29"/>
      <c r="AS1077" s="29"/>
      <c r="AT1077" s="29"/>
      <c r="AU1077" s="29"/>
      <c r="AV1077" s="29"/>
      <c r="AW1077" s="29"/>
      <c r="AX1077" s="29"/>
      <c r="AY1077" s="29"/>
      <c r="AZ1077" s="29"/>
      <c r="BA1077" s="29"/>
      <c r="BB1077" s="29"/>
      <c r="BC1077" s="29"/>
      <c r="BD1077" s="29"/>
      <c r="BE1077" s="29"/>
      <c r="BF1077" s="29"/>
      <c r="BG1077" s="29"/>
      <c r="BH1077" s="29"/>
      <c r="BI1077" s="29"/>
      <c r="BJ1077" s="29"/>
      <c r="BK1077" s="29"/>
      <c r="BL1077" s="29"/>
      <c r="BM1077" s="29"/>
      <c r="BN1077" s="20">
        <f t="shared" si="143"/>
        <v>0</v>
      </c>
      <c r="BO1077" s="20">
        <f t="shared" si="144"/>
        <v>0</v>
      </c>
      <c r="BP1077" s="20">
        <f t="shared" si="145"/>
        <v>861</v>
      </c>
      <c r="BQ1077" s="51"/>
      <c r="BR1077" s="56"/>
      <c r="BS1077" s="164" t="s">
        <v>1635</v>
      </c>
      <c r="BT1077" s="78"/>
      <c r="BU1077" s="112" t="s">
        <v>1636</v>
      </c>
    </row>
    <row r="1078" s="1" customFormat="1" customHeight="1" spans="1:73">
      <c r="A1078" s="15" t="s">
        <v>1637</v>
      </c>
      <c r="B1078" s="15" t="s">
        <v>1638</v>
      </c>
      <c r="C1078" s="16">
        <v>6535</v>
      </c>
      <c r="D1078" s="29">
        <v>45000</v>
      </c>
      <c r="E1078" s="30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30"/>
      <c r="AH1078" s="29"/>
      <c r="AI1078" s="29"/>
      <c r="AJ1078" s="29"/>
      <c r="AK1078" s="30"/>
      <c r="AL1078" s="29"/>
      <c r="AM1078" s="29"/>
      <c r="AN1078" s="29"/>
      <c r="AO1078" s="29"/>
      <c r="AP1078" s="29"/>
      <c r="AQ1078" s="29"/>
      <c r="AR1078" s="29"/>
      <c r="AS1078" s="29"/>
      <c r="AT1078" s="29"/>
      <c r="AU1078" s="29"/>
      <c r="AV1078" s="29"/>
      <c r="AW1078" s="29"/>
      <c r="AX1078" s="29"/>
      <c r="AY1078" s="29"/>
      <c r="AZ1078" s="29"/>
      <c r="BA1078" s="29"/>
      <c r="BB1078" s="29"/>
      <c r="BC1078" s="29"/>
      <c r="BD1078" s="29"/>
      <c r="BE1078" s="29"/>
      <c r="BF1078" s="29"/>
      <c r="BG1078" s="29"/>
      <c r="BH1078" s="29"/>
      <c r="BI1078" s="29"/>
      <c r="BJ1078" s="29"/>
      <c r="BK1078" s="29"/>
      <c r="BL1078" s="29"/>
      <c r="BM1078" s="29"/>
      <c r="BN1078" s="20">
        <f t="shared" si="143"/>
        <v>45000</v>
      </c>
      <c r="BO1078" s="20">
        <f t="shared" si="144"/>
        <v>0</v>
      </c>
      <c r="BP1078" s="20">
        <f t="shared" si="145"/>
        <v>51535</v>
      </c>
      <c r="BQ1078" s="51"/>
      <c r="BR1078" s="56"/>
      <c r="BS1078" s="111" t="s">
        <v>1639</v>
      </c>
      <c r="BT1078" s="36"/>
      <c r="BU1078" s="112"/>
    </row>
    <row r="1079" s="1" customFormat="1" customHeight="1" spans="1:73">
      <c r="A1079" s="15" t="s">
        <v>1640</v>
      </c>
      <c r="B1079" s="15" t="s">
        <v>1641</v>
      </c>
      <c r="C1079" s="16">
        <v>4136</v>
      </c>
      <c r="D1079" s="29"/>
      <c r="E1079" s="30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30"/>
      <c r="AH1079" s="29"/>
      <c r="AI1079" s="29"/>
      <c r="AJ1079" s="29"/>
      <c r="AK1079" s="30"/>
      <c r="AL1079" s="29"/>
      <c r="AM1079" s="29"/>
      <c r="AN1079" s="29"/>
      <c r="AO1079" s="29"/>
      <c r="AP1079" s="29"/>
      <c r="AQ1079" s="29"/>
      <c r="AR1079" s="29"/>
      <c r="AS1079" s="29"/>
      <c r="AT1079" s="29"/>
      <c r="AU1079" s="29"/>
      <c r="AV1079" s="29"/>
      <c r="AW1079" s="29"/>
      <c r="AX1079" s="29"/>
      <c r="AY1079" s="29"/>
      <c r="AZ1079" s="29"/>
      <c r="BA1079" s="29"/>
      <c r="BB1079" s="29"/>
      <c r="BC1079" s="29"/>
      <c r="BD1079" s="29"/>
      <c r="BE1079" s="29"/>
      <c r="BF1079" s="29"/>
      <c r="BG1079" s="29"/>
      <c r="BH1079" s="29"/>
      <c r="BI1079" s="29"/>
      <c r="BJ1079" s="29"/>
      <c r="BK1079" s="29"/>
      <c r="BL1079" s="29"/>
      <c r="BM1079" s="29"/>
      <c r="BN1079" s="20">
        <f t="shared" si="143"/>
        <v>0</v>
      </c>
      <c r="BO1079" s="20">
        <f t="shared" si="144"/>
        <v>0</v>
      </c>
      <c r="BP1079" s="20">
        <f t="shared" si="145"/>
        <v>4136</v>
      </c>
      <c r="BQ1079" s="51"/>
      <c r="BR1079" s="56"/>
      <c r="BS1079" s="111" t="s">
        <v>1636</v>
      </c>
      <c r="BT1079" s="36" t="s">
        <v>1635</v>
      </c>
      <c r="BU1079" s="112"/>
    </row>
    <row r="1080" s="1" customFormat="1" customHeight="1" spans="1:73">
      <c r="A1080" s="15" t="s">
        <v>1642</v>
      </c>
      <c r="B1080" s="15" t="s">
        <v>1643</v>
      </c>
      <c r="C1080" s="16">
        <v>13996</v>
      </c>
      <c r="D1080" s="29">
        <v>135000</v>
      </c>
      <c r="E1080" s="30"/>
      <c r="F1080" s="29"/>
      <c r="G1080" s="29"/>
      <c r="H1080" s="29"/>
      <c r="I1080" s="29">
        <v>60300</v>
      </c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30"/>
      <c r="AH1080" s="29"/>
      <c r="AI1080" s="29"/>
      <c r="AJ1080" s="29"/>
      <c r="AK1080" s="30"/>
      <c r="AL1080" s="29"/>
      <c r="AM1080" s="29"/>
      <c r="AN1080" s="29"/>
      <c r="AO1080" s="29"/>
      <c r="AP1080" s="29"/>
      <c r="AQ1080" s="29"/>
      <c r="AR1080" s="29"/>
      <c r="AS1080" s="29"/>
      <c r="AT1080" s="29"/>
      <c r="AU1080" s="29"/>
      <c r="AV1080" s="29"/>
      <c r="AW1080" s="29"/>
      <c r="AX1080" s="29"/>
      <c r="AY1080" s="29"/>
      <c r="AZ1080" s="29"/>
      <c r="BA1080" s="29"/>
      <c r="BB1080" s="29"/>
      <c r="BC1080" s="29"/>
      <c r="BD1080" s="29"/>
      <c r="BE1080" s="29"/>
      <c r="BF1080" s="29"/>
      <c r="BG1080" s="29"/>
      <c r="BH1080" s="29"/>
      <c r="BI1080" s="29"/>
      <c r="BJ1080" s="29"/>
      <c r="BK1080" s="29"/>
      <c r="BL1080" s="29"/>
      <c r="BM1080" s="29"/>
      <c r="BN1080" s="20">
        <f t="shared" si="143"/>
        <v>135000</v>
      </c>
      <c r="BO1080" s="20">
        <f t="shared" si="144"/>
        <v>60300</v>
      </c>
      <c r="BP1080" s="20">
        <f t="shared" si="145"/>
        <v>88696</v>
      </c>
      <c r="BQ1080" s="51"/>
      <c r="BR1080" s="56"/>
      <c r="BS1080" s="111"/>
      <c r="BT1080" s="36"/>
      <c r="BU1080" s="112"/>
    </row>
    <row r="1081" s="1" customFormat="1" customHeight="1" spans="1:73">
      <c r="A1081" s="15" t="s">
        <v>1644</v>
      </c>
      <c r="B1081" s="15" t="s">
        <v>1638</v>
      </c>
      <c r="C1081" s="16">
        <v>5779</v>
      </c>
      <c r="D1081" s="29"/>
      <c r="E1081" s="30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30"/>
      <c r="AH1081" s="29"/>
      <c r="AI1081" s="29"/>
      <c r="AJ1081" s="29"/>
      <c r="AK1081" s="30"/>
      <c r="AL1081" s="29"/>
      <c r="AM1081" s="29"/>
      <c r="AN1081" s="29"/>
      <c r="AO1081" s="29"/>
      <c r="AP1081" s="29"/>
      <c r="AQ1081" s="29"/>
      <c r="AR1081" s="29"/>
      <c r="AS1081" s="29"/>
      <c r="AT1081" s="29"/>
      <c r="AU1081" s="29"/>
      <c r="AV1081" s="29"/>
      <c r="AW1081" s="29"/>
      <c r="AX1081" s="29"/>
      <c r="AY1081" s="29"/>
      <c r="AZ1081" s="29"/>
      <c r="BA1081" s="29"/>
      <c r="BB1081" s="29"/>
      <c r="BC1081" s="29"/>
      <c r="BD1081" s="29"/>
      <c r="BE1081" s="29"/>
      <c r="BF1081" s="29"/>
      <c r="BG1081" s="29"/>
      <c r="BH1081" s="29"/>
      <c r="BI1081" s="29"/>
      <c r="BJ1081" s="29"/>
      <c r="BK1081" s="29"/>
      <c r="BL1081" s="29"/>
      <c r="BM1081" s="29"/>
      <c r="BN1081" s="20">
        <f t="shared" si="143"/>
        <v>0</v>
      </c>
      <c r="BO1081" s="20">
        <f t="shared" si="144"/>
        <v>0</v>
      </c>
      <c r="BP1081" s="20">
        <f t="shared" si="145"/>
        <v>5779</v>
      </c>
      <c r="BQ1081" s="51"/>
      <c r="BR1081" s="56"/>
      <c r="BS1081" s="111" t="s">
        <v>1645</v>
      </c>
      <c r="BT1081" s="36"/>
      <c r="BU1081" s="112"/>
    </row>
    <row r="1082" s="1" customFormat="1" customHeight="1" spans="1:73">
      <c r="A1082" s="15" t="s">
        <v>1646</v>
      </c>
      <c r="B1082" s="15" t="s">
        <v>1647</v>
      </c>
      <c r="C1082" s="16">
        <v>7164</v>
      </c>
      <c r="D1082" s="29"/>
      <c r="E1082" s="30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30"/>
      <c r="AH1082" s="29"/>
      <c r="AI1082" s="29"/>
      <c r="AJ1082" s="29"/>
      <c r="AK1082" s="30"/>
      <c r="AL1082" s="29"/>
      <c r="AM1082" s="29"/>
      <c r="AN1082" s="29"/>
      <c r="AO1082" s="29"/>
      <c r="AP1082" s="29"/>
      <c r="AQ1082" s="29"/>
      <c r="AR1082" s="29"/>
      <c r="AS1082" s="29"/>
      <c r="AT1082" s="29"/>
      <c r="AU1082" s="29"/>
      <c r="AV1082" s="29"/>
      <c r="AW1082" s="29"/>
      <c r="AX1082" s="29"/>
      <c r="AY1082" s="29"/>
      <c r="AZ1082" s="29"/>
      <c r="BA1082" s="29"/>
      <c r="BB1082" s="29"/>
      <c r="BC1082" s="29"/>
      <c r="BD1082" s="29"/>
      <c r="BE1082" s="29"/>
      <c r="BF1082" s="29"/>
      <c r="BG1082" s="29"/>
      <c r="BH1082" s="29"/>
      <c r="BI1082" s="29"/>
      <c r="BJ1082" s="29"/>
      <c r="BK1082" s="29"/>
      <c r="BL1082" s="29"/>
      <c r="BM1082" s="29"/>
      <c r="BN1082" s="20">
        <f t="shared" si="143"/>
        <v>0</v>
      </c>
      <c r="BO1082" s="20">
        <f t="shared" si="144"/>
        <v>0</v>
      </c>
      <c r="BP1082" s="20">
        <f t="shared" si="145"/>
        <v>7164</v>
      </c>
      <c r="BQ1082" s="51"/>
      <c r="BR1082" s="56"/>
      <c r="BS1082" s="111">
        <v>0.04</v>
      </c>
      <c r="BT1082" s="36"/>
      <c r="BU1082" s="112"/>
    </row>
    <row r="1083" s="1" customFormat="1" customHeight="1" spans="1:73">
      <c r="A1083" s="15" t="s">
        <v>1648</v>
      </c>
      <c r="B1083" s="15" t="s">
        <v>1647</v>
      </c>
      <c r="C1083" s="16">
        <v>-52</v>
      </c>
      <c r="D1083" s="29"/>
      <c r="E1083" s="30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30"/>
      <c r="AH1083" s="29"/>
      <c r="AI1083" s="29"/>
      <c r="AJ1083" s="29"/>
      <c r="AK1083" s="30"/>
      <c r="AL1083" s="29"/>
      <c r="AM1083" s="29"/>
      <c r="AN1083" s="29"/>
      <c r="AO1083" s="29"/>
      <c r="AP1083" s="29"/>
      <c r="AQ1083" s="29"/>
      <c r="AR1083" s="29"/>
      <c r="AS1083" s="29"/>
      <c r="AT1083" s="29"/>
      <c r="AU1083" s="29"/>
      <c r="AV1083" s="29"/>
      <c r="AW1083" s="29"/>
      <c r="AX1083" s="29"/>
      <c r="AY1083" s="29"/>
      <c r="AZ1083" s="29"/>
      <c r="BA1083" s="29"/>
      <c r="BB1083" s="29"/>
      <c r="BC1083" s="29"/>
      <c r="BD1083" s="29"/>
      <c r="BE1083" s="29"/>
      <c r="BF1083" s="29"/>
      <c r="BG1083" s="29"/>
      <c r="BH1083" s="29"/>
      <c r="BI1083" s="29"/>
      <c r="BJ1083" s="29"/>
      <c r="BK1083" s="29"/>
      <c r="BL1083" s="29"/>
      <c r="BM1083" s="29"/>
      <c r="BN1083" s="20">
        <f t="shared" si="143"/>
        <v>0</v>
      </c>
      <c r="BO1083" s="20">
        <f t="shared" si="144"/>
        <v>0</v>
      </c>
      <c r="BP1083" s="20">
        <f t="shared" si="145"/>
        <v>-52</v>
      </c>
      <c r="BQ1083" s="51"/>
      <c r="BR1083" s="56"/>
      <c r="BS1083" s="111">
        <v>0.04</v>
      </c>
      <c r="BT1083" s="36"/>
      <c r="BU1083" s="112"/>
    </row>
    <row r="1084" s="1" customFormat="1" customHeight="1" spans="1:73">
      <c r="A1084" s="15" t="s">
        <v>1649</v>
      </c>
      <c r="B1084" s="15" t="s">
        <v>1647</v>
      </c>
      <c r="C1084" s="16">
        <v>2594</v>
      </c>
      <c r="D1084" s="29"/>
      <c r="E1084" s="30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30"/>
      <c r="AH1084" s="29"/>
      <c r="AI1084" s="29"/>
      <c r="AJ1084" s="29"/>
      <c r="AK1084" s="30"/>
      <c r="AL1084" s="29"/>
      <c r="AM1084" s="29"/>
      <c r="AN1084" s="29"/>
      <c r="AO1084" s="29"/>
      <c r="AP1084" s="29"/>
      <c r="AQ1084" s="29"/>
      <c r="AR1084" s="29"/>
      <c r="AS1084" s="29"/>
      <c r="AT1084" s="29"/>
      <c r="AU1084" s="29"/>
      <c r="AV1084" s="29"/>
      <c r="AW1084" s="29"/>
      <c r="AX1084" s="29"/>
      <c r="AY1084" s="29"/>
      <c r="AZ1084" s="29"/>
      <c r="BA1084" s="29"/>
      <c r="BB1084" s="29"/>
      <c r="BC1084" s="29"/>
      <c r="BD1084" s="29"/>
      <c r="BE1084" s="29"/>
      <c r="BF1084" s="29"/>
      <c r="BG1084" s="29"/>
      <c r="BH1084" s="29"/>
      <c r="BI1084" s="29"/>
      <c r="BJ1084" s="29"/>
      <c r="BK1084" s="29"/>
      <c r="BL1084" s="29"/>
      <c r="BM1084" s="29"/>
      <c r="BN1084" s="20">
        <f t="shared" si="143"/>
        <v>0</v>
      </c>
      <c r="BO1084" s="20">
        <f t="shared" si="144"/>
        <v>0</v>
      </c>
      <c r="BP1084" s="20">
        <f t="shared" si="145"/>
        <v>2594</v>
      </c>
      <c r="BQ1084" s="51"/>
      <c r="BR1084" s="56"/>
      <c r="BS1084" s="111">
        <v>0.04</v>
      </c>
      <c r="BT1084" s="36"/>
      <c r="BU1084" s="112"/>
    </row>
    <row r="1085" s="1" customFormat="1" customHeight="1" spans="1:73">
      <c r="A1085" s="15" t="s">
        <v>1650</v>
      </c>
      <c r="B1085" s="15" t="s">
        <v>1651</v>
      </c>
      <c r="C1085" s="16">
        <v>7135</v>
      </c>
      <c r="D1085" s="29"/>
      <c r="E1085" s="30"/>
      <c r="F1085" s="29"/>
      <c r="G1085" s="29"/>
      <c r="H1085" s="29"/>
      <c r="I1085" s="29">
        <v>4635</v>
      </c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30"/>
      <c r="AH1085" s="29"/>
      <c r="AI1085" s="29"/>
      <c r="AJ1085" s="29"/>
      <c r="AK1085" s="30"/>
      <c r="AL1085" s="29"/>
      <c r="AM1085" s="29"/>
      <c r="AN1085" s="29"/>
      <c r="AO1085" s="29"/>
      <c r="AP1085" s="29"/>
      <c r="AQ1085" s="29"/>
      <c r="AR1085" s="29"/>
      <c r="AS1085" s="29"/>
      <c r="AT1085" s="29"/>
      <c r="AU1085" s="29"/>
      <c r="AV1085" s="29"/>
      <c r="AW1085" s="29"/>
      <c r="AX1085" s="29"/>
      <c r="AY1085" s="29"/>
      <c r="AZ1085" s="29"/>
      <c r="BA1085" s="29"/>
      <c r="BB1085" s="29"/>
      <c r="BC1085" s="29"/>
      <c r="BD1085" s="29"/>
      <c r="BE1085" s="29"/>
      <c r="BF1085" s="29"/>
      <c r="BG1085" s="29"/>
      <c r="BH1085" s="29"/>
      <c r="BI1085" s="29"/>
      <c r="BJ1085" s="29"/>
      <c r="BK1085" s="29"/>
      <c r="BL1085" s="29"/>
      <c r="BM1085" s="29"/>
      <c r="BN1085" s="20">
        <f t="shared" si="143"/>
        <v>0</v>
      </c>
      <c r="BO1085" s="20">
        <f t="shared" si="144"/>
        <v>4635</v>
      </c>
      <c r="BP1085" s="20">
        <f t="shared" si="145"/>
        <v>2500</v>
      </c>
      <c r="BQ1085" s="51"/>
      <c r="BR1085" s="56"/>
      <c r="BS1085" s="111"/>
      <c r="BT1085" s="36"/>
      <c r="BU1085" s="112"/>
    </row>
    <row r="1086" s="1" customFormat="1" customHeight="1" spans="1:73">
      <c r="A1086" s="15" t="s">
        <v>1652</v>
      </c>
      <c r="B1086" s="15" t="s">
        <v>1638</v>
      </c>
      <c r="C1086" s="16">
        <v>9921</v>
      </c>
      <c r="D1086" s="29"/>
      <c r="E1086" s="30"/>
      <c r="F1086" s="29"/>
      <c r="G1086" s="29"/>
      <c r="H1086" s="29"/>
      <c r="I1086" s="29">
        <v>315</v>
      </c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30"/>
      <c r="AH1086" s="29"/>
      <c r="AI1086" s="29"/>
      <c r="AJ1086" s="29"/>
      <c r="AK1086" s="30"/>
      <c r="AL1086" s="29"/>
      <c r="AM1086" s="29"/>
      <c r="AN1086" s="29"/>
      <c r="AO1086" s="29"/>
      <c r="AP1086" s="29"/>
      <c r="AQ1086" s="29"/>
      <c r="AR1086" s="29"/>
      <c r="AS1086" s="29"/>
      <c r="AT1086" s="29"/>
      <c r="AU1086" s="29"/>
      <c r="AV1086" s="29"/>
      <c r="AW1086" s="29"/>
      <c r="AX1086" s="29"/>
      <c r="AY1086" s="29"/>
      <c r="AZ1086" s="29"/>
      <c r="BA1086" s="29"/>
      <c r="BB1086" s="29"/>
      <c r="BC1086" s="29"/>
      <c r="BD1086" s="29"/>
      <c r="BE1086" s="29"/>
      <c r="BF1086" s="29"/>
      <c r="BG1086" s="29"/>
      <c r="BH1086" s="29"/>
      <c r="BI1086" s="29"/>
      <c r="BJ1086" s="29"/>
      <c r="BK1086" s="29"/>
      <c r="BL1086" s="29"/>
      <c r="BM1086" s="29"/>
      <c r="BN1086" s="20">
        <f t="shared" si="143"/>
        <v>0</v>
      </c>
      <c r="BO1086" s="20">
        <f t="shared" si="144"/>
        <v>315</v>
      </c>
      <c r="BP1086" s="20">
        <f t="shared" si="145"/>
        <v>9606</v>
      </c>
      <c r="BQ1086" s="51"/>
      <c r="BR1086" s="56"/>
      <c r="BS1086" s="111" t="s">
        <v>1653</v>
      </c>
      <c r="BT1086" s="36"/>
      <c r="BU1086" s="112"/>
    </row>
    <row r="1087" s="1" customFormat="1" customHeight="1" spans="1:73">
      <c r="A1087" s="15" t="s">
        <v>1654</v>
      </c>
      <c r="B1087" s="15" t="s">
        <v>1655</v>
      </c>
      <c r="C1087" s="16">
        <v>8828</v>
      </c>
      <c r="D1087" s="29"/>
      <c r="E1087" s="30"/>
      <c r="F1087" s="29"/>
      <c r="G1087" s="30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30"/>
      <c r="AH1087" s="29"/>
      <c r="AI1087" s="29"/>
      <c r="AJ1087" s="29"/>
      <c r="AK1087" s="30"/>
      <c r="AL1087" s="29"/>
      <c r="AM1087" s="29"/>
      <c r="AN1087" s="29"/>
      <c r="AO1087" s="29"/>
      <c r="AP1087" s="29"/>
      <c r="AQ1087" s="29"/>
      <c r="AR1087" s="29"/>
      <c r="AS1087" s="29"/>
      <c r="AT1087" s="29"/>
      <c r="AU1087" s="29"/>
      <c r="AV1087" s="29"/>
      <c r="AW1087" s="29"/>
      <c r="AX1087" s="29"/>
      <c r="AY1087" s="29"/>
      <c r="AZ1087" s="29"/>
      <c r="BA1087" s="29"/>
      <c r="BB1087" s="29"/>
      <c r="BC1087" s="29"/>
      <c r="BD1087" s="29"/>
      <c r="BE1087" s="29"/>
      <c r="BF1087" s="29"/>
      <c r="BG1087" s="29"/>
      <c r="BH1087" s="29"/>
      <c r="BI1087" s="29"/>
      <c r="BJ1087" s="29"/>
      <c r="BK1087" s="29"/>
      <c r="BL1087" s="29"/>
      <c r="BM1087" s="29"/>
      <c r="BN1087" s="20">
        <f t="shared" si="143"/>
        <v>0</v>
      </c>
      <c r="BO1087" s="20">
        <f t="shared" si="144"/>
        <v>0</v>
      </c>
      <c r="BP1087" s="20">
        <f t="shared" si="145"/>
        <v>8828</v>
      </c>
      <c r="BQ1087" s="51"/>
      <c r="BR1087" s="56"/>
      <c r="BS1087" s="111" t="s">
        <v>1656</v>
      </c>
      <c r="BT1087" s="36"/>
      <c r="BU1087" s="112"/>
    </row>
    <row r="1088" s="1" customFormat="1" customHeight="1" spans="1:73">
      <c r="A1088" s="15" t="s">
        <v>1657</v>
      </c>
      <c r="B1088" s="15" t="s">
        <v>1658</v>
      </c>
      <c r="C1088" s="16">
        <v>4520</v>
      </c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30"/>
      <c r="AH1088" s="29"/>
      <c r="AI1088" s="29"/>
      <c r="AJ1088" s="29"/>
      <c r="AK1088" s="30"/>
      <c r="AL1088" s="29"/>
      <c r="AM1088" s="29"/>
      <c r="AN1088" s="29"/>
      <c r="AO1088" s="29"/>
      <c r="AP1088" s="29"/>
      <c r="AQ1088" s="29"/>
      <c r="AR1088" s="29"/>
      <c r="AS1088" s="29"/>
      <c r="AT1088" s="29"/>
      <c r="AU1088" s="29"/>
      <c r="AV1088" s="29"/>
      <c r="AW1088" s="29"/>
      <c r="AX1088" s="29"/>
      <c r="AY1088" s="29"/>
      <c r="AZ1088" s="29"/>
      <c r="BA1088" s="29"/>
      <c r="BB1088" s="29"/>
      <c r="BC1088" s="29"/>
      <c r="BD1088" s="29"/>
      <c r="BE1088" s="29"/>
      <c r="BF1088" s="29"/>
      <c r="BG1088" s="29"/>
      <c r="BH1088" s="29"/>
      <c r="BI1088" s="29"/>
      <c r="BJ1088" s="29"/>
      <c r="BK1088" s="29"/>
      <c r="BL1088" s="29"/>
      <c r="BM1088" s="29"/>
      <c r="BN1088" s="20">
        <f t="shared" si="143"/>
        <v>0</v>
      </c>
      <c r="BO1088" s="20">
        <f t="shared" si="144"/>
        <v>0</v>
      </c>
      <c r="BP1088" s="20">
        <f t="shared" si="145"/>
        <v>4520</v>
      </c>
      <c r="BQ1088" s="51"/>
      <c r="BR1088" s="56"/>
      <c r="BS1088" s="111"/>
      <c r="BT1088" s="36"/>
      <c r="BU1088" s="112"/>
    </row>
    <row r="1089" s="1" customFormat="1" customHeight="1" spans="1:73">
      <c r="A1089" s="15" t="s">
        <v>1659</v>
      </c>
      <c r="B1089" s="15" t="s">
        <v>1660</v>
      </c>
      <c r="C1089" s="16">
        <v>950</v>
      </c>
      <c r="D1089" s="29"/>
      <c r="E1089" s="30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30"/>
      <c r="AH1089" s="29"/>
      <c r="AI1089" s="29"/>
      <c r="AJ1089" s="29"/>
      <c r="AK1089" s="30"/>
      <c r="AL1089" s="29"/>
      <c r="AM1089" s="29"/>
      <c r="AN1089" s="29"/>
      <c r="AO1089" s="29"/>
      <c r="AP1089" s="29"/>
      <c r="AQ1089" s="29"/>
      <c r="AR1089" s="29"/>
      <c r="AS1089" s="29"/>
      <c r="AT1089" s="29"/>
      <c r="AU1089" s="29"/>
      <c r="AV1089" s="29"/>
      <c r="AW1089" s="29"/>
      <c r="AX1089" s="29"/>
      <c r="AY1089" s="29"/>
      <c r="AZ1089" s="29"/>
      <c r="BA1089" s="29"/>
      <c r="BB1089" s="29"/>
      <c r="BC1089" s="29"/>
      <c r="BD1089" s="29"/>
      <c r="BE1089" s="29"/>
      <c r="BF1089" s="29"/>
      <c r="BG1089" s="29"/>
      <c r="BH1089" s="29"/>
      <c r="BI1089" s="29"/>
      <c r="BJ1089" s="29"/>
      <c r="BK1089" s="29"/>
      <c r="BL1089" s="29"/>
      <c r="BM1089" s="29"/>
      <c r="BN1089" s="20">
        <f t="shared" si="143"/>
        <v>0</v>
      </c>
      <c r="BO1089" s="20">
        <f t="shared" si="144"/>
        <v>0</v>
      </c>
      <c r="BP1089" s="20">
        <f t="shared" si="145"/>
        <v>950</v>
      </c>
      <c r="BQ1089" s="51"/>
      <c r="BR1089" s="56"/>
      <c r="BS1089" s="111"/>
      <c r="BT1089" s="36"/>
      <c r="BU1089" s="112"/>
    </row>
    <row r="1090" s="1" customFormat="1" customHeight="1" spans="1:73">
      <c r="A1090" s="15" t="s">
        <v>1661</v>
      </c>
      <c r="B1090" s="15" t="s">
        <v>1662</v>
      </c>
      <c r="C1090" s="16">
        <v>4475</v>
      </c>
      <c r="D1090" s="29"/>
      <c r="E1090" s="30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30"/>
      <c r="AH1090" s="29"/>
      <c r="AI1090" s="29"/>
      <c r="AJ1090" s="29"/>
      <c r="AK1090" s="30"/>
      <c r="AL1090" s="29"/>
      <c r="AM1090" s="29"/>
      <c r="AN1090" s="29"/>
      <c r="AO1090" s="29"/>
      <c r="AP1090" s="29"/>
      <c r="AQ1090" s="29"/>
      <c r="AR1090" s="29"/>
      <c r="AS1090" s="29"/>
      <c r="AT1090" s="29"/>
      <c r="AU1090" s="29"/>
      <c r="AV1090" s="29"/>
      <c r="AW1090" s="29"/>
      <c r="AX1090" s="29"/>
      <c r="AY1090" s="29"/>
      <c r="AZ1090" s="29"/>
      <c r="BA1090" s="29"/>
      <c r="BB1090" s="29"/>
      <c r="BC1090" s="29"/>
      <c r="BD1090" s="29"/>
      <c r="BE1090" s="29"/>
      <c r="BF1090" s="29"/>
      <c r="BG1090" s="29"/>
      <c r="BH1090" s="29"/>
      <c r="BI1090" s="29"/>
      <c r="BJ1090" s="29"/>
      <c r="BK1090" s="29"/>
      <c r="BL1090" s="29"/>
      <c r="BM1090" s="29"/>
      <c r="BN1090" s="20">
        <f t="shared" si="143"/>
        <v>0</v>
      </c>
      <c r="BO1090" s="20">
        <f t="shared" si="144"/>
        <v>0</v>
      </c>
      <c r="BP1090" s="20">
        <f t="shared" si="145"/>
        <v>4475</v>
      </c>
      <c r="BQ1090" s="51"/>
      <c r="BR1090" s="56"/>
      <c r="BS1090" s="111"/>
      <c r="BT1090" s="36"/>
      <c r="BU1090" s="112"/>
    </row>
    <row r="1091" s="1" customFormat="1" customHeight="1" spans="1:73">
      <c r="A1091" s="15" t="s">
        <v>1663</v>
      </c>
      <c r="B1091" s="15" t="s">
        <v>1664</v>
      </c>
      <c r="C1091" s="16">
        <v>2564</v>
      </c>
      <c r="D1091" s="29"/>
      <c r="E1091" s="30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30"/>
      <c r="AH1091" s="29"/>
      <c r="AI1091" s="29"/>
      <c r="AJ1091" s="29"/>
      <c r="AK1091" s="30"/>
      <c r="AL1091" s="29"/>
      <c r="AM1091" s="29"/>
      <c r="AN1091" s="29"/>
      <c r="AO1091" s="29"/>
      <c r="AP1091" s="29"/>
      <c r="AQ1091" s="29"/>
      <c r="AR1091" s="29"/>
      <c r="AS1091" s="29"/>
      <c r="AT1091" s="29"/>
      <c r="AU1091" s="29"/>
      <c r="AV1091" s="29"/>
      <c r="AW1091" s="29"/>
      <c r="AX1091" s="29"/>
      <c r="AY1091" s="29"/>
      <c r="AZ1091" s="29"/>
      <c r="BA1091" s="29"/>
      <c r="BB1091" s="29"/>
      <c r="BC1091" s="29"/>
      <c r="BD1091" s="29"/>
      <c r="BE1091" s="29"/>
      <c r="BF1091" s="29"/>
      <c r="BG1091" s="29"/>
      <c r="BH1091" s="29"/>
      <c r="BI1091" s="29"/>
      <c r="BJ1091" s="29"/>
      <c r="BK1091" s="29"/>
      <c r="BL1091" s="29"/>
      <c r="BM1091" s="29"/>
      <c r="BN1091" s="20">
        <f t="shared" si="143"/>
        <v>0</v>
      </c>
      <c r="BO1091" s="20">
        <f t="shared" si="144"/>
        <v>0</v>
      </c>
      <c r="BP1091" s="20">
        <f t="shared" si="145"/>
        <v>2564</v>
      </c>
      <c r="BQ1091" s="51"/>
      <c r="BR1091" s="56"/>
      <c r="BS1091" s="111"/>
      <c r="BT1091" s="36"/>
      <c r="BU1091" s="112"/>
    </row>
    <row r="1092" s="2" customFormat="1" customHeight="1" spans="1:73">
      <c r="A1092" s="15" t="s">
        <v>1665</v>
      </c>
      <c r="B1092" s="15" t="s">
        <v>1666</v>
      </c>
      <c r="C1092" s="16">
        <v>907</v>
      </c>
      <c r="D1092" s="29"/>
      <c r="E1092" s="30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30"/>
      <c r="AH1092" s="29"/>
      <c r="AI1092" s="29"/>
      <c r="AJ1092" s="29"/>
      <c r="AK1092" s="30"/>
      <c r="AL1092" s="29"/>
      <c r="AM1092" s="29"/>
      <c r="AN1092" s="29"/>
      <c r="AO1092" s="29"/>
      <c r="AP1092" s="29"/>
      <c r="AQ1092" s="29"/>
      <c r="AR1092" s="29"/>
      <c r="AS1092" s="29"/>
      <c r="AT1092" s="29"/>
      <c r="AU1092" s="29"/>
      <c r="AV1092" s="29"/>
      <c r="AW1092" s="29"/>
      <c r="AX1092" s="29"/>
      <c r="AY1092" s="29"/>
      <c r="AZ1092" s="29"/>
      <c r="BA1092" s="29"/>
      <c r="BB1092" s="29"/>
      <c r="BC1092" s="29"/>
      <c r="BD1092" s="29"/>
      <c r="BE1092" s="29"/>
      <c r="BF1092" s="29"/>
      <c r="BG1092" s="29"/>
      <c r="BH1092" s="29"/>
      <c r="BI1092" s="29"/>
      <c r="BJ1092" s="29"/>
      <c r="BK1092" s="29"/>
      <c r="BL1092" s="29"/>
      <c r="BM1092" s="29"/>
      <c r="BN1092" s="20">
        <f t="shared" si="143"/>
        <v>0</v>
      </c>
      <c r="BO1092" s="20">
        <f t="shared" si="144"/>
        <v>0</v>
      </c>
      <c r="BP1092" s="20">
        <f t="shared" si="145"/>
        <v>907</v>
      </c>
      <c r="BQ1092" s="51"/>
      <c r="BR1092" s="56"/>
      <c r="BS1092" s="164" t="s">
        <v>1667</v>
      </c>
      <c r="BT1092" s="78"/>
      <c r="BU1092" s="112"/>
    </row>
    <row r="1093" s="1" customFormat="1" customHeight="1" spans="1:73">
      <c r="A1093" s="15" t="s">
        <v>1668</v>
      </c>
      <c r="B1093" s="15" t="s">
        <v>1669</v>
      </c>
      <c r="C1093" s="16">
        <v>550</v>
      </c>
      <c r="D1093" s="29"/>
      <c r="E1093" s="30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30"/>
      <c r="AH1093" s="29"/>
      <c r="AI1093" s="29"/>
      <c r="AJ1093" s="29"/>
      <c r="AK1093" s="30"/>
      <c r="AL1093" s="29"/>
      <c r="AM1093" s="29"/>
      <c r="AN1093" s="29"/>
      <c r="AO1093" s="29"/>
      <c r="AP1093" s="29"/>
      <c r="AQ1093" s="29"/>
      <c r="AR1093" s="29"/>
      <c r="AS1093" s="29"/>
      <c r="AT1093" s="29"/>
      <c r="AU1093" s="29"/>
      <c r="AV1093" s="29"/>
      <c r="AW1093" s="29"/>
      <c r="AX1093" s="29"/>
      <c r="AY1093" s="29"/>
      <c r="AZ1093" s="29"/>
      <c r="BA1093" s="29"/>
      <c r="BB1093" s="29"/>
      <c r="BC1093" s="29"/>
      <c r="BD1093" s="29"/>
      <c r="BE1093" s="29"/>
      <c r="BF1093" s="29"/>
      <c r="BG1093" s="29"/>
      <c r="BH1093" s="29"/>
      <c r="BI1093" s="29"/>
      <c r="BJ1093" s="29"/>
      <c r="BK1093" s="29"/>
      <c r="BL1093" s="29"/>
      <c r="BM1093" s="29"/>
      <c r="BN1093" s="20">
        <f t="shared" si="143"/>
        <v>0</v>
      </c>
      <c r="BO1093" s="20">
        <f t="shared" si="144"/>
        <v>0</v>
      </c>
      <c r="BP1093" s="20">
        <f t="shared" si="145"/>
        <v>550</v>
      </c>
      <c r="BQ1093" s="51"/>
      <c r="BR1093" s="56"/>
      <c r="BS1093" s="111" t="s">
        <v>1667</v>
      </c>
      <c r="BT1093" s="36"/>
      <c r="BU1093" s="112"/>
    </row>
    <row r="1094" s="1" customFormat="1" customHeight="1" spans="1:73">
      <c r="A1094" s="15" t="s">
        <v>1670</v>
      </c>
      <c r="B1094" s="15" t="s">
        <v>1671</v>
      </c>
      <c r="C1094" s="16">
        <v>-6575</v>
      </c>
      <c r="D1094" s="29">
        <v>8000</v>
      </c>
      <c r="E1094" s="30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30"/>
      <c r="AH1094" s="29"/>
      <c r="AI1094" s="29"/>
      <c r="AJ1094" s="29"/>
      <c r="AK1094" s="30"/>
      <c r="AL1094" s="29"/>
      <c r="AM1094" s="29"/>
      <c r="AN1094" s="29"/>
      <c r="AO1094" s="29"/>
      <c r="AP1094" s="29"/>
      <c r="AQ1094" s="29"/>
      <c r="AR1094" s="29"/>
      <c r="AS1094" s="29"/>
      <c r="AT1094" s="29"/>
      <c r="AU1094" s="29"/>
      <c r="AV1094" s="29"/>
      <c r="AW1094" s="29"/>
      <c r="AX1094" s="29"/>
      <c r="AY1094" s="29"/>
      <c r="AZ1094" s="29"/>
      <c r="BA1094" s="29"/>
      <c r="BB1094" s="29"/>
      <c r="BC1094" s="29"/>
      <c r="BD1094" s="29"/>
      <c r="BE1094" s="29"/>
      <c r="BF1094" s="29"/>
      <c r="BG1094" s="29"/>
      <c r="BH1094" s="29"/>
      <c r="BI1094" s="29"/>
      <c r="BJ1094" s="29"/>
      <c r="BK1094" s="29"/>
      <c r="BL1094" s="29"/>
      <c r="BM1094" s="29"/>
      <c r="BN1094" s="20">
        <f t="shared" si="143"/>
        <v>8000</v>
      </c>
      <c r="BO1094" s="20">
        <f t="shared" si="144"/>
        <v>0</v>
      </c>
      <c r="BP1094" s="20">
        <f t="shared" si="145"/>
        <v>1425</v>
      </c>
      <c r="BQ1094" s="51"/>
      <c r="BR1094" s="56"/>
      <c r="BS1094" s="111"/>
      <c r="BT1094" s="36"/>
      <c r="BU1094" s="112"/>
    </row>
    <row r="1095" s="1" customFormat="1" customHeight="1" spans="1:73">
      <c r="A1095" s="15" t="s">
        <v>1672</v>
      </c>
      <c r="B1095" s="15" t="s">
        <v>1673</v>
      </c>
      <c r="C1095" s="16">
        <v>1525</v>
      </c>
      <c r="D1095" s="29"/>
      <c r="E1095" s="30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30"/>
      <c r="AH1095" s="29"/>
      <c r="AI1095" s="29"/>
      <c r="AJ1095" s="29"/>
      <c r="AK1095" s="30"/>
      <c r="AL1095" s="29"/>
      <c r="AM1095" s="29"/>
      <c r="AN1095" s="29"/>
      <c r="AO1095" s="29"/>
      <c r="AP1095" s="29"/>
      <c r="AQ1095" s="29"/>
      <c r="AR1095" s="29"/>
      <c r="AS1095" s="29"/>
      <c r="AT1095" s="29"/>
      <c r="AU1095" s="29"/>
      <c r="AV1095" s="29"/>
      <c r="AW1095" s="29"/>
      <c r="AX1095" s="29"/>
      <c r="AY1095" s="29"/>
      <c r="AZ1095" s="29"/>
      <c r="BA1095" s="29"/>
      <c r="BB1095" s="29"/>
      <c r="BC1095" s="29"/>
      <c r="BD1095" s="29"/>
      <c r="BE1095" s="29"/>
      <c r="BF1095" s="29"/>
      <c r="BG1095" s="29"/>
      <c r="BH1095" s="29"/>
      <c r="BI1095" s="29"/>
      <c r="BJ1095" s="29"/>
      <c r="BK1095" s="29"/>
      <c r="BL1095" s="29"/>
      <c r="BM1095" s="29"/>
      <c r="BN1095" s="20">
        <f t="shared" si="143"/>
        <v>0</v>
      </c>
      <c r="BO1095" s="20">
        <f t="shared" si="144"/>
        <v>0</v>
      </c>
      <c r="BP1095" s="20">
        <f t="shared" si="145"/>
        <v>1525</v>
      </c>
      <c r="BQ1095" s="51"/>
      <c r="BR1095" s="56"/>
      <c r="BS1095" s="111"/>
      <c r="BT1095" s="36"/>
      <c r="BU1095" s="112"/>
    </row>
    <row r="1096" s="1" customFormat="1" customHeight="1" spans="1:73">
      <c r="A1096" s="15" t="s">
        <v>1674</v>
      </c>
      <c r="B1096" s="15" t="s">
        <v>1675</v>
      </c>
      <c r="C1096" s="16">
        <v>-3125</v>
      </c>
      <c r="D1096" s="29">
        <v>5000</v>
      </c>
      <c r="E1096" s="30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29"/>
      <c r="AH1096" s="29"/>
      <c r="AI1096" s="29"/>
      <c r="AJ1096" s="29"/>
      <c r="AK1096" s="30"/>
      <c r="AL1096" s="29"/>
      <c r="AM1096" s="29"/>
      <c r="AN1096" s="29"/>
      <c r="AO1096" s="29"/>
      <c r="AP1096" s="29"/>
      <c r="AQ1096" s="29"/>
      <c r="AR1096" s="29"/>
      <c r="AS1096" s="29"/>
      <c r="AT1096" s="29"/>
      <c r="AU1096" s="29"/>
      <c r="AV1096" s="29"/>
      <c r="AW1096" s="29"/>
      <c r="AX1096" s="29"/>
      <c r="AY1096" s="29"/>
      <c r="AZ1096" s="29"/>
      <c r="BA1096" s="29"/>
      <c r="BB1096" s="29"/>
      <c r="BC1096" s="29"/>
      <c r="BD1096" s="29"/>
      <c r="BE1096" s="29"/>
      <c r="BF1096" s="29"/>
      <c r="BG1096" s="29"/>
      <c r="BH1096" s="29"/>
      <c r="BI1096" s="29"/>
      <c r="BJ1096" s="29"/>
      <c r="BK1096" s="29"/>
      <c r="BL1096" s="29"/>
      <c r="BM1096" s="29"/>
      <c r="BN1096" s="20">
        <f t="shared" si="143"/>
        <v>5000</v>
      </c>
      <c r="BO1096" s="20">
        <f t="shared" si="144"/>
        <v>0</v>
      </c>
      <c r="BP1096" s="20">
        <f t="shared" si="145"/>
        <v>1875</v>
      </c>
      <c r="BQ1096" s="51"/>
      <c r="BR1096" s="56"/>
      <c r="BS1096" s="111"/>
      <c r="BT1096" s="36"/>
      <c r="BU1096" s="112"/>
    </row>
    <row r="1097" s="1" customFormat="1" customHeight="1" spans="1:73">
      <c r="A1097" s="15" t="s">
        <v>1676</v>
      </c>
      <c r="B1097" s="15" t="s">
        <v>1677</v>
      </c>
      <c r="C1097" s="16">
        <v>-28</v>
      </c>
      <c r="D1097" s="29">
        <v>28</v>
      </c>
      <c r="E1097" s="30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30"/>
      <c r="AH1097" s="29"/>
      <c r="AI1097" s="29"/>
      <c r="AJ1097" s="29"/>
      <c r="AK1097" s="30"/>
      <c r="AL1097" s="29"/>
      <c r="AM1097" s="29"/>
      <c r="AN1097" s="29"/>
      <c r="AO1097" s="29"/>
      <c r="AP1097" s="29"/>
      <c r="AQ1097" s="29"/>
      <c r="AR1097" s="29"/>
      <c r="AS1097" s="29"/>
      <c r="AT1097" s="29"/>
      <c r="AU1097" s="29"/>
      <c r="AV1097" s="29"/>
      <c r="AW1097" s="29"/>
      <c r="AX1097" s="29"/>
      <c r="AY1097" s="29"/>
      <c r="AZ1097" s="29"/>
      <c r="BA1097" s="29"/>
      <c r="BB1097" s="29"/>
      <c r="BC1097" s="29"/>
      <c r="BD1097" s="29"/>
      <c r="BE1097" s="29"/>
      <c r="BF1097" s="29"/>
      <c r="BG1097" s="29"/>
      <c r="BH1097" s="29"/>
      <c r="BI1097" s="29"/>
      <c r="BJ1097" s="29"/>
      <c r="BK1097" s="29"/>
      <c r="BL1097" s="29"/>
      <c r="BM1097" s="29"/>
      <c r="BN1097" s="20">
        <f t="shared" si="143"/>
        <v>28</v>
      </c>
      <c r="BO1097" s="20">
        <f t="shared" si="144"/>
        <v>0</v>
      </c>
      <c r="BP1097" s="20">
        <f t="shared" si="145"/>
        <v>0</v>
      </c>
      <c r="BQ1097" s="51"/>
      <c r="BR1097" s="56"/>
      <c r="BS1097" s="111"/>
      <c r="BT1097" s="36"/>
      <c r="BU1097" s="112"/>
    </row>
    <row r="1098" s="1" customFormat="1" customHeight="1" spans="1:73">
      <c r="A1098" s="15" t="s">
        <v>1678</v>
      </c>
      <c r="B1098" s="52" t="s">
        <v>1679</v>
      </c>
      <c r="C1098" s="16">
        <v>41</v>
      </c>
      <c r="D1098" s="29"/>
      <c r="E1098" s="30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30"/>
      <c r="AH1098" s="29"/>
      <c r="AI1098" s="29"/>
      <c r="AJ1098" s="29"/>
      <c r="AK1098" s="30"/>
      <c r="AL1098" s="29"/>
      <c r="AM1098" s="29"/>
      <c r="AN1098" s="29"/>
      <c r="AO1098" s="29"/>
      <c r="AP1098" s="29"/>
      <c r="AQ1098" s="29"/>
      <c r="AR1098" s="29"/>
      <c r="AS1098" s="29"/>
      <c r="AT1098" s="29"/>
      <c r="AU1098" s="29"/>
      <c r="AV1098" s="29"/>
      <c r="AW1098" s="29"/>
      <c r="AX1098" s="29"/>
      <c r="AY1098" s="29"/>
      <c r="AZ1098" s="29"/>
      <c r="BA1098" s="29"/>
      <c r="BB1098" s="29"/>
      <c r="BC1098" s="29"/>
      <c r="BD1098" s="29"/>
      <c r="BE1098" s="29"/>
      <c r="BF1098" s="29"/>
      <c r="BG1098" s="29"/>
      <c r="BH1098" s="29"/>
      <c r="BI1098" s="29"/>
      <c r="BJ1098" s="29"/>
      <c r="BK1098" s="29"/>
      <c r="BL1098" s="29"/>
      <c r="BM1098" s="29"/>
      <c r="BN1098" s="20">
        <f t="shared" si="143"/>
        <v>0</v>
      </c>
      <c r="BO1098" s="20">
        <f t="shared" si="144"/>
        <v>0</v>
      </c>
      <c r="BP1098" s="20">
        <f t="shared" si="145"/>
        <v>41</v>
      </c>
      <c r="BQ1098" s="51" t="s">
        <v>926</v>
      </c>
      <c r="BR1098" s="56"/>
      <c r="BS1098" s="111"/>
      <c r="BT1098" s="36"/>
      <c r="BU1098" s="112"/>
    </row>
    <row r="1099" s="1" customFormat="1" customHeight="1" spans="1:73">
      <c r="A1099" s="15" t="s">
        <v>1680</v>
      </c>
      <c r="B1099" s="52" t="s">
        <v>1679</v>
      </c>
      <c r="C1099" s="16">
        <v>730</v>
      </c>
      <c r="D1099" s="29"/>
      <c r="E1099" s="30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30"/>
      <c r="AH1099" s="29"/>
      <c r="AI1099" s="29"/>
      <c r="AJ1099" s="29"/>
      <c r="AK1099" s="30"/>
      <c r="AL1099" s="29"/>
      <c r="AM1099" s="29"/>
      <c r="AN1099" s="29"/>
      <c r="AO1099" s="29"/>
      <c r="AP1099" s="29"/>
      <c r="AQ1099" s="29"/>
      <c r="AR1099" s="29"/>
      <c r="AS1099" s="29"/>
      <c r="AT1099" s="29"/>
      <c r="AU1099" s="29"/>
      <c r="AV1099" s="29"/>
      <c r="AW1099" s="29"/>
      <c r="AX1099" s="29"/>
      <c r="AY1099" s="29"/>
      <c r="AZ1099" s="29"/>
      <c r="BA1099" s="29"/>
      <c r="BB1099" s="29"/>
      <c r="BC1099" s="29"/>
      <c r="BD1099" s="29"/>
      <c r="BE1099" s="29"/>
      <c r="BF1099" s="29"/>
      <c r="BG1099" s="29"/>
      <c r="BH1099" s="29"/>
      <c r="BI1099" s="29"/>
      <c r="BJ1099" s="29"/>
      <c r="BK1099" s="29"/>
      <c r="BL1099" s="29"/>
      <c r="BM1099" s="29"/>
      <c r="BN1099" s="20">
        <f t="shared" si="143"/>
        <v>0</v>
      </c>
      <c r="BO1099" s="20">
        <f t="shared" si="144"/>
        <v>0</v>
      </c>
      <c r="BP1099" s="20">
        <f t="shared" si="145"/>
        <v>730</v>
      </c>
      <c r="BQ1099" s="51"/>
      <c r="BR1099" s="56"/>
      <c r="BS1099" s="111"/>
      <c r="BT1099" s="36"/>
      <c r="BU1099" s="112"/>
    </row>
    <row r="1100" s="1" customFormat="1" customHeight="1" spans="1:73">
      <c r="A1100" s="15" t="s">
        <v>1681</v>
      </c>
      <c r="B1100" s="15" t="s">
        <v>1682</v>
      </c>
      <c r="C1100" s="16">
        <v>3305</v>
      </c>
      <c r="D1100" s="29"/>
      <c r="E1100" s="30"/>
      <c r="F1100" s="29"/>
      <c r="G1100" s="29"/>
      <c r="H1100" s="29"/>
      <c r="I1100" s="29">
        <v>198</v>
      </c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30"/>
      <c r="AH1100" s="29"/>
      <c r="AI1100" s="29"/>
      <c r="AJ1100" s="29"/>
      <c r="AK1100" s="30"/>
      <c r="AL1100" s="29"/>
      <c r="AM1100" s="29"/>
      <c r="AN1100" s="29"/>
      <c r="AO1100" s="29"/>
      <c r="AP1100" s="29"/>
      <c r="AQ1100" s="29"/>
      <c r="AR1100" s="29"/>
      <c r="AS1100" s="29"/>
      <c r="AT1100" s="29"/>
      <c r="AU1100" s="29"/>
      <c r="AV1100" s="29"/>
      <c r="AW1100" s="29"/>
      <c r="AX1100" s="29"/>
      <c r="AY1100" s="29"/>
      <c r="AZ1100" s="29"/>
      <c r="BA1100" s="29"/>
      <c r="BB1100" s="29"/>
      <c r="BC1100" s="29"/>
      <c r="BD1100" s="29"/>
      <c r="BE1100" s="29"/>
      <c r="BF1100" s="29"/>
      <c r="BG1100" s="29"/>
      <c r="BH1100" s="29"/>
      <c r="BI1100" s="29"/>
      <c r="BJ1100" s="29"/>
      <c r="BK1100" s="29"/>
      <c r="BL1100" s="29"/>
      <c r="BM1100" s="29"/>
      <c r="BN1100" s="20">
        <f t="shared" si="143"/>
        <v>0</v>
      </c>
      <c r="BO1100" s="20">
        <f t="shared" si="144"/>
        <v>198</v>
      </c>
      <c r="BP1100" s="20">
        <f t="shared" si="145"/>
        <v>3107</v>
      </c>
      <c r="BQ1100" s="51"/>
      <c r="BR1100" s="56"/>
      <c r="BS1100" s="111"/>
      <c r="BT1100" s="36"/>
      <c r="BU1100" s="112"/>
    </row>
    <row r="1101" s="1" customFormat="1" customHeight="1" spans="1:73">
      <c r="A1101" s="15" t="s">
        <v>1683</v>
      </c>
      <c r="B1101" s="52" t="s">
        <v>1684</v>
      </c>
      <c r="C1101" s="16">
        <v>0</v>
      </c>
      <c r="D1101" s="29"/>
      <c r="E1101" s="30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30"/>
      <c r="AH1101" s="29"/>
      <c r="AI1101" s="29"/>
      <c r="AJ1101" s="29"/>
      <c r="AK1101" s="30"/>
      <c r="AL1101" s="29"/>
      <c r="AM1101" s="29"/>
      <c r="AN1101" s="29"/>
      <c r="AO1101" s="29"/>
      <c r="AP1101" s="29"/>
      <c r="AQ1101" s="29"/>
      <c r="AR1101" s="29"/>
      <c r="AS1101" s="29"/>
      <c r="AT1101" s="29"/>
      <c r="AU1101" s="29"/>
      <c r="AV1101" s="29"/>
      <c r="AW1101" s="29"/>
      <c r="AX1101" s="29"/>
      <c r="AY1101" s="29"/>
      <c r="AZ1101" s="29"/>
      <c r="BA1101" s="29"/>
      <c r="BB1101" s="29"/>
      <c r="BC1101" s="29"/>
      <c r="BD1101" s="29"/>
      <c r="BE1101" s="29"/>
      <c r="BF1101" s="29"/>
      <c r="BG1101" s="29"/>
      <c r="BH1101" s="29"/>
      <c r="BI1101" s="29"/>
      <c r="BJ1101" s="29"/>
      <c r="BK1101" s="29"/>
      <c r="BL1101" s="29"/>
      <c r="BM1101" s="29"/>
      <c r="BN1101" s="20">
        <f t="shared" si="143"/>
        <v>0</v>
      </c>
      <c r="BO1101" s="20">
        <f t="shared" si="144"/>
        <v>0</v>
      </c>
      <c r="BP1101" s="20">
        <f t="shared" si="145"/>
        <v>0</v>
      </c>
      <c r="BQ1101" s="51"/>
      <c r="BR1101" s="56"/>
      <c r="BS1101" s="111"/>
      <c r="BT1101" s="36"/>
      <c r="BU1101" s="112"/>
    </row>
    <row r="1102" s="1" customFormat="1" customHeight="1" spans="1:73">
      <c r="A1102" s="15" t="s">
        <v>1685</v>
      </c>
      <c r="B1102" s="52" t="s">
        <v>1686</v>
      </c>
      <c r="C1102" s="16">
        <v>840</v>
      </c>
      <c r="D1102" s="29"/>
      <c r="E1102" s="30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30"/>
      <c r="AH1102" s="29"/>
      <c r="AI1102" s="29"/>
      <c r="AJ1102" s="29"/>
      <c r="AK1102" s="30"/>
      <c r="AL1102" s="29"/>
      <c r="AM1102" s="29"/>
      <c r="AN1102" s="29"/>
      <c r="AO1102" s="29"/>
      <c r="AP1102" s="29"/>
      <c r="AQ1102" s="29"/>
      <c r="AR1102" s="29"/>
      <c r="AS1102" s="29"/>
      <c r="AT1102" s="29"/>
      <c r="AU1102" s="29"/>
      <c r="AV1102" s="29"/>
      <c r="AW1102" s="29"/>
      <c r="AX1102" s="29"/>
      <c r="AY1102" s="29"/>
      <c r="AZ1102" s="29"/>
      <c r="BA1102" s="29"/>
      <c r="BB1102" s="29"/>
      <c r="BC1102" s="29"/>
      <c r="BD1102" s="29"/>
      <c r="BE1102" s="29"/>
      <c r="BF1102" s="29"/>
      <c r="BG1102" s="29"/>
      <c r="BH1102" s="29"/>
      <c r="BI1102" s="29"/>
      <c r="BJ1102" s="29"/>
      <c r="BK1102" s="29"/>
      <c r="BL1102" s="29"/>
      <c r="BM1102" s="29"/>
      <c r="BN1102" s="20">
        <f t="shared" si="143"/>
        <v>0</v>
      </c>
      <c r="BO1102" s="20">
        <f t="shared" si="144"/>
        <v>0</v>
      </c>
      <c r="BP1102" s="20">
        <f t="shared" si="145"/>
        <v>840</v>
      </c>
      <c r="BQ1102" s="51"/>
      <c r="BR1102" s="56"/>
      <c r="BS1102" s="111"/>
      <c r="BT1102" s="36"/>
      <c r="BU1102" s="112"/>
    </row>
    <row r="1103" s="1" customFormat="1" customHeight="1" spans="1:73">
      <c r="A1103" s="15" t="s">
        <v>1687</v>
      </c>
      <c r="B1103" s="15" t="s">
        <v>1688</v>
      </c>
      <c r="C1103" s="16">
        <v>9308</v>
      </c>
      <c r="D1103" s="29"/>
      <c r="E1103" s="30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30"/>
      <c r="AH1103" s="29"/>
      <c r="AI1103" s="29"/>
      <c r="AJ1103" s="29"/>
      <c r="AK1103" s="30"/>
      <c r="AL1103" s="29"/>
      <c r="AM1103" s="29"/>
      <c r="AN1103" s="29"/>
      <c r="AO1103" s="29"/>
      <c r="AP1103" s="29"/>
      <c r="AQ1103" s="29"/>
      <c r="AR1103" s="29"/>
      <c r="AS1103" s="29"/>
      <c r="AT1103" s="29"/>
      <c r="AU1103" s="29"/>
      <c r="AV1103" s="29"/>
      <c r="AW1103" s="29"/>
      <c r="AX1103" s="29"/>
      <c r="AY1103" s="29"/>
      <c r="AZ1103" s="29"/>
      <c r="BA1103" s="29"/>
      <c r="BB1103" s="29"/>
      <c r="BC1103" s="29"/>
      <c r="BD1103" s="29"/>
      <c r="BE1103" s="29"/>
      <c r="BF1103" s="29"/>
      <c r="BG1103" s="29"/>
      <c r="BH1103" s="29"/>
      <c r="BI1103" s="29"/>
      <c r="BJ1103" s="29"/>
      <c r="BK1103" s="29"/>
      <c r="BL1103" s="29"/>
      <c r="BM1103" s="29"/>
      <c r="BN1103" s="20">
        <f t="shared" si="143"/>
        <v>0</v>
      </c>
      <c r="BO1103" s="20">
        <f t="shared" si="144"/>
        <v>0</v>
      </c>
      <c r="BP1103" s="20">
        <f t="shared" si="145"/>
        <v>9308</v>
      </c>
      <c r="BQ1103" s="51"/>
      <c r="BR1103" s="56"/>
      <c r="BS1103" s="111"/>
      <c r="BT1103" s="36"/>
      <c r="BU1103" s="112"/>
    </row>
    <row r="1104" s="1" customFormat="1" customHeight="1" spans="1:73">
      <c r="A1104" s="15" t="s">
        <v>1689</v>
      </c>
      <c r="B1104" s="15" t="s">
        <v>1690</v>
      </c>
      <c r="C1104" s="16">
        <v>200</v>
      </c>
      <c r="D1104" s="29"/>
      <c r="E1104" s="30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54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30"/>
      <c r="AH1104" s="29"/>
      <c r="AI1104" s="29"/>
      <c r="AJ1104" s="29"/>
      <c r="AK1104" s="30"/>
      <c r="AL1104" s="29"/>
      <c r="AM1104" s="29"/>
      <c r="AN1104" s="29"/>
      <c r="AO1104" s="29"/>
      <c r="AP1104" s="29"/>
      <c r="AQ1104" s="29"/>
      <c r="AR1104" s="29"/>
      <c r="AS1104" s="29"/>
      <c r="AT1104" s="29"/>
      <c r="AU1104" s="29"/>
      <c r="AV1104" s="29"/>
      <c r="AW1104" s="29"/>
      <c r="AX1104" s="29"/>
      <c r="AY1104" s="29"/>
      <c r="AZ1104" s="29"/>
      <c r="BA1104" s="29"/>
      <c r="BB1104" s="29"/>
      <c r="BC1104" s="29"/>
      <c r="BD1104" s="18"/>
      <c r="BE1104" s="29"/>
      <c r="BF1104" s="29"/>
      <c r="BG1104" s="29"/>
      <c r="BH1104" s="29"/>
      <c r="BI1104" s="29"/>
      <c r="BJ1104" s="29"/>
      <c r="BK1104" s="29"/>
      <c r="BL1104" s="29"/>
      <c r="BM1104" s="29"/>
      <c r="BN1104" s="20">
        <f t="shared" si="143"/>
        <v>0</v>
      </c>
      <c r="BO1104" s="20">
        <f t="shared" si="144"/>
        <v>0</v>
      </c>
      <c r="BP1104" s="20">
        <f t="shared" si="145"/>
        <v>200</v>
      </c>
      <c r="BQ1104" s="51"/>
      <c r="BR1104" s="56"/>
      <c r="BS1104" s="111"/>
      <c r="BT1104" s="36"/>
      <c r="BU1104" s="112"/>
    </row>
    <row r="1105" s="1" customFormat="1" customHeight="1" spans="1:73">
      <c r="A1105" s="15" t="s">
        <v>1691</v>
      </c>
      <c r="B1105" s="15" t="s">
        <v>1690</v>
      </c>
      <c r="C1105" s="16">
        <v>-4678</v>
      </c>
      <c r="D1105" s="29">
        <v>10000</v>
      </c>
      <c r="E1105" s="30"/>
      <c r="F1105" s="29"/>
      <c r="G1105" s="29"/>
      <c r="H1105" s="29"/>
      <c r="I1105" s="29"/>
      <c r="J1105" s="29"/>
      <c r="K1105" s="29"/>
      <c r="L1105" s="29"/>
      <c r="M1105" s="29">
        <v>4850</v>
      </c>
      <c r="N1105" s="29"/>
      <c r="O1105" s="29"/>
      <c r="P1105" s="29"/>
      <c r="Q1105" s="29"/>
      <c r="R1105" s="54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29"/>
      <c r="AH1105" s="29"/>
      <c r="AI1105" s="29"/>
      <c r="AJ1105" s="29"/>
      <c r="AK1105" s="30"/>
      <c r="AL1105" s="29"/>
      <c r="AM1105" s="29"/>
      <c r="AN1105" s="29"/>
      <c r="AO1105" s="29"/>
      <c r="AP1105" s="29"/>
      <c r="AQ1105" s="29"/>
      <c r="AR1105" s="29"/>
      <c r="AS1105" s="29"/>
      <c r="AT1105" s="29"/>
      <c r="AU1105" s="29"/>
      <c r="AV1105" s="29"/>
      <c r="AW1105" s="29"/>
      <c r="AX1105" s="29"/>
      <c r="AY1105" s="29"/>
      <c r="AZ1105" s="29"/>
      <c r="BA1105" s="29"/>
      <c r="BB1105" s="29"/>
      <c r="BC1105" s="29"/>
      <c r="BD1105" s="18"/>
      <c r="BE1105" s="29"/>
      <c r="BF1105" s="29"/>
      <c r="BG1105" s="29"/>
      <c r="BH1105" s="29"/>
      <c r="BI1105" s="29"/>
      <c r="BJ1105" s="29"/>
      <c r="BK1105" s="29"/>
      <c r="BL1105" s="29"/>
      <c r="BM1105" s="29"/>
      <c r="BN1105" s="20">
        <f t="shared" si="143"/>
        <v>10000</v>
      </c>
      <c r="BO1105" s="20">
        <f t="shared" si="144"/>
        <v>4850</v>
      </c>
      <c r="BP1105" s="20">
        <f t="shared" si="145"/>
        <v>472</v>
      </c>
      <c r="BQ1105" s="51"/>
      <c r="BR1105" s="56"/>
      <c r="BS1105" s="111" t="s">
        <v>1692</v>
      </c>
      <c r="BT1105" s="36"/>
      <c r="BU1105" s="112"/>
    </row>
    <row r="1106" s="1" customFormat="1" customHeight="1" spans="1:73">
      <c r="A1106" s="15" t="s">
        <v>1693</v>
      </c>
      <c r="B1106" s="15" t="s">
        <v>1690</v>
      </c>
      <c r="C1106" s="16">
        <v>3540</v>
      </c>
      <c r="D1106" s="29"/>
      <c r="E1106" s="30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54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29"/>
      <c r="AH1106" s="29"/>
      <c r="AI1106" s="29"/>
      <c r="AJ1106" s="29"/>
      <c r="AK1106" s="30"/>
      <c r="AL1106" s="29"/>
      <c r="AM1106" s="29"/>
      <c r="AN1106" s="29"/>
      <c r="AO1106" s="29"/>
      <c r="AP1106" s="29"/>
      <c r="AQ1106" s="29"/>
      <c r="AR1106" s="29"/>
      <c r="AS1106" s="29"/>
      <c r="AT1106" s="29"/>
      <c r="AU1106" s="29"/>
      <c r="AV1106" s="29"/>
      <c r="AW1106" s="29"/>
      <c r="AX1106" s="29"/>
      <c r="AY1106" s="29"/>
      <c r="AZ1106" s="29"/>
      <c r="BA1106" s="29"/>
      <c r="BB1106" s="29"/>
      <c r="BC1106" s="29"/>
      <c r="BD1106" s="18"/>
      <c r="BE1106" s="29"/>
      <c r="BF1106" s="29"/>
      <c r="BG1106" s="29"/>
      <c r="BH1106" s="29"/>
      <c r="BI1106" s="29"/>
      <c r="BJ1106" s="29"/>
      <c r="BK1106" s="29"/>
      <c r="BL1106" s="29"/>
      <c r="BM1106" s="29"/>
      <c r="BN1106" s="20">
        <f t="shared" si="143"/>
        <v>0</v>
      </c>
      <c r="BO1106" s="20">
        <f t="shared" si="144"/>
        <v>0</v>
      </c>
      <c r="BP1106" s="20">
        <f t="shared" si="145"/>
        <v>3540</v>
      </c>
      <c r="BQ1106" s="51"/>
      <c r="BR1106" s="56"/>
      <c r="BS1106" s="111" t="s">
        <v>1694</v>
      </c>
      <c r="BT1106" s="36"/>
      <c r="BU1106" s="112"/>
    </row>
    <row r="1107" s="1" customFormat="1" customHeight="1" spans="1:73">
      <c r="A1107" s="15" t="s">
        <v>1695</v>
      </c>
      <c r="B1107" s="15" t="s">
        <v>1690</v>
      </c>
      <c r="C1107" s="16">
        <v>6885</v>
      </c>
      <c r="D1107" s="29"/>
      <c r="E1107" s="30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30"/>
      <c r="AH1107" s="29"/>
      <c r="AI1107" s="29"/>
      <c r="AJ1107" s="29"/>
      <c r="AK1107" s="30"/>
      <c r="AL1107" s="29"/>
      <c r="AM1107" s="29"/>
      <c r="AN1107" s="29"/>
      <c r="AO1107" s="29"/>
      <c r="AP1107" s="29"/>
      <c r="AQ1107" s="29"/>
      <c r="AR1107" s="29"/>
      <c r="AS1107" s="29"/>
      <c r="AT1107" s="29"/>
      <c r="AU1107" s="29"/>
      <c r="AV1107" s="29"/>
      <c r="AW1107" s="29"/>
      <c r="AX1107" s="29"/>
      <c r="AY1107" s="29"/>
      <c r="AZ1107" s="29"/>
      <c r="BA1107" s="29"/>
      <c r="BB1107" s="29"/>
      <c r="BC1107" s="29"/>
      <c r="BD1107" s="29"/>
      <c r="BE1107" s="29"/>
      <c r="BF1107" s="29"/>
      <c r="BG1107" s="29"/>
      <c r="BH1107" s="29"/>
      <c r="BI1107" s="29"/>
      <c r="BJ1107" s="29"/>
      <c r="BK1107" s="29"/>
      <c r="BL1107" s="29"/>
      <c r="BM1107" s="29"/>
      <c r="BN1107" s="20">
        <f t="shared" si="143"/>
        <v>0</v>
      </c>
      <c r="BO1107" s="20">
        <f t="shared" si="144"/>
        <v>0</v>
      </c>
      <c r="BP1107" s="20">
        <f t="shared" si="145"/>
        <v>6885</v>
      </c>
      <c r="BQ1107" s="51"/>
      <c r="BR1107" s="56"/>
      <c r="BS1107" s="111" t="s">
        <v>1696</v>
      </c>
      <c r="BT1107" s="36"/>
      <c r="BU1107" s="112"/>
    </row>
    <row r="1108" s="1" customFormat="1" customHeight="1" spans="1:73">
      <c r="A1108" s="15" t="s">
        <v>1697</v>
      </c>
      <c r="B1108" s="15" t="s">
        <v>1690</v>
      </c>
      <c r="C1108" s="16">
        <v>3056</v>
      </c>
      <c r="D1108" s="29"/>
      <c r="E1108" s="30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30"/>
      <c r="AH1108" s="29"/>
      <c r="AI1108" s="29"/>
      <c r="AJ1108" s="29"/>
      <c r="AK1108" s="30"/>
      <c r="AL1108" s="29"/>
      <c r="AM1108" s="29"/>
      <c r="AN1108" s="29"/>
      <c r="AO1108" s="29"/>
      <c r="AP1108" s="29"/>
      <c r="AQ1108" s="29"/>
      <c r="AR1108" s="29"/>
      <c r="AS1108" s="29"/>
      <c r="AT1108" s="29"/>
      <c r="AU1108" s="29"/>
      <c r="AV1108" s="29"/>
      <c r="AW1108" s="29"/>
      <c r="AX1108" s="29"/>
      <c r="AY1108" s="29"/>
      <c r="AZ1108" s="29"/>
      <c r="BA1108" s="29"/>
      <c r="BB1108" s="29"/>
      <c r="BC1108" s="29"/>
      <c r="BD1108" s="29"/>
      <c r="BE1108" s="29"/>
      <c r="BF1108" s="29"/>
      <c r="BG1108" s="29"/>
      <c r="BH1108" s="29"/>
      <c r="BI1108" s="29"/>
      <c r="BJ1108" s="29"/>
      <c r="BK1108" s="29"/>
      <c r="BL1108" s="29"/>
      <c r="BM1108" s="29"/>
      <c r="BN1108" s="20">
        <f t="shared" si="143"/>
        <v>0</v>
      </c>
      <c r="BO1108" s="20">
        <f t="shared" si="144"/>
        <v>0</v>
      </c>
      <c r="BP1108" s="20">
        <f t="shared" si="145"/>
        <v>3056</v>
      </c>
      <c r="BQ1108" s="51"/>
      <c r="BR1108" s="56"/>
      <c r="BS1108" s="111" t="s">
        <v>1698</v>
      </c>
      <c r="BT1108" s="36"/>
      <c r="BU1108" s="112"/>
    </row>
    <row r="1109" s="1" customFormat="1" customHeight="1" spans="1:73">
      <c r="A1109" s="15" t="s">
        <v>1618</v>
      </c>
      <c r="B1109" s="15" t="s">
        <v>1690</v>
      </c>
      <c r="C1109" s="16">
        <v>3051</v>
      </c>
      <c r="D1109" s="29"/>
      <c r="E1109" s="30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30"/>
      <c r="AH1109" s="29"/>
      <c r="AI1109" s="29"/>
      <c r="AJ1109" s="29"/>
      <c r="AK1109" s="30"/>
      <c r="AL1109" s="29"/>
      <c r="AM1109" s="29"/>
      <c r="AN1109" s="29"/>
      <c r="AO1109" s="29"/>
      <c r="AP1109" s="29"/>
      <c r="AQ1109" s="29"/>
      <c r="AR1109" s="29"/>
      <c r="AS1109" s="29"/>
      <c r="AT1109" s="29"/>
      <c r="AU1109" s="29"/>
      <c r="AV1109" s="29"/>
      <c r="AW1109" s="29"/>
      <c r="AX1109" s="29"/>
      <c r="AY1109" s="29"/>
      <c r="AZ1109" s="29"/>
      <c r="BA1109" s="29"/>
      <c r="BB1109" s="29"/>
      <c r="BC1109" s="29"/>
      <c r="BD1109" s="29"/>
      <c r="BE1109" s="29"/>
      <c r="BF1109" s="29"/>
      <c r="BG1109" s="29"/>
      <c r="BH1109" s="29"/>
      <c r="BI1109" s="29"/>
      <c r="BJ1109" s="29"/>
      <c r="BK1109" s="29"/>
      <c r="BL1109" s="29"/>
      <c r="BM1109" s="29"/>
      <c r="BN1109" s="20">
        <f t="shared" si="143"/>
        <v>0</v>
      </c>
      <c r="BO1109" s="20">
        <f t="shared" si="144"/>
        <v>0</v>
      </c>
      <c r="BP1109" s="20">
        <f t="shared" si="145"/>
        <v>3051</v>
      </c>
      <c r="BQ1109" s="51"/>
      <c r="BR1109" s="56"/>
      <c r="BS1109" s="111" t="s">
        <v>1698</v>
      </c>
      <c r="BT1109" s="36"/>
      <c r="BU1109" s="112"/>
    </row>
    <row r="1110" s="1" customFormat="1" customHeight="1" spans="1:73">
      <c r="A1110" s="15" t="s">
        <v>1699</v>
      </c>
      <c r="B1110" s="15" t="s">
        <v>1690</v>
      </c>
      <c r="C1110" s="16">
        <v>21360</v>
      </c>
      <c r="D1110" s="29"/>
      <c r="E1110" s="30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165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30"/>
      <c r="AH1110" s="29"/>
      <c r="AI1110" s="29"/>
      <c r="AJ1110" s="29"/>
      <c r="AK1110" s="30"/>
      <c r="AL1110" s="29"/>
      <c r="AM1110" s="29"/>
      <c r="AN1110" s="29"/>
      <c r="AO1110" s="29"/>
      <c r="AP1110" s="29"/>
      <c r="AQ1110" s="29"/>
      <c r="AR1110" s="29"/>
      <c r="AS1110" s="29"/>
      <c r="AT1110" s="29"/>
      <c r="AU1110" s="29"/>
      <c r="AV1110" s="29"/>
      <c r="AW1110" s="29"/>
      <c r="AX1110" s="29"/>
      <c r="AY1110" s="29"/>
      <c r="AZ1110" s="29"/>
      <c r="BA1110" s="29"/>
      <c r="BB1110" s="29"/>
      <c r="BC1110" s="29"/>
      <c r="BD1110" s="29"/>
      <c r="BE1110" s="29"/>
      <c r="BF1110" s="29"/>
      <c r="BG1110" s="29"/>
      <c r="BH1110" s="29"/>
      <c r="BI1110" s="29"/>
      <c r="BJ1110" s="29"/>
      <c r="BK1110" s="29"/>
      <c r="BL1110" s="29"/>
      <c r="BM1110" s="29"/>
      <c r="BN1110" s="20">
        <f t="shared" si="143"/>
        <v>0</v>
      </c>
      <c r="BO1110" s="20">
        <f t="shared" si="144"/>
        <v>0</v>
      </c>
      <c r="BP1110" s="20">
        <f t="shared" si="145"/>
        <v>21360</v>
      </c>
      <c r="BQ1110" s="51"/>
      <c r="BR1110" s="56"/>
      <c r="BS1110" s="111" t="s">
        <v>1700</v>
      </c>
      <c r="BT1110" s="36"/>
      <c r="BU1110" s="112"/>
    </row>
    <row r="1111" s="1" customFormat="1" customHeight="1" spans="1:73">
      <c r="A1111" s="15" t="s">
        <v>1701</v>
      </c>
      <c r="B1111" s="15" t="s">
        <v>1690</v>
      </c>
      <c r="C1111" s="16">
        <v>28674</v>
      </c>
      <c r="D1111" s="29"/>
      <c r="E1111" s="30"/>
      <c r="F1111" s="29"/>
      <c r="G1111" s="29"/>
      <c r="H1111" s="29"/>
      <c r="I1111" s="29"/>
      <c r="J1111" s="29"/>
      <c r="K1111" s="29"/>
      <c r="L1111" s="29"/>
      <c r="M1111" s="29">
        <v>510</v>
      </c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30"/>
      <c r="AH1111" s="29"/>
      <c r="AI1111" s="29"/>
      <c r="AJ1111" s="29"/>
      <c r="AK1111" s="30"/>
      <c r="AL1111" s="29"/>
      <c r="AM1111" s="30"/>
      <c r="AN1111" s="29"/>
      <c r="AO1111" s="30"/>
      <c r="AP1111" s="29"/>
      <c r="AQ1111" s="30"/>
      <c r="AR1111" s="18"/>
      <c r="AS1111" s="18"/>
      <c r="AT1111" s="29"/>
      <c r="AU1111" s="29"/>
      <c r="AV1111" s="29"/>
      <c r="AW1111" s="29"/>
      <c r="AX1111" s="29"/>
      <c r="AY1111" s="29"/>
      <c r="AZ1111" s="29"/>
      <c r="BA1111" s="29"/>
      <c r="BB1111" s="29"/>
      <c r="BC1111" s="29"/>
      <c r="BD1111" s="29"/>
      <c r="BE1111" s="29"/>
      <c r="BF1111" s="29"/>
      <c r="BG1111" s="29"/>
      <c r="BH1111" s="29"/>
      <c r="BI1111" s="29"/>
      <c r="BJ1111" s="29"/>
      <c r="BK1111" s="18"/>
      <c r="BL1111" s="29"/>
      <c r="BM1111" s="29"/>
      <c r="BN1111" s="20">
        <f t="shared" si="143"/>
        <v>0</v>
      </c>
      <c r="BO1111" s="20">
        <f t="shared" si="144"/>
        <v>510</v>
      </c>
      <c r="BP1111" s="20">
        <f t="shared" si="145"/>
        <v>28164</v>
      </c>
      <c r="BQ1111" s="51"/>
      <c r="BR1111" s="56"/>
      <c r="BS1111" s="111" t="s">
        <v>1702</v>
      </c>
      <c r="BT1111" s="36"/>
      <c r="BU1111" s="112"/>
    </row>
    <row r="1112" s="1" customFormat="1" customHeight="1" spans="1:73">
      <c r="A1112" s="15" t="s">
        <v>1619</v>
      </c>
      <c r="B1112" s="15" t="s">
        <v>1690</v>
      </c>
      <c r="C1112" s="16">
        <v>4343</v>
      </c>
      <c r="D1112" s="29"/>
      <c r="E1112" s="30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30"/>
      <c r="AH1112" s="29"/>
      <c r="AI1112" s="29"/>
      <c r="AJ1112" s="29"/>
      <c r="AK1112" s="30"/>
      <c r="AL1112" s="29"/>
      <c r="AM1112" s="29"/>
      <c r="AN1112" s="29"/>
      <c r="AO1112" s="29"/>
      <c r="AP1112" s="29"/>
      <c r="AQ1112" s="29"/>
      <c r="AR1112" s="29"/>
      <c r="AS1112" s="29"/>
      <c r="AT1112" s="29"/>
      <c r="AU1112" s="29"/>
      <c r="AV1112" s="29"/>
      <c r="AW1112" s="29"/>
      <c r="AX1112" s="29"/>
      <c r="AY1112" s="30"/>
      <c r="AZ1112" s="29"/>
      <c r="BA1112" s="29"/>
      <c r="BB1112" s="29"/>
      <c r="BC1112" s="29"/>
      <c r="BD1112" s="18"/>
      <c r="BE1112" s="18"/>
      <c r="BF1112" s="29"/>
      <c r="BG1112" s="29"/>
      <c r="BH1112" s="29"/>
      <c r="BI1112" s="29"/>
      <c r="BJ1112" s="29"/>
      <c r="BK1112" s="29"/>
      <c r="BL1112" s="29"/>
      <c r="BM1112" s="29"/>
      <c r="BN1112" s="20">
        <f t="shared" si="143"/>
        <v>0</v>
      </c>
      <c r="BO1112" s="20">
        <f t="shared" si="144"/>
        <v>0</v>
      </c>
      <c r="BP1112" s="20">
        <f t="shared" si="145"/>
        <v>4343</v>
      </c>
      <c r="BQ1112" s="51"/>
      <c r="BR1112" s="56"/>
      <c r="BS1112" s="111" t="s">
        <v>1703</v>
      </c>
      <c r="BT1112" s="36"/>
      <c r="BU1112" s="112"/>
    </row>
    <row r="1113" s="1" customFormat="1" customHeight="1" spans="1:73">
      <c r="A1113" s="15" t="s">
        <v>1704</v>
      </c>
      <c r="B1113" s="15" t="s">
        <v>1690</v>
      </c>
      <c r="C1113" s="16">
        <v>2374</v>
      </c>
      <c r="D1113" s="29"/>
      <c r="E1113" s="30"/>
      <c r="F1113" s="29"/>
      <c r="G1113" s="29"/>
      <c r="H1113" s="29"/>
      <c r="I1113" s="18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30"/>
      <c r="AH1113" s="29"/>
      <c r="AI1113" s="29"/>
      <c r="AJ1113" s="29"/>
      <c r="AK1113" s="29"/>
      <c r="AL1113" s="29"/>
      <c r="AM1113" s="29"/>
      <c r="AN1113" s="29"/>
      <c r="AO1113" s="29"/>
      <c r="AP1113" s="29"/>
      <c r="AQ1113" s="29"/>
      <c r="AR1113" s="29"/>
      <c r="AS1113" s="29"/>
      <c r="AT1113" s="29"/>
      <c r="AU1113" s="29"/>
      <c r="AV1113" s="29"/>
      <c r="AW1113" s="29"/>
      <c r="AX1113" s="29"/>
      <c r="AY1113" s="29"/>
      <c r="AZ1113" s="29"/>
      <c r="BA1113" s="29"/>
      <c r="BB1113" s="29"/>
      <c r="BC1113" s="29"/>
      <c r="BD1113" s="29"/>
      <c r="BE1113" s="29"/>
      <c r="BF1113" s="29"/>
      <c r="BG1113" s="29"/>
      <c r="BH1113" s="29"/>
      <c r="BI1113" s="29"/>
      <c r="BJ1113" s="29"/>
      <c r="BK1113" s="29"/>
      <c r="BL1113" s="29"/>
      <c r="BM1113" s="29"/>
      <c r="BN1113" s="20">
        <f t="shared" si="143"/>
        <v>0</v>
      </c>
      <c r="BO1113" s="20">
        <f t="shared" si="144"/>
        <v>0</v>
      </c>
      <c r="BP1113" s="20">
        <f t="shared" si="145"/>
        <v>2374</v>
      </c>
      <c r="BQ1113" s="51"/>
      <c r="BR1113" s="56"/>
      <c r="BS1113" s="111" t="s">
        <v>1705</v>
      </c>
      <c r="BT1113" s="36"/>
      <c r="BU1113" s="112"/>
    </row>
    <row r="1114" s="1" customFormat="1" customHeight="1" spans="1:73">
      <c r="A1114" s="15" t="s">
        <v>1620</v>
      </c>
      <c r="B1114" s="15" t="s">
        <v>1690</v>
      </c>
      <c r="C1114" s="16">
        <v>4282</v>
      </c>
      <c r="D1114" s="29"/>
      <c r="E1114" s="30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30"/>
      <c r="AH1114" s="29"/>
      <c r="AI1114" s="29"/>
      <c r="AJ1114" s="29"/>
      <c r="AK1114" s="30"/>
      <c r="AL1114" s="29"/>
      <c r="AM1114" s="29"/>
      <c r="AN1114" s="29"/>
      <c r="AO1114" s="29"/>
      <c r="AP1114" s="29"/>
      <c r="AQ1114" s="29"/>
      <c r="AR1114" s="29"/>
      <c r="AS1114" s="29"/>
      <c r="AT1114" s="29"/>
      <c r="AU1114" s="29"/>
      <c r="AV1114" s="29"/>
      <c r="AW1114" s="29"/>
      <c r="AX1114" s="29"/>
      <c r="AY1114" s="29"/>
      <c r="AZ1114" s="29"/>
      <c r="BA1114" s="29"/>
      <c r="BB1114" s="29"/>
      <c r="BC1114" s="29"/>
      <c r="BD1114" s="29"/>
      <c r="BE1114" s="29"/>
      <c r="BF1114" s="29"/>
      <c r="BG1114" s="29"/>
      <c r="BH1114" s="29"/>
      <c r="BI1114" s="29"/>
      <c r="BJ1114" s="29"/>
      <c r="BK1114" s="29"/>
      <c r="BL1114" s="29"/>
      <c r="BM1114" s="29"/>
      <c r="BN1114" s="20">
        <f t="shared" si="143"/>
        <v>0</v>
      </c>
      <c r="BO1114" s="20">
        <f t="shared" si="144"/>
        <v>0</v>
      </c>
      <c r="BP1114" s="20">
        <f t="shared" si="145"/>
        <v>4282</v>
      </c>
      <c r="BQ1114" s="51"/>
      <c r="BR1114" s="56"/>
      <c r="BS1114" s="111"/>
      <c r="BT1114" s="36"/>
      <c r="BU1114" s="112"/>
    </row>
    <row r="1115" s="1" customFormat="1" customHeight="1" spans="1:73">
      <c r="A1115" s="15" t="s">
        <v>1706</v>
      </c>
      <c r="B1115" s="15" t="s">
        <v>1690</v>
      </c>
      <c r="C1115" s="16">
        <v>3500</v>
      </c>
      <c r="D1115" s="29"/>
      <c r="E1115" s="30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30"/>
      <c r="AH1115" s="29"/>
      <c r="AI1115" s="29"/>
      <c r="AJ1115" s="29"/>
      <c r="AK1115" s="30"/>
      <c r="AL1115" s="29"/>
      <c r="AM1115" s="29"/>
      <c r="AN1115" s="29"/>
      <c r="AO1115" s="29"/>
      <c r="AP1115" s="29"/>
      <c r="AQ1115" s="29"/>
      <c r="AR1115" s="29"/>
      <c r="AS1115" s="29"/>
      <c r="AT1115" s="29"/>
      <c r="AU1115" s="29"/>
      <c r="AV1115" s="29"/>
      <c r="AW1115" s="29"/>
      <c r="AX1115" s="29"/>
      <c r="AY1115" s="29"/>
      <c r="AZ1115" s="29"/>
      <c r="BA1115" s="29"/>
      <c r="BB1115" s="29"/>
      <c r="BC1115" s="29"/>
      <c r="BD1115" s="29"/>
      <c r="BE1115" s="29"/>
      <c r="BF1115" s="29"/>
      <c r="BG1115" s="29"/>
      <c r="BH1115" s="29"/>
      <c r="BI1115" s="29"/>
      <c r="BJ1115" s="29"/>
      <c r="BK1115" s="29"/>
      <c r="BL1115" s="29"/>
      <c r="BM1115" s="29"/>
      <c r="BN1115" s="20">
        <f t="shared" si="143"/>
        <v>0</v>
      </c>
      <c r="BO1115" s="20">
        <f t="shared" si="144"/>
        <v>0</v>
      </c>
      <c r="BP1115" s="20">
        <f t="shared" si="145"/>
        <v>3500</v>
      </c>
      <c r="BQ1115" s="51"/>
      <c r="BR1115" s="56"/>
      <c r="BS1115" s="111" t="s">
        <v>1705</v>
      </c>
      <c r="BT1115" s="36"/>
      <c r="BU1115" s="112"/>
    </row>
    <row r="1116" s="1" customFormat="1" customHeight="1" spans="1:73">
      <c r="A1116" s="15" t="s">
        <v>1622</v>
      </c>
      <c r="B1116" s="15" t="s">
        <v>1690</v>
      </c>
      <c r="C1116" s="16">
        <v>600</v>
      </c>
      <c r="D1116" s="29"/>
      <c r="E1116" s="30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30"/>
      <c r="Z1116" s="166"/>
      <c r="AA1116" s="29"/>
      <c r="AB1116" s="29"/>
      <c r="AC1116" s="29"/>
      <c r="AD1116" s="29"/>
      <c r="AE1116" s="82"/>
      <c r="AF1116" s="29"/>
      <c r="AG1116" s="30"/>
      <c r="AH1116" s="29"/>
      <c r="AI1116" s="29"/>
      <c r="AJ1116" s="29"/>
      <c r="AK1116" s="30"/>
      <c r="AL1116" s="29"/>
      <c r="AM1116" s="29"/>
      <c r="AN1116" s="29"/>
      <c r="AO1116" s="29"/>
      <c r="AP1116" s="29"/>
      <c r="AQ1116" s="29"/>
      <c r="AR1116" s="18"/>
      <c r="AS1116" s="29"/>
      <c r="AT1116" s="29"/>
      <c r="AU1116" s="29"/>
      <c r="AV1116" s="29"/>
      <c r="AW1116" s="29"/>
      <c r="AX1116" s="29"/>
      <c r="AY1116" s="29"/>
      <c r="AZ1116" s="29"/>
      <c r="BA1116" s="29"/>
      <c r="BB1116" s="29"/>
      <c r="BC1116" s="29"/>
      <c r="BD1116" s="29"/>
      <c r="BE1116" s="29"/>
      <c r="BF1116" s="29"/>
      <c r="BG1116" s="29"/>
      <c r="BH1116" s="29"/>
      <c r="BI1116" s="29"/>
      <c r="BJ1116" s="29"/>
      <c r="BK1116" s="29"/>
      <c r="BL1116" s="29"/>
      <c r="BM1116" s="29"/>
      <c r="BN1116" s="20">
        <f t="shared" si="143"/>
        <v>0</v>
      </c>
      <c r="BO1116" s="20">
        <f t="shared" si="144"/>
        <v>0</v>
      </c>
      <c r="BP1116" s="20">
        <f t="shared" si="145"/>
        <v>600</v>
      </c>
      <c r="BQ1116" s="51"/>
      <c r="BR1116" s="56"/>
      <c r="BS1116" s="111" t="s">
        <v>1707</v>
      </c>
      <c r="BT1116" s="36"/>
      <c r="BU1116" s="112"/>
    </row>
    <row r="1117" s="1" customFormat="1" customHeight="1" spans="1:73">
      <c r="A1117" s="15" t="s">
        <v>1708</v>
      </c>
      <c r="B1117" s="15" t="s">
        <v>1690</v>
      </c>
      <c r="C1117" s="16">
        <v>27940</v>
      </c>
      <c r="D1117" s="29"/>
      <c r="E1117" s="30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30"/>
      <c r="AH1117" s="29"/>
      <c r="AI1117" s="29"/>
      <c r="AJ1117" s="29"/>
      <c r="AK1117" s="30"/>
      <c r="AL1117" s="29"/>
      <c r="AM1117" s="29"/>
      <c r="AN1117" s="29"/>
      <c r="AO1117" s="29"/>
      <c r="AP1117" s="29"/>
      <c r="AQ1117" s="29"/>
      <c r="AR1117" s="29"/>
      <c r="AS1117" s="29"/>
      <c r="AT1117" s="29"/>
      <c r="AU1117" s="29"/>
      <c r="AV1117" s="29"/>
      <c r="AW1117" s="29"/>
      <c r="AX1117" s="29"/>
      <c r="AY1117" s="29"/>
      <c r="AZ1117" s="29"/>
      <c r="BA1117" s="29"/>
      <c r="BB1117" s="29"/>
      <c r="BC1117" s="29"/>
      <c r="BD1117" s="29"/>
      <c r="BE1117" s="29"/>
      <c r="BF1117" s="29"/>
      <c r="BG1117" s="29"/>
      <c r="BH1117" s="29"/>
      <c r="BI1117" s="29"/>
      <c r="BJ1117" s="29"/>
      <c r="BK1117" s="30"/>
      <c r="BL1117" s="29"/>
      <c r="BM1117" s="29"/>
      <c r="BN1117" s="20">
        <f t="shared" si="143"/>
        <v>0</v>
      </c>
      <c r="BO1117" s="20">
        <f t="shared" si="144"/>
        <v>0</v>
      </c>
      <c r="BP1117" s="20">
        <f t="shared" si="145"/>
        <v>27940</v>
      </c>
      <c r="BQ1117" s="51"/>
      <c r="BR1117" s="56"/>
      <c r="BS1117" s="111" t="s">
        <v>1709</v>
      </c>
      <c r="BT1117" s="36" t="s">
        <v>1710</v>
      </c>
      <c r="BU1117" s="112"/>
    </row>
    <row r="1118" s="1" customFormat="1" customHeight="1" spans="1:73">
      <c r="A1118" s="15" t="s">
        <v>1711</v>
      </c>
      <c r="B1118" s="15" t="s">
        <v>1690</v>
      </c>
      <c r="C1118" s="16">
        <v>-1399</v>
      </c>
      <c r="D1118" s="29">
        <v>10000</v>
      </c>
      <c r="E1118" s="30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30"/>
      <c r="AH1118" s="29"/>
      <c r="AI1118" s="29"/>
      <c r="AJ1118" s="29"/>
      <c r="AK1118" s="30"/>
      <c r="AL1118" s="29"/>
      <c r="AM1118" s="29"/>
      <c r="AN1118" s="29"/>
      <c r="AO1118" s="29"/>
      <c r="AP1118" s="29"/>
      <c r="AQ1118" s="29"/>
      <c r="AR1118" s="29"/>
      <c r="AS1118" s="29"/>
      <c r="AT1118" s="29"/>
      <c r="AU1118" s="29"/>
      <c r="AV1118" s="29"/>
      <c r="AW1118" s="29"/>
      <c r="AX1118" s="29"/>
      <c r="AY1118" s="29"/>
      <c r="AZ1118" s="29"/>
      <c r="BA1118" s="29"/>
      <c r="BB1118" s="29"/>
      <c r="BC1118" s="29"/>
      <c r="BD1118" s="29"/>
      <c r="BE1118" s="29"/>
      <c r="BF1118" s="29"/>
      <c r="BG1118" s="29"/>
      <c r="BH1118" s="29"/>
      <c r="BI1118" s="29"/>
      <c r="BJ1118" s="29"/>
      <c r="BK1118" s="29"/>
      <c r="BL1118" s="29"/>
      <c r="BM1118" s="29"/>
      <c r="BN1118" s="20">
        <f t="shared" si="143"/>
        <v>10000</v>
      </c>
      <c r="BO1118" s="20">
        <f t="shared" si="144"/>
        <v>0</v>
      </c>
      <c r="BP1118" s="20">
        <f t="shared" si="145"/>
        <v>8601</v>
      </c>
      <c r="BQ1118" s="51"/>
      <c r="BR1118" s="56"/>
      <c r="BS1118" s="111" t="s">
        <v>1707</v>
      </c>
      <c r="BT1118" s="167"/>
      <c r="BU1118" s="112"/>
    </row>
    <row r="1119" s="1" customFormat="1" customHeight="1" spans="1:73">
      <c r="A1119" s="15" t="s">
        <v>1621</v>
      </c>
      <c r="B1119" s="15" t="s">
        <v>1690</v>
      </c>
      <c r="C1119" s="16">
        <v>8830</v>
      </c>
      <c r="D1119" s="29"/>
      <c r="E1119" s="30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30"/>
      <c r="AH1119" s="29"/>
      <c r="AI1119" s="29"/>
      <c r="AJ1119" s="29"/>
      <c r="AK1119" s="30"/>
      <c r="AL1119" s="29"/>
      <c r="AM1119" s="29"/>
      <c r="AN1119" s="29"/>
      <c r="AO1119" s="29"/>
      <c r="AP1119" s="29"/>
      <c r="AQ1119" s="29"/>
      <c r="AR1119" s="29"/>
      <c r="AS1119" s="29"/>
      <c r="AT1119" s="29"/>
      <c r="AU1119" s="29"/>
      <c r="AV1119" s="29"/>
      <c r="AW1119" s="29"/>
      <c r="AX1119" s="29"/>
      <c r="AY1119" s="29"/>
      <c r="AZ1119" s="29"/>
      <c r="BA1119" s="29"/>
      <c r="BB1119" s="29"/>
      <c r="BC1119" s="29"/>
      <c r="BD1119" s="18"/>
      <c r="BE1119" s="29"/>
      <c r="BF1119" s="29"/>
      <c r="BG1119" s="29"/>
      <c r="BH1119" s="29"/>
      <c r="BI1119" s="29"/>
      <c r="BJ1119" s="29"/>
      <c r="BK1119" s="30"/>
      <c r="BL1119" s="29"/>
      <c r="BM1119" s="29"/>
      <c r="BN1119" s="20">
        <f t="shared" si="143"/>
        <v>0</v>
      </c>
      <c r="BO1119" s="20">
        <f t="shared" si="144"/>
        <v>0</v>
      </c>
      <c r="BP1119" s="20">
        <f t="shared" si="145"/>
        <v>8830</v>
      </c>
      <c r="BQ1119" s="51"/>
      <c r="BR1119" s="56"/>
      <c r="BS1119" s="111" t="s">
        <v>1712</v>
      </c>
      <c r="BT1119" s="167" t="s">
        <v>1713</v>
      </c>
      <c r="BU1119" s="112"/>
    </row>
    <row r="1120" s="1" customFormat="1" customHeight="1" spans="1:73">
      <c r="A1120" s="15" t="s">
        <v>1714</v>
      </c>
      <c r="B1120" s="15" t="s">
        <v>1690</v>
      </c>
      <c r="C1120" s="16">
        <v>5474</v>
      </c>
      <c r="D1120" s="29"/>
      <c r="E1120" s="30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30"/>
      <c r="AH1120" s="29"/>
      <c r="AI1120" s="29"/>
      <c r="AJ1120" s="29"/>
      <c r="AK1120" s="30"/>
      <c r="AL1120" s="29"/>
      <c r="AM1120" s="29"/>
      <c r="AN1120" s="29"/>
      <c r="AO1120" s="29"/>
      <c r="AP1120" s="29"/>
      <c r="AQ1120" s="29"/>
      <c r="AR1120" s="29"/>
      <c r="AS1120" s="29"/>
      <c r="AT1120" s="29"/>
      <c r="AU1120" s="29"/>
      <c r="AV1120" s="29"/>
      <c r="AW1120" s="29"/>
      <c r="AX1120" s="29"/>
      <c r="AY1120" s="29"/>
      <c r="AZ1120" s="29"/>
      <c r="BA1120" s="29"/>
      <c r="BB1120" s="29"/>
      <c r="BC1120" s="29"/>
      <c r="BD1120" s="29"/>
      <c r="BE1120" s="29"/>
      <c r="BF1120" s="29"/>
      <c r="BG1120" s="29"/>
      <c r="BH1120" s="29"/>
      <c r="BI1120" s="29"/>
      <c r="BJ1120" s="29"/>
      <c r="BK1120" s="29"/>
      <c r="BL1120" s="29"/>
      <c r="BM1120" s="29"/>
      <c r="BN1120" s="20">
        <f t="shared" si="143"/>
        <v>0</v>
      </c>
      <c r="BO1120" s="20">
        <f t="shared" si="144"/>
        <v>0</v>
      </c>
      <c r="BP1120" s="20">
        <f t="shared" si="145"/>
        <v>5474</v>
      </c>
      <c r="BQ1120" s="51"/>
      <c r="BR1120" s="56"/>
      <c r="BS1120" s="111" t="s">
        <v>1715</v>
      </c>
      <c r="BT1120" s="36"/>
      <c r="BU1120" s="112"/>
    </row>
    <row r="1121" s="1" customFormat="1" customHeight="1" spans="1:73">
      <c r="A1121" s="15" t="s">
        <v>1716</v>
      </c>
      <c r="B1121" s="15" t="s">
        <v>1690</v>
      </c>
      <c r="C1121" s="16">
        <v>6170</v>
      </c>
      <c r="D1121" s="29"/>
      <c r="E1121" s="30"/>
      <c r="F1121" s="29"/>
      <c r="G1121" s="29"/>
      <c r="H1121" s="29"/>
      <c r="I1121" s="29">
        <v>312</v>
      </c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29"/>
      <c r="AB1121" s="29"/>
      <c r="AC1121" s="29"/>
      <c r="AD1121" s="29"/>
      <c r="AE1121" s="29"/>
      <c r="AF1121" s="29"/>
      <c r="AG1121" s="30"/>
      <c r="AH1121" s="29"/>
      <c r="AI1121" s="29"/>
      <c r="AJ1121" s="29"/>
      <c r="AK1121" s="29"/>
      <c r="AL1121" s="29"/>
      <c r="AM1121" s="29"/>
      <c r="AN1121" s="29"/>
      <c r="AO1121" s="29"/>
      <c r="AP1121" s="29"/>
      <c r="AQ1121" s="29"/>
      <c r="AR1121" s="29"/>
      <c r="AS1121" s="29"/>
      <c r="AT1121" s="29"/>
      <c r="AU1121" s="29"/>
      <c r="AV1121" s="29"/>
      <c r="AW1121" s="29"/>
      <c r="AX1121" s="29"/>
      <c r="AY1121" s="29"/>
      <c r="AZ1121" s="29"/>
      <c r="BA1121" s="29"/>
      <c r="BB1121" s="29"/>
      <c r="BC1121" s="29"/>
      <c r="BD1121" s="29"/>
      <c r="BE1121" s="29"/>
      <c r="BF1121" s="29"/>
      <c r="BG1121" s="29"/>
      <c r="BH1121" s="29"/>
      <c r="BI1121" s="29"/>
      <c r="BJ1121" s="29"/>
      <c r="BK1121" s="29"/>
      <c r="BL1121" s="29"/>
      <c r="BM1121" s="29"/>
      <c r="BN1121" s="20">
        <f t="shared" si="143"/>
        <v>0</v>
      </c>
      <c r="BO1121" s="20">
        <f t="shared" si="144"/>
        <v>312</v>
      </c>
      <c r="BP1121" s="20">
        <f t="shared" si="145"/>
        <v>5858</v>
      </c>
      <c r="BQ1121" s="51"/>
      <c r="BR1121" s="56"/>
      <c r="BS1121" s="111" t="s">
        <v>1717</v>
      </c>
      <c r="BT1121" s="36"/>
      <c r="BU1121" s="112"/>
    </row>
    <row r="1122" s="1" customFormat="1" customHeight="1" spans="1:73">
      <c r="A1122" s="15" t="s">
        <v>1718</v>
      </c>
      <c r="B1122" s="15" t="s">
        <v>1690</v>
      </c>
      <c r="C1122" s="16">
        <v>1431</v>
      </c>
      <c r="D1122" s="29"/>
      <c r="E1122" s="30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29"/>
      <c r="AB1122" s="29"/>
      <c r="AC1122" s="29"/>
      <c r="AD1122" s="29"/>
      <c r="AE1122" s="29"/>
      <c r="AF1122" s="29"/>
      <c r="AG1122" s="30"/>
      <c r="AH1122" s="29"/>
      <c r="AI1122" s="29"/>
      <c r="AJ1122" s="29"/>
      <c r="AK1122" s="30"/>
      <c r="AL1122" s="29"/>
      <c r="AM1122" s="29"/>
      <c r="AN1122" s="29"/>
      <c r="AO1122" s="29"/>
      <c r="AP1122" s="29"/>
      <c r="AQ1122" s="29"/>
      <c r="AR1122" s="29"/>
      <c r="AS1122" s="29"/>
      <c r="AT1122" s="29"/>
      <c r="AU1122" s="29"/>
      <c r="AV1122" s="29"/>
      <c r="AW1122" s="29"/>
      <c r="AX1122" s="29"/>
      <c r="AY1122" s="29"/>
      <c r="AZ1122" s="29"/>
      <c r="BA1122" s="29"/>
      <c r="BB1122" s="29"/>
      <c r="BC1122" s="29"/>
      <c r="BD1122" s="29"/>
      <c r="BE1122" s="29"/>
      <c r="BF1122" s="29"/>
      <c r="BG1122" s="29"/>
      <c r="BH1122" s="29"/>
      <c r="BI1122" s="29"/>
      <c r="BJ1122" s="29"/>
      <c r="BK1122" s="29"/>
      <c r="BL1122" s="29"/>
      <c r="BM1122" s="29"/>
      <c r="BN1122" s="20">
        <f t="shared" si="143"/>
        <v>0</v>
      </c>
      <c r="BO1122" s="20">
        <f t="shared" si="144"/>
        <v>0</v>
      </c>
      <c r="BP1122" s="20">
        <f t="shared" si="145"/>
        <v>1431</v>
      </c>
      <c r="BQ1122" s="51"/>
      <c r="BR1122" s="56"/>
      <c r="BS1122" s="111"/>
      <c r="BT1122" s="36"/>
      <c r="BU1122" s="112"/>
    </row>
    <row r="1123" s="1" customFormat="1" customHeight="1" spans="1:73">
      <c r="A1123" s="15" t="s">
        <v>1719</v>
      </c>
      <c r="B1123" s="15" t="s">
        <v>1690</v>
      </c>
      <c r="C1123" s="16">
        <v>500</v>
      </c>
      <c r="D1123" s="29"/>
      <c r="E1123" s="30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29"/>
      <c r="AB1123" s="29"/>
      <c r="AC1123" s="29"/>
      <c r="AD1123" s="29"/>
      <c r="AE1123" s="29"/>
      <c r="AF1123" s="29"/>
      <c r="AG1123" s="30"/>
      <c r="AH1123" s="29"/>
      <c r="AI1123" s="29"/>
      <c r="AJ1123" s="29"/>
      <c r="AK1123" s="30"/>
      <c r="AL1123" s="29"/>
      <c r="AM1123" s="29"/>
      <c r="AN1123" s="29"/>
      <c r="AO1123" s="29"/>
      <c r="AP1123" s="29"/>
      <c r="AQ1123" s="29"/>
      <c r="AR1123" s="29"/>
      <c r="AS1123" s="29"/>
      <c r="AT1123" s="29"/>
      <c r="AU1123" s="29"/>
      <c r="AV1123" s="29"/>
      <c r="AW1123" s="29"/>
      <c r="AX1123" s="29"/>
      <c r="AY1123" s="29"/>
      <c r="AZ1123" s="29"/>
      <c r="BA1123" s="29"/>
      <c r="BB1123" s="29"/>
      <c r="BC1123" s="29"/>
      <c r="BD1123" s="29"/>
      <c r="BE1123" s="29"/>
      <c r="BF1123" s="29"/>
      <c r="BG1123" s="29"/>
      <c r="BH1123" s="29"/>
      <c r="BI1123" s="29"/>
      <c r="BJ1123" s="29"/>
      <c r="BK1123" s="29"/>
      <c r="BL1123" s="29"/>
      <c r="BM1123" s="29"/>
      <c r="BN1123" s="20">
        <f t="shared" si="143"/>
        <v>0</v>
      </c>
      <c r="BO1123" s="20">
        <f t="shared" si="144"/>
        <v>0</v>
      </c>
      <c r="BP1123" s="20">
        <f t="shared" si="145"/>
        <v>500</v>
      </c>
      <c r="BQ1123" s="51"/>
      <c r="BR1123" s="56"/>
      <c r="BS1123" s="111"/>
      <c r="BT1123" s="36"/>
      <c r="BU1123" s="112"/>
    </row>
    <row r="1124" s="1" customFormat="1" customHeight="1" spans="1:73">
      <c r="A1124" s="15" t="s">
        <v>1720</v>
      </c>
      <c r="B1124" s="15" t="s">
        <v>1690</v>
      </c>
      <c r="C1124" s="16">
        <v>28805</v>
      </c>
      <c r="D1124" s="29"/>
      <c r="E1124" s="30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29"/>
      <c r="AB1124" s="29"/>
      <c r="AC1124" s="29"/>
      <c r="AD1124" s="29"/>
      <c r="AE1124" s="29"/>
      <c r="AF1124" s="29"/>
      <c r="AG1124" s="30"/>
      <c r="AH1124" s="29"/>
      <c r="AI1124" s="29"/>
      <c r="AJ1124" s="29"/>
      <c r="AK1124" s="30"/>
      <c r="AL1124" s="29"/>
      <c r="AM1124" s="29"/>
      <c r="AN1124" s="29"/>
      <c r="AO1124" s="29"/>
      <c r="AP1124" s="29"/>
      <c r="AQ1124" s="29"/>
      <c r="AR1124" s="29"/>
      <c r="AS1124" s="29"/>
      <c r="AT1124" s="29"/>
      <c r="AU1124" s="29"/>
      <c r="AV1124" s="29"/>
      <c r="AW1124" s="29"/>
      <c r="AX1124" s="29"/>
      <c r="AY1124" s="29"/>
      <c r="AZ1124" s="29"/>
      <c r="BA1124" s="29"/>
      <c r="BB1124" s="29"/>
      <c r="BC1124" s="29"/>
      <c r="BD1124" s="29"/>
      <c r="BE1124" s="29"/>
      <c r="BF1124" s="29"/>
      <c r="BG1124" s="29"/>
      <c r="BH1124" s="29"/>
      <c r="BI1124" s="29"/>
      <c r="BJ1124" s="29"/>
      <c r="BK1124" s="29"/>
      <c r="BL1124" s="29"/>
      <c r="BM1124" s="29"/>
      <c r="BN1124" s="20">
        <f t="shared" si="143"/>
        <v>0</v>
      </c>
      <c r="BO1124" s="20">
        <f t="shared" si="144"/>
        <v>0</v>
      </c>
      <c r="BP1124" s="20">
        <f t="shared" si="145"/>
        <v>28805</v>
      </c>
      <c r="BQ1124" s="51"/>
      <c r="BR1124" s="56"/>
      <c r="BS1124" s="111" t="s">
        <v>1721</v>
      </c>
      <c r="BT1124" s="36"/>
      <c r="BU1124" s="112"/>
    </row>
    <row r="1125" s="1" customFormat="1" customHeight="1" spans="1:73">
      <c r="A1125" s="15" t="s">
        <v>1722</v>
      </c>
      <c r="B1125" s="15" t="s">
        <v>1632</v>
      </c>
      <c r="C1125" s="16">
        <v>9300</v>
      </c>
      <c r="D1125" s="29"/>
      <c r="E1125" s="30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29"/>
      <c r="AB1125" s="29"/>
      <c r="AC1125" s="29"/>
      <c r="AD1125" s="29"/>
      <c r="AE1125" s="29"/>
      <c r="AF1125" s="29"/>
      <c r="AG1125" s="30"/>
      <c r="AH1125" s="29"/>
      <c r="AI1125" s="29"/>
      <c r="AJ1125" s="29"/>
      <c r="AK1125" s="30"/>
      <c r="AL1125" s="29"/>
      <c r="AM1125" s="29"/>
      <c r="AN1125" s="29"/>
      <c r="AO1125" s="29"/>
      <c r="AP1125" s="29"/>
      <c r="AQ1125" s="29"/>
      <c r="AR1125" s="29"/>
      <c r="AS1125" s="29"/>
      <c r="AT1125" s="29"/>
      <c r="AU1125" s="29"/>
      <c r="AV1125" s="29"/>
      <c r="AW1125" s="29"/>
      <c r="AX1125" s="29"/>
      <c r="AY1125" s="29"/>
      <c r="AZ1125" s="29"/>
      <c r="BA1125" s="29"/>
      <c r="BB1125" s="29"/>
      <c r="BC1125" s="29"/>
      <c r="BD1125" s="29"/>
      <c r="BE1125" s="29"/>
      <c r="BF1125" s="29"/>
      <c r="BG1125" s="29"/>
      <c r="BH1125" s="29"/>
      <c r="BI1125" s="29"/>
      <c r="BJ1125" s="29"/>
      <c r="BK1125" s="29"/>
      <c r="BL1125" s="29"/>
      <c r="BM1125" s="29"/>
      <c r="BN1125" s="20">
        <f t="shared" si="143"/>
        <v>0</v>
      </c>
      <c r="BO1125" s="20">
        <f t="shared" si="144"/>
        <v>0</v>
      </c>
      <c r="BP1125" s="20">
        <f t="shared" si="145"/>
        <v>9300</v>
      </c>
      <c r="BQ1125" s="51"/>
      <c r="BR1125" s="56"/>
      <c r="BS1125" s="111" t="s">
        <v>1723</v>
      </c>
      <c r="BT1125" s="36">
        <f>492/0.0491</f>
        <v>10020.366598778</v>
      </c>
      <c r="BU1125" s="112"/>
    </row>
    <row r="1126" s="1" customFormat="1" customHeight="1" spans="1:73">
      <c r="A1126" s="15" t="s">
        <v>1724</v>
      </c>
      <c r="B1126" s="15" t="s">
        <v>1632</v>
      </c>
      <c r="C1126" s="16">
        <v>41145</v>
      </c>
      <c r="D1126" s="29"/>
      <c r="E1126" s="29"/>
      <c r="F1126" s="29"/>
      <c r="G1126" s="29"/>
      <c r="H1126" s="29"/>
      <c r="I1126" s="29">
        <f>5680+3535</f>
        <v>9215</v>
      </c>
      <c r="J1126" s="29"/>
      <c r="K1126" s="29">
        <v>132</v>
      </c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29"/>
      <c r="AB1126" s="29"/>
      <c r="AC1126" s="29"/>
      <c r="AD1126" s="29"/>
      <c r="AE1126" s="30"/>
      <c r="AF1126" s="29"/>
      <c r="AG1126" s="30"/>
      <c r="AH1126" s="29"/>
      <c r="AI1126" s="30"/>
      <c r="AJ1126" s="29"/>
      <c r="AK1126" s="30"/>
      <c r="AL1126" s="29"/>
      <c r="AM1126" s="18"/>
      <c r="AN1126" s="29"/>
      <c r="AO1126" s="29"/>
      <c r="AP1126" s="29"/>
      <c r="AQ1126" s="29"/>
      <c r="AR1126" s="29"/>
      <c r="AS1126" s="30"/>
      <c r="AT1126" s="29"/>
      <c r="AU1126" s="29"/>
      <c r="AV1126" s="29"/>
      <c r="AW1126" s="29"/>
      <c r="AX1126" s="29"/>
      <c r="AY1126" s="29"/>
      <c r="AZ1126" s="29"/>
      <c r="BA1126" s="29"/>
      <c r="BB1126" s="29"/>
      <c r="BC1126" s="29"/>
      <c r="BD1126" s="29"/>
      <c r="BE1126" s="29"/>
      <c r="BF1126" s="29"/>
      <c r="BG1126" s="29"/>
      <c r="BH1126" s="29"/>
      <c r="BI1126" s="29"/>
      <c r="BJ1126" s="18"/>
      <c r="BK1126" s="29"/>
      <c r="BL1126" s="29"/>
      <c r="BM1126" s="29"/>
      <c r="BN1126" s="20">
        <f t="shared" si="143"/>
        <v>0</v>
      </c>
      <c r="BO1126" s="20">
        <f t="shared" si="144"/>
        <v>9347</v>
      </c>
      <c r="BP1126" s="20">
        <f t="shared" si="145"/>
        <v>31798</v>
      </c>
      <c r="BQ1126" s="51"/>
      <c r="BR1126" s="56"/>
      <c r="BS1126" s="111" t="s">
        <v>1725</v>
      </c>
      <c r="BT1126" s="168"/>
      <c r="BU1126" s="112"/>
    </row>
    <row r="1127" s="1" customFormat="1" customHeight="1" spans="1:73">
      <c r="A1127" s="15" t="s">
        <v>1627</v>
      </c>
      <c r="B1127" s="15" t="s">
        <v>1632</v>
      </c>
      <c r="C1127" s="16">
        <v>16726</v>
      </c>
      <c r="D1127" s="29"/>
      <c r="E1127" s="30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30"/>
      <c r="R1127" s="29"/>
      <c r="S1127" s="29"/>
      <c r="T1127" s="29"/>
      <c r="U1127" s="29"/>
      <c r="V1127" s="29"/>
      <c r="W1127" s="29"/>
      <c r="X1127" s="29"/>
      <c r="Y1127" s="29"/>
      <c r="Z1127" s="29"/>
      <c r="AA1127" s="29"/>
      <c r="AB1127" s="29"/>
      <c r="AC1127" s="29"/>
      <c r="AD1127" s="29"/>
      <c r="AE1127" s="29"/>
      <c r="AF1127" s="29"/>
      <c r="AG1127" s="30"/>
      <c r="AH1127" s="29"/>
      <c r="AI1127" s="29"/>
      <c r="AJ1127" s="29"/>
      <c r="AK1127" s="30"/>
      <c r="AL1127" s="29"/>
      <c r="AM1127" s="29"/>
      <c r="AN1127" s="29"/>
      <c r="AO1127" s="29"/>
      <c r="AP1127" s="29"/>
      <c r="AQ1127" s="29"/>
      <c r="AR1127" s="18"/>
      <c r="AS1127" s="29"/>
      <c r="AT1127" s="29"/>
      <c r="AU1127" s="29"/>
      <c r="AV1127" s="54"/>
      <c r="AW1127" s="29"/>
      <c r="AX1127" s="29"/>
      <c r="AY1127" s="29"/>
      <c r="AZ1127" s="29"/>
      <c r="BA1127" s="29"/>
      <c r="BB1127" s="29"/>
      <c r="BC1127" s="29"/>
      <c r="BD1127" s="29"/>
      <c r="BE1127" s="29"/>
      <c r="BF1127" s="29"/>
      <c r="BG1127" s="29"/>
      <c r="BH1127" s="29"/>
      <c r="BI1127" s="29"/>
      <c r="BJ1127" s="29"/>
      <c r="BK1127" s="29"/>
      <c r="BL1127" s="29"/>
      <c r="BM1127" s="29"/>
      <c r="BN1127" s="20">
        <f t="shared" si="143"/>
        <v>0</v>
      </c>
      <c r="BO1127" s="20">
        <f t="shared" si="144"/>
        <v>0</v>
      </c>
      <c r="BP1127" s="20">
        <f t="shared" si="145"/>
        <v>16726</v>
      </c>
      <c r="BQ1127" s="51"/>
      <c r="BR1127" s="56"/>
      <c r="BS1127" s="111" t="s">
        <v>1726</v>
      </c>
      <c r="BT1127" s="36"/>
      <c r="BU1127" s="112"/>
    </row>
    <row r="1128" s="1" customFormat="1" customHeight="1" spans="1:73">
      <c r="A1128" s="15" t="s">
        <v>1727</v>
      </c>
      <c r="B1128" s="15" t="s">
        <v>1632</v>
      </c>
      <c r="C1128" s="16">
        <v>6925</v>
      </c>
      <c r="D1128" s="29"/>
      <c r="E1128" s="30"/>
      <c r="F1128" s="30"/>
      <c r="G1128" s="29"/>
      <c r="H1128" s="29"/>
      <c r="I1128" s="29">
        <v>13</v>
      </c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29"/>
      <c r="AB1128" s="29"/>
      <c r="AC1128" s="29"/>
      <c r="AD1128" s="29"/>
      <c r="AE1128" s="29"/>
      <c r="AF1128" s="29"/>
      <c r="AG1128" s="30"/>
      <c r="AH1128" s="29"/>
      <c r="AI1128" s="29"/>
      <c r="AJ1128" s="29"/>
      <c r="AK1128" s="29"/>
      <c r="AL1128" s="29"/>
      <c r="AM1128" s="29"/>
      <c r="AN1128" s="29"/>
      <c r="AO1128" s="29"/>
      <c r="AP1128" s="29"/>
      <c r="AQ1128" s="29"/>
      <c r="AR1128" s="29"/>
      <c r="AS1128" s="29"/>
      <c r="AT1128" s="29"/>
      <c r="AU1128" s="29"/>
      <c r="AV1128" s="29"/>
      <c r="AW1128" s="29"/>
      <c r="AX1128" s="29"/>
      <c r="AY1128" s="29"/>
      <c r="AZ1128" s="29"/>
      <c r="BA1128" s="29"/>
      <c r="BB1128" s="29"/>
      <c r="BC1128" s="29"/>
      <c r="BD1128" s="29"/>
      <c r="BE1128" s="29"/>
      <c r="BF1128" s="29"/>
      <c r="BG1128" s="29"/>
      <c r="BH1128" s="29"/>
      <c r="BI1128" s="29"/>
      <c r="BJ1128" s="29"/>
      <c r="BK1128" s="29"/>
      <c r="BL1128" s="29"/>
      <c r="BM1128" s="29"/>
      <c r="BN1128" s="20">
        <f t="shared" si="143"/>
        <v>0</v>
      </c>
      <c r="BO1128" s="20">
        <f t="shared" si="144"/>
        <v>13</v>
      </c>
      <c r="BP1128" s="20">
        <f t="shared" si="145"/>
        <v>6912</v>
      </c>
      <c r="BQ1128" s="51"/>
      <c r="BR1128" s="56"/>
      <c r="BS1128" s="111" t="s">
        <v>1728</v>
      </c>
      <c r="BT1128" s="36"/>
      <c r="BU1128" s="112"/>
    </row>
    <row r="1129" s="1" customFormat="1" customHeight="1" spans="1:73">
      <c r="A1129" s="15" t="s">
        <v>1729</v>
      </c>
      <c r="B1129" s="15" t="s">
        <v>1632</v>
      </c>
      <c r="C1129" s="16">
        <v>-26688</v>
      </c>
      <c r="D1129" s="29">
        <v>20000</v>
      </c>
      <c r="E1129" s="30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29"/>
      <c r="AB1129" s="29"/>
      <c r="AC1129" s="29"/>
      <c r="AD1129" s="29"/>
      <c r="AE1129" s="29"/>
      <c r="AF1129" s="29"/>
      <c r="AG1129" s="30"/>
      <c r="AH1129" s="29"/>
      <c r="AI1129" s="29"/>
      <c r="AJ1129" s="29"/>
      <c r="AK1129" s="30"/>
      <c r="AL1129" s="29"/>
      <c r="AM1129" s="29"/>
      <c r="AN1129" s="29"/>
      <c r="AO1129" s="29"/>
      <c r="AP1129" s="29"/>
      <c r="AQ1129" s="29"/>
      <c r="AR1129" s="29"/>
      <c r="AS1129" s="29"/>
      <c r="AT1129" s="29"/>
      <c r="AU1129" s="29"/>
      <c r="AV1129" s="29"/>
      <c r="AW1129" s="29"/>
      <c r="AX1129" s="29"/>
      <c r="AY1129" s="30"/>
      <c r="AZ1129" s="29"/>
      <c r="BA1129" s="29"/>
      <c r="BB1129" s="29"/>
      <c r="BC1129" s="29"/>
      <c r="BD1129" s="29"/>
      <c r="BE1129" s="29"/>
      <c r="BF1129" s="29"/>
      <c r="BG1129" s="29"/>
      <c r="BH1129" s="29"/>
      <c r="BI1129" s="29"/>
      <c r="BJ1129" s="29"/>
      <c r="BK1129" s="29"/>
      <c r="BL1129" s="29"/>
      <c r="BM1129" s="29"/>
      <c r="BN1129" s="20">
        <f t="shared" ref="BN1129:BN1192" si="146">D1129+F1129+H1129+J1129+L1129+N1129+P1129+R1129+T1129+V1129+X1129+Z1129+AB1129+AD1129+AF1129+AH1129+AJ1129+AL1129+AN1129+AP1129+AR1129+AT1129+AV1129+AX1129+AZ1129+BB1129+BD1129+BF1129+BH1129+BJ1129+BL1129</f>
        <v>20000</v>
      </c>
      <c r="BO1129" s="20">
        <f t="shared" ref="BO1129:BO1192" si="147">E1129+G1129+I1129+K1129+M1129+O1129+Q1129+S1129+U1129+W1129+Y1129+AA1129+AC1129+AE1129+AG1129+AI1129+AK1129+AM1129+AO1129+AQ1129+AS1129+AU1129+AW1129+AY1129+BA1129+BC1129+BE1129+BG1129+BI1129+BK1129+BM1129</f>
        <v>0</v>
      </c>
      <c r="BP1129" s="20">
        <f t="shared" ref="BP1129:BP1192" si="148">C1129+BN1129-BO1129</f>
        <v>-6688</v>
      </c>
      <c r="BQ1129" s="51"/>
      <c r="BR1129" s="56"/>
      <c r="BS1129" s="111" t="s">
        <v>1730</v>
      </c>
      <c r="BT1129" s="36"/>
      <c r="BU1129" s="112"/>
    </row>
    <row r="1130" s="1" customFormat="1" customHeight="1" spans="1:73">
      <c r="A1130" s="15" t="s">
        <v>1731</v>
      </c>
      <c r="B1130" s="15" t="s">
        <v>1632</v>
      </c>
      <c r="C1130" s="16">
        <v>-3998</v>
      </c>
      <c r="D1130" s="29">
        <v>10000</v>
      </c>
      <c r="E1130" s="30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29"/>
      <c r="AB1130" s="29"/>
      <c r="AC1130" s="29"/>
      <c r="AD1130" s="29"/>
      <c r="AE1130" s="29"/>
      <c r="AF1130" s="29"/>
      <c r="AG1130" s="30"/>
      <c r="AH1130" s="29"/>
      <c r="AI1130" s="29"/>
      <c r="AJ1130" s="29"/>
      <c r="AK1130" s="30"/>
      <c r="AL1130" s="29"/>
      <c r="AM1130" s="29"/>
      <c r="AN1130" s="29"/>
      <c r="AO1130" s="29"/>
      <c r="AP1130" s="29"/>
      <c r="AQ1130" s="29"/>
      <c r="AR1130" s="29"/>
      <c r="AS1130" s="29"/>
      <c r="AT1130" s="29"/>
      <c r="AU1130" s="29"/>
      <c r="AV1130" s="29"/>
      <c r="AW1130" s="29"/>
      <c r="AX1130" s="29"/>
      <c r="AY1130" s="29"/>
      <c r="AZ1130" s="29"/>
      <c r="BA1130" s="29"/>
      <c r="BB1130" s="29"/>
      <c r="BC1130" s="29"/>
      <c r="BD1130" s="29"/>
      <c r="BE1130" s="29"/>
      <c r="BF1130" s="18"/>
      <c r="BG1130" s="29"/>
      <c r="BH1130" s="29"/>
      <c r="BI1130" s="29"/>
      <c r="BJ1130" s="29"/>
      <c r="BK1130" s="29"/>
      <c r="BL1130" s="29"/>
      <c r="BM1130" s="29"/>
      <c r="BN1130" s="20">
        <f t="shared" si="146"/>
        <v>10000</v>
      </c>
      <c r="BO1130" s="20">
        <f t="shared" si="147"/>
        <v>0</v>
      </c>
      <c r="BP1130" s="20">
        <f t="shared" si="148"/>
        <v>6002</v>
      </c>
      <c r="BQ1130" s="51"/>
      <c r="BR1130" s="56"/>
      <c r="BS1130" s="111" t="s">
        <v>1732</v>
      </c>
      <c r="BT1130" s="36"/>
      <c r="BU1130" s="112"/>
    </row>
    <row r="1131" s="1" customFormat="1" customHeight="1" spans="1:73">
      <c r="A1131" s="15" t="s">
        <v>1733</v>
      </c>
      <c r="B1131" s="15" t="s">
        <v>1632</v>
      </c>
      <c r="C1131" s="16">
        <v>4448</v>
      </c>
      <c r="D1131" s="29"/>
      <c r="E1131" s="30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29"/>
      <c r="AB1131" s="29"/>
      <c r="AC1131" s="29"/>
      <c r="AD1131" s="29"/>
      <c r="AE1131" s="29"/>
      <c r="AF1131" s="29"/>
      <c r="AG1131" s="30"/>
      <c r="AH1131" s="29"/>
      <c r="AI1131" s="29"/>
      <c r="AJ1131" s="29"/>
      <c r="AK1131" s="30"/>
      <c r="AL1131" s="29"/>
      <c r="AM1131" s="29"/>
      <c r="AN1131" s="29"/>
      <c r="AO1131" s="29"/>
      <c r="AP1131" s="29"/>
      <c r="AQ1131" s="29"/>
      <c r="AR1131" s="29"/>
      <c r="AS1131" s="29"/>
      <c r="AT1131" s="29"/>
      <c r="AU1131" s="29"/>
      <c r="AV1131" s="29"/>
      <c r="AW1131" s="29"/>
      <c r="AX1131" s="29"/>
      <c r="AY1131" s="29"/>
      <c r="AZ1131" s="29"/>
      <c r="BA1131" s="30"/>
      <c r="BB1131" s="29"/>
      <c r="BC1131" s="29"/>
      <c r="BD1131" s="29"/>
      <c r="BE1131" s="29"/>
      <c r="BF1131" s="29"/>
      <c r="BG1131" s="29"/>
      <c r="BH1131" s="29"/>
      <c r="BI1131" s="29"/>
      <c r="BJ1131" s="29"/>
      <c r="BK1131" s="29"/>
      <c r="BL1131" s="29"/>
      <c r="BM1131" s="29"/>
      <c r="BN1131" s="20">
        <f t="shared" si="146"/>
        <v>0</v>
      </c>
      <c r="BO1131" s="20">
        <f t="shared" si="147"/>
        <v>0</v>
      </c>
      <c r="BP1131" s="20">
        <f t="shared" si="148"/>
        <v>4448</v>
      </c>
      <c r="BQ1131" s="51"/>
      <c r="BR1131" s="56"/>
      <c r="BS1131" s="111" t="s">
        <v>1732</v>
      </c>
      <c r="BT1131" s="36"/>
      <c r="BU1131" s="112"/>
    </row>
    <row r="1132" s="1" customFormat="1" customHeight="1" spans="1:73">
      <c r="A1132" s="15" t="s">
        <v>1628</v>
      </c>
      <c r="B1132" s="15" t="s">
        <v>1632</v>
      </c>
      <c r="C1132" s="16">
        <v>6040</v>
      </c>
      <c r="D1132" s="29"/>
      <c r="E1132" s="30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29"/>
      <c r="AB1132" s="29"/>
      <c r="AC1132" s="29"/>
      <c r="AD1132" s="29"/>
      <c r="AE1132" s="29"/>
      <c r="AF1132" s="29"/>
      <c r="AG1132" s="30"/>
      <c r="AH1132" s="29"/>
      <c r="AI1132" s="29"/>
      <c r="AJ1132" s="29"/>
      <c r="AK1132" s="30"/>
      <c r="AL1132" s="29"/>
      <c r="AM1132" s="29"/>
      <c r="AN1132" s="29"/>
      <c r="AO1132" s="29"/>
      <c r="AP1132" s="29"/>
      <c r="AQ1132" s="29"/>
      <c r="AR1132" s="29"/>
      <c r="AS1132" s="29"/>
      <c r="AT1132" s="29"/>
      <c r="AU1132" s="29"/>
      <c r="AV1132" s="29"/>
      <c r="AW1132" s="29"/>
      <c r="AX1132" s="29"/>
      <c r="AY1132" s="29"/>
      <c r="AZ1132" s="29"/>
      <c r="BA1132" s="29"/>
      <c r="BB1132" s="29"/>
      <c r="BC1132" s="29"/>
      <c r="BD1132" s="29"/>
      <c r="BE1132" s="29"/>
      <c r="BF1132" s="29"/>
      <c r="BG1132" s="29"/>
      <c r="BH1132" s="29"/>
      <c r="BI1132" s="29"/>
      <c r="BJ1132" s="29"/>
      <c r="BK1132" s="29"/>
      <c r="BL1132" s="29"/>
      <c r="BM1132" s="29"/>
      <c r="BN1132" s="20">
        <f t="shared" si="146"/>
        <v>0</v>
      </c>
      <c r="BO1132" s="20">
        <f t="shared" si="147"/>
        <v>0</v>
      </c>
      <c r="BP1132" s="20">
        <f t="shared" si="148"/>
        <v>6040</v>
      </c>
      <c r="BQ1132" s="51"/>
      <c r="BR1132" s="56"/>
      <c r="BS1132" s="111" t="s">
        <v>1734</v>
      </c>
      <c r="BT1132" s="36"/>
      <c r="BU1132" s="112"/>
    </row>
    <row r="1133" s="1" customFormat="1" customHeight="1" spans="1:73">
      <c r="A1133" s="15" t="s">
        <v>1735</v>
      </c>
      <c r="B1133" s="15" t="s">
        <v>1632</v>
      </c>
      <c r="C1133" s="16">
        <v>1890</v>
      </c>
      <c r="D1133" s="29"/>
      <c r="E1133" s="30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29"/>
      <c r="AB1133" s="29"/>
      <c r="AC1133" s="29"/>
      <c r="AD1133" s="29"/>
      <c r="AE1133" s="29"/>
      <c r="AF1133" s="29"/>
      <c r="AG1133" s="30"/>
      <c r="AH1133" s="29"/>
      <c r="AI1133" s="29"/>
      <c r="AJ1133" s="29"/>
      <c r="AK1133" s="30"/>
      <c r="AL1133" s="29"/>
      <c r="AM1133" s="29"/>
      <c r="AN1133" s="29"/>
      <c r="AO1133" s="29"/>
      <c r="AP1133" s="29"/>
      <c r="AQ1133" s="29"/>
      <c r="AR1133" s="29"/>
      <c r="AS1133" s="29"/>
      <c r="AT1133" s="29"/>
      <c r="AU1133" s="29"/>
      <c r="AV1133" s="29"/>
      <c r="AW1133" s="29"/>
      <c r="AX1133" s="29"/>
      <c r="AY1133" s="29"/>
      <c r="AZ1133" s="29"/>
      <c r="BA1133" s="29"/>
      <c r="BB1133" s="29"/>
      <c r="BC1133" s="29"/>
      <c r="BD1133" s="29"/>
      <c r="BE1133" s="29"/>
      <c r="BF1133" s="29"/>
      <c r="BG1133" s="29"/>
      <c r="BH1133" s="29"/>
      <c r="BI1133" s="29"/>
      <c r="BJ1133" s="29"/>
      <c r="BK1133" s="29"/>
      <c r="BL1133" s="29"/>
      <c r="BM1133" s="29"/>
      <c r="BN1133" s="20">
        <f t="shared" si="146"/>
        <v>0</v>
      </c>
      <c r="BO1133" s="20">
        <f t="shared" si="147"/>
        <v>0</v>
      </c>
      <c r="BP1133" s="20">
        <f t="shared" si="148"/>
        <v>1890</v>
      </c>
      <c r="BQ1133" s="51"/>
      <c r="BR1133" s="56"/>
      <c r="BS1133" s="111" t="s">
        <v>1736</v>
      </c>
      <c r="BT1133" s="36"/>
      <c r="BU1133" s="112"/>
    </row>
    <row r="1134" s="1" customFormat="1" customHeight="1" spans="1:73">
      <c r="A1134" s="15" t="s">
        <v>1737</v>
      </c>
      <c r="B1134" s="15" t="s">
        <v>1632</v>
      </c>
      <c r="C1134" s="16">
        <v>-24422</v>
      </c>
      <c r="D1134" s="29"/>
      <c r="E1134" s="30"/>
      <c r="F1134" s="29"/>
      <c r="G1134" s="29"/>
      <c r="H1134" s="29"/>
      <c r="I1134" s="29"/>
      <c r="J1134" s="29"/>
      <c r="K1134" s="29">
        <v>41680</v>
      </c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29"/>
      <c r="AB1134" s="29"/>
      <c r="AC1134" s="29"/>
      <c r="AD1134" s="29"/>
      <c r="AE1134" s="29"/>
      <c r="AF1134" s="29"/>
      <c r="AG1134" s="30"/>
      <c r="AH1134" s="29"/>
      <c r="AI1134" s="29"/>
      <c r="AJ1134" s="29"/>
      <c r="AK1134" s="30"/>
      <c r="AL1134" s="29"/>
      <c r="AM1134" s="29"/>
      <c r="AN1134" s="29"/>
      <c r="AO1134" s="29"/>
      <c r="AP1134" s="29"/>
      <c r="AQ1134" s="29"/>
      <c r="AR1134" s="29"/>
      <c r="AS1134" s="29"/>
      <c r="AT1134" s="29"/>
      <c r="AU1134" s="29"/>
      <c r="AV1134" s="29"/>
      <c r="AW1134" s="29"/>
      <c r="AX1134" s="29"/>
      <c r="AY1134" s="29"/>
      <c r="AZ1134" s="29"/>
      <c r="BA1134" s="29"/>
      <c r="BB1134" s="29"/>
      <c r="BC1134" s="29"/>
      <c r="BD1134" s="29"/>
      <c r="BE1134" s="29"/>
      <c r="BF1134" s="29"/>
      <c r="BG1134" s="29"/>
      <c r="BH1134" s="29"/>
      <c r="BI1134" s="29"/>
      <c r="BJ1134" s="29"/>
      <c r="BK1134" s="29"/>
      <c r="BL1134" s="29"/>
      <c r="BM1134" s="29"/>
      <c r="BN1134" s="20">
        <f t="shared" si="146"/>
        <v>0</v>
      </c>
      <c r="BO1134" s="20">
        <f t="shared" si="147"/>
        <v>41680</v>
      </c>
      <c r="BP1134" s="20">
        <f t="shared" si="148"/>
        <v>-66102</v>
      </c>
      <c r="BQ1134" s="51"/>
      <c r="BR1134" s="56"/>
      <c r="BS1134" s="111" t="s">
        <v>1738</v>
      </c>
      <c r="BT1134" s="36"/>
      <c r="BU1134" s="112"/>
    </row>
    <row r="1135" s="1" customFormat="1" customHeight="1" spans="1:73">
      <c r="A1135" s="15" t="s">
        <v>1739</v>
      </c>
      <c r="B1135" s="15" t="s">
        <v>1632</v>
      </c>
      <c r="C1135" s="16">
        <v>22358</v>
      </c>
      <c r="D1135" s="29"/>
      <c r="E1135" s="30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29"/>
      <c r="AB1135" s="29"/>
      <c r="AC1135" s="29"/>
      <c r="AD1135" s="29"/>
      <c r="AE1135" s="29"/>
      <c r="AF1135" s="29"/>
      <c r="AG1135" s="30"/>
      <c r="AH1135" s="29"/>
      <c r="AI1135" s="29"/>
      <c r="AJ1135" s="29"/>
      <c r="AK1135" s="30"/>
      <c r="AL1135" s="29"/>
      <c r="AM1135" s="29"/>
      <c r="AN1135" s="29"/>
      <c r="AO1135" s="29"/>
      <c r="AP1135" s="29"/>
      <c r="AQ1135" s="29"/>
      <c r="AR1135" s="29"/>
      <c r="AS1135" s="29"/>
      <c r="AT1135" s="29"/>
      <c r="AU1135" s="29"/>
      <c r="AV1135" s="29"/>
      <c r="AW1135" s="29"/>
      <c r="AX1135" s="29"/>
      <c r="AY1135" s="29"/>
      <c r="AZ1135" s="29"/>
      <c r="BA1135" s="29"/>
      <c r="BB1135" s="29"/>
      <c r="BC1135" s="29"/>
      <c r="BD1135" s="29"/>
      <c r="BE1135" s="29"/>
      <c r="BF1135" s="29"/>
      <c r="BG1135" s="29"/>
      <c r="BH1135" s="29"/>
      <c r="BI1135" s="29"/>
      <c r="BJ1135" s="29"/>
      <c r="BK1135" s="29"/>
      <c r="BL1135" s="29"/>
      <c r="BM1135" s="29"/>
      <c r="BN1135" s="20">
        <f t="shared" si="146"/>
        <v>0</v>
      </c>
      <c r="BO1135" s="20">
        <f t="shared" si="147"/>
        <v>0</v>
      </c>
      <c r="BP1135" s="20">
        <f t="shared" si="148"/>
        <v>22358</v>
      </c>
      <c r="BQ1135" s="51"/>
      <c r="BR1135" s="56"/>
      <c r="BS1135" s="111" t="s">
        <v>1740</v>
      </c>
      <c r="BT1135" s="36"/>
      <c r="BU1135" s="112"/>
    </row>
    <row r="1136" s="1" customFormat="1" customHeight="1" spans="1:73">
      <c r="A1136" s="15" t="s">
        <v>1741</v>
      </c>
      <c r="B1136" s="15" t="s">
        <v>1632</v>
      </c>
      <c r="C1136" s="16">
        <v>190</v>
      </c>
      <c r="D1136" s="29"/>
      <c r="E1136" s="30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29"/>
      <c r="AB1136" s="29"/>
      <c r="AC1136" s="29"/>
      <c r="AD1136" s="29"/>
      <c r="AE1136" s="29"/>
      <c r="AF1136" s="29"/>
      <c r="AG1136" s="30"/>
      <c r="AH1136" s="29"/>
      <c r="AI1136" s="29"/>
      <c r="AJ1136" s="29"/>
      <c r="AK1136" s="30"/>
      <c r="AL1136" s="29"/>
      <c r="AM1136" s="29"/>
      <c r="AN1136" s="18"/>
      <c r="AO1136" s="29"/>
      <c r="AP1136" s="29"/>
      <c r="AQ1136" s="29"/>
      <c r="AR1136" s="29"/>
      <c r="AS1136" s="29"/>
      <c r="AT1136" s="29"/>
      <c r="AU1136" s="29"/>
      <c r="AV1136" s="29"/>
      <c r="AW1136" s="29"/>
      <c r="AX1136" s="29"/>
      <c r="AY1136" s="29"/>
      <c r="AZ1136" s="29"/>
      <c r="BA1136" s="29"/>
      <c r="BB1136" s="29"/>
      <c r="BC1136" s="29"/>
      <c r="BD1136" s="29"/>
      <c r="BE1136" s="29"/>
      <c r="BF1136" s="29"/>
      <c r="BG1136" s="29"/>
      <c r="BH1136" s="29"/>
      <c r="BI1136" s="29"/>
      <c r="BJ1136" s="29"/>
      <c r="BK1136" s="29"/>
      <c r="BL1136" s="29"/>
      <c r="BM1136" s="29"/>
      <c r="BN1136" s="20">
        <f t="shared" si="146"/>
        <v>0</v>
      </c>
      <c r="BO1136" s="20">
        <f t="shared" si="147"/>
        <v>0</v>
      </c>
      <c r="BP1136" s="20">
        <f t="shared" si="148"/>
        <v>190</v>
      </c>
      <c r="BQ1136" s="51"/>
      <c r="BR1136" s="56"/>
      <c r="BS1136" s="111" t="s">
        <v>1742</v>
      </c>
      <c r="BT1136" s="36"/>
      <c r="BU1136" s="112"/>
    </row>
    <row r="1137" s="1" customFormat="1" customHeight="1" spans="1:73">
      <c r="A1137" s="15" t="s">
        <v>1743</v>
      </c>
      <c r="B1137" s="15" t="s">
        <v>1632</v>
      </c>
      <c r="C1137" s="16">
        <v>2368</v>
      </c>
      <c r="D1137" s="29"/>
      <c r="E1137" s="30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29"/>
      <c r="AD1137" s="29"/>
      <c r="AE1137" s="29"/>
      <c r="AF1137" s="29"/>
      <c r="AG1137" s="30"/>
      <c r="AH1137" s="29"/>
      <c r="AI1137" s="29"/>
      <c r="AJ1137" s="29"/>
      <c r="AK1137" s="30"/>
      <c r="AL1137" s="29"/>
      <c r="AM1137" s="29"/>
      <c r="AN1137" s="29"/>
      <c r="AO1137" s="29"/>
      <c r="AP1137" s="29"/>
      <c r="AQ1137" s="29"/>
      <c r="AR1137" s="29"/>
      <c r="AS1137" s="29"/>
      <c r="AT1137" s="29"/>
      <c r="AU1137" s="29"/>
      <c r="AV1137" s="29"/>
      <c r="AW1137" s="29"/>
      <c r="AX1137" s="29"/>
      <c r="AY1137" s="29"/>
      <c r="AZ1137" s="29"/>
      <c r="BA1137" s="29"/>
      <c r="BB1137" s="29"/>
      <c r="BC1137" s="29"/>
      <c r="BD1137" s="29"/>
      <c r="BE1137" s="30"/>
      <c r="BF1137" s="29"/>
      <c r="BG1137" s="29"/>
      <c r="BH1137" s="29"/>
      <c r="BI1137" s="29"/>
      <c r="BJ1137" s="29"/>
      <c r="BK1137" s="29"/>
      <c r="BL1137" s="29"/>
      <c r="BM1137" s="29"/>
      <c r="BN1137" s="20">
        <f t="shared" si="146"/>
        <v>0</v>
      </c>
      <c r="BO1137" s="20">
        <f t="shared" si="147"/>
        <v>0</v>
      </c>
      <c r="BP1137" s="20">
        <f t="shared" si="148"/>
        <v>2368</v>
      </c>
      <c r="BQ1137" s="51"/>
      <c r="BR1137" s="56"/>
      <c r="BS1137" s="111" t="s">
        <v>1744</v>
      </c>
      <c r="BT1137" s="36"/>
      <c r="BU1137" s="112"/>
    </row>
    <row r="1138" s="1" customFormat="1" customHeight="1" spans="1:73">
      <c r="A1138" s="15" t="s">
        <v>1745</v>
      </c>
      <c r="B1138" s="15" t="s">
        <v>1632</v>
      </c>
      <c r="C1138" s="16">
        <v>1676</v>
      </c>
      <c r="D1138" s="29"/>
      <c r="E1138" s="30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30"/>
      <c r="R1138" s="29"/>
      <c r="S1138" s="29"/>
      <c r="T1138" s="29"/>
      <c r="U1138" s="29"/>
      <c r="V1138" s="29"/>
      <c r="W1138" s="29"/>
      <c r="X1138" s="29"/>
      <c r="Y1138" s="29"/>
      <c r="Z1138" s="29"/>
      <c r="AA1138" s="30"/>
      <c r="AB1138" s="29"/>
      <c r="AC1138" s="29"/>
      <c r="AD1138" s="29"/>
      <c r="AE1138" s="29"/>
      <c r="AF1138" s="29"/>
      <c r="AG1138" s="30"/>
      <c r="AH1138" s="29"/>
      <c r="AI1138" s="29"/>
      <c r="AJ1138" s="29"/>
      <c r="AK1138" s="30"/>
      <c r="AL1138" s="29"/>
      <c r="AM1138" s="29"/>
      <c r="AN1138" s="29"/>
      <c r="AO1138" s="29"/>
      <c r="AP1138" s="29"/>
      <c r="AQ1138" s="29"/>
      <c r="AR1138" s="29"/>
      <c r="AS1138" s="29"/>
      <c r="AT1138" s="29"/>
      <c r="AU1138" s="29"/>
      <c r="AV1138" s="29"/>
      <c r="AW1138" s="29"/>
      <c r="AX1138" s="29"/>
      <c r="AY1138" s="29"/>
      <c r="AZ1138" s="29"/>
      <c r="BA1138" s="29"/>
      <c r="BB1138" s="29"/>
      <c r="BC1138" s="29"/>
      <c r="BD1138" s="29"/>
      <c r="BE1138" s="29"/>
      <c r="BF1138" s="29"/>
      <c r="BG1138" s="29"/>
      <c r="BH1138" s="29"/>
      <c r="BI1138" s="29"/>
      <c r="BJ1138" s="29"/>
      <c r="BK1138" s="30"/>
      <c r="BL1138" s="29"/>
      <c r="BM1138" s="29"/>
      <c r="BN1138" s="20">
        <f t="shared" si="146"/>
        <v>0</v>
      </c>
      <c r="BO1138" s="20">
        <f t="shared" si="147"/>
        <v>0</v>
      </c>
      <c r="BP1138" s="20">
        <f t="shared" si="148"/>
        <v>1676</v>
      </c>
      <c r="BQ1138" s="51"/>
      <c r="BR1138" s="56"/>
      <c r="BS1138" s="111" t="s">
        <v>1746</v>
      </c>
      <c r="BT1138" s="36"/>
      <c r="BU1138" s="112"/>
    </row>
    <row r="1139" s="1" customFormat="1" customHeight="1" spans="1:73">
      <c r="A1139" s="15" t="s">
        <v>1747</v>
      </c>
      <c r="B1139" s="15" t="s">
        <v>1632</v>
      </c>
      <c r="C1139" s="16">
        <v>211</v>
      </c>
      <c r="D1139" s="29"/>
      <c r="E1139" s="30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29"/>
      <c r="AB1139" s="29"/>
      <c r="AC1139" s="29"/>
      <c r="AD1139" s="29"/>
      <c r="AE1139" s="29"/>
      <c r="AF1139" s="29"/>
      <c r="AG1139" s="30"/>
      <c r="AH1139" s="29"/>
      <c r="AI1139" s="29"/>
      <c r="AJ1139" s="29"/>
      <c r="AK1139" s="30"/>
      <c r="AL1139" s="29"/>
      <c r="AM1139" s="29"/>
      <c r="AN1139" s="29"/>
      <c r="AO1139" s="29"/>
      <c r="AP1139" s="29"/>
      <c r="AQ1139" s="29"/>
      <c r="AR1139" s="29"/>
      <c r="AS1139" s="29"/>
      <c r="AT1139" s="29"/>
      <c r="AU1139" s="29"/>
      <c r="AV1139" s="29"/>
      <c r="AW1139" s="29"/>
      <c r="AX1139" s="29"/>
      <c r="AY1139" s="29"/>
      <c r="AZ1139" s="29"/>
      <c r="BA1139" s="29"/>
      <c r="BB1139" s="29"/>
      <c r="BC1139" s="29"/>
      <c r="BD1139" s="29"/>
      <c r="BE1139" s="29"/>
      <c r="BF1139" s="29"/>
      <c r="BG1139" s="29"/>
      <c r="BH1139" s="29"/>
      <c r="BI1139" s="29"/>
      <c r="BJ1139" s="29"/>
      <c r="BK1139" s="29"/>
      <c r="BL1139" s="29"/>
      <c r="BM1139" s="29"/>
      <c r="BN1139" s="20">
        <f t="shared" si="146"/>
        <v>0</v>
      </c>
      <c r="BO1139" s="20">
        <f t="shared" si="147"/>
        <v>0</v>
      </c>
      <c r="BP1139" s="20">
        <f t="shared" si="148"/>
        <v>211</v>
      </c>
      <c r="BQ1139" s="51"/>
      <c r="BR1139" s="56"/>
      <c r="BS1139" s="111" t="s">
        <v>1746</v>
      </c>
      <c r="BT1139" s="36"/>
      <c r="BU1139" s="112"/>
    </row>
    <row r="1140" s="1" customFormat="1" customHeight="1" spans="1:73">
      <c r="A1140" s="15" t="s">
        <v>1748</v>
      </c>
      <c r="B1140" s="15" t="s">
        <v>1632</v>
      </c>
      <c r="C1140" s="16">
        <v>1452</v>
      </c>
      <c r="D1140" s="29"/>
      <c r="E1140" s="30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29"/>
      <c r="AD1140" s="29"/>
      <c r="AE1140" s="29"/>
      <c r="AF1140" s="29"/>
      <c r="AG1140" s="30"/>
      <c r="AH1140" s="29"/>
      <c r="AI1140" s="29"/>
      <c r="AJ1140" s="29"/>
      <c r="AK1140" s="30"/>
      <c r="AL1140" s="29"/>
      <c r="AM1140" s="29"/>
      <c r="AN1140" s="29"/>
      <c r="AO1140" s="29"/>
      <c r="AP1140" s="29"/>
      <c r="AQ1140" s="29"/>
      <c r="AR1140" s="29"/>
      <c r="AS1140" s="29"/>
      <c r="AT1140" s="29"/>
      <c r="AU1140" s="29"/>
      <c r="AV1140" s="29"/>
      <c r="AW1140" s="29"/>
      <c r="AX1140" s="29"/>
      <c r="AY1140" s="29"/>
      <c r="AZ1140" s="29"/>
      <c r="BA1140" s="29"/>
      <c r="BB1140" s="29"/>
      <c r="BC1140" s="29"/>
      <c r="BD1140" s="29"/>
      <c r="BE1140" s="29"/>
      <c r="BF1140" s="29"/>
      <c r="BG1140" s="29"/>
      <c r="BH1140" s="29"/>
      <c r="BI1140" s="29"/>
      <c r="BJ1140" s="29"/>
      <c r="BK1140" s="29"/>
      <c r="BL1140" s="29"/>
      <c r="BM1140" s="29"/>
      <c r="BN1140" s="20">
        <f t="shared" si="146"/>
        <v>0</v>
      </c>
      <c r="BO1140" s="20">
        <f t="shared" si="147"/>
        <v>0</v>
      </c>
      <c r="BP1140" s="20">
        <f t="shared" si="148"/>
        <v>1452</v>
      </c>
      <c r="BQ1140" s="51"/>
      <c r="BR1140" s="56"/>
      <c r="BS1140" s="111" t="s">
        <v>1749</v>
      </c>
      <c r="BT1140" s="36"/>
      <c r="BU1140" s="112"/>
    </row>
    <row r="1141" s="1" customFormat="1" customHeight="1" spans="1:73">
      <c r="A1141" s="15" t="s">
        <v>1750</v>
      </c>
      <c r="B1141" s="52" t="s">
        <v>1751</v>
      </c>
      <c r="C1141" s="16">
        <v>4270</v>
      </c>
      <c r="D1141" s="29"/>
      <c r="E1141" s="30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29"/>
      <c r="AB1141" s="29"/>
      <c r="AC1141" s="29"/>
      <c r="AD1141" s="29"/>
      <c r="AE1141" s="29"/>
      <c r="AF1141" s="29"/>
      <c r="AG1141" s="30"/>
      <c r="AH1141" s="29"/>
      <c r="AI1141" s="29"/>
      <c r="AJ1141" s="29"/>
      <c r="AK1141" s="30"/>
      <c r="AL1141" s="29"/>
      <c r="AM1141" s="29"/>
      <c r="AN1141" s="29"/>
      <c r="AO1141" s="29"/>
      <c r="AP1141" s="29"/>
      <c r="AQ1141" s="29"/>
      <c r="AR1141" s="29"/>
      <c r="AS1141" s="29"/>
      <c r="AT1141" s="29"/>
      <c r="AU1141" s="29"/>
      <c r="AV1141" s="29"/>
      <c r="AW1141" s="29"/>
      <c r="AX1141" s="29"/>
      <c r="AY1141" s="29"/>
      <c r="AZ1141" s="29"/>
      <c r="BA1141" s="29"/>
      <c r="BB1141" s="29"/>
      <c r="BC1141" s="29"/>
      <c r="BD1141" s="29"/>
      <c r="BE1141" s="29"/>
      <c r="BF1141" s="29"/>
      <c r="BG1141" s="29"/>
      <c r="BH1141" s="29"/>
      <c r="BI1141" s="29"/>
      <c r="BJ1141" s="29"/>
      <c r="BK1141" s="29"/>
      <c r="BL1141" s="29"/>
      <c r="BM1141" s="29"/>
      <c r="BN1141" s="20">
        <f t="shared" si="146"/>
        <v>0</v>
      </c>
      <c r="BO1141" s="20">
        <f t="shared" si="147"/>
        <v>0</v>
      </c>
      <c r="BP1141" s="20">
        <f t="shared" si="148"/>
        <v>4270</v>
      </c>
      <c r="BQ1141" s="51"/>
      <c r="BR1141" s="56"/>
      <c r="BS1141" s="111"/>
      <c r="BT1141" s="36"/>
      <c r="BU1141" s="112"/>
    </row>
    <row r="1142" s="1" customFormat="1" customHeight="1" spans="1:73">
      <c r="A1142" s="15" t="s">
        <v>1752</v>
      </c>
      <c r="B1142" s="52" t="s">
        <v>1751</v>
      </c>
      <c r="C1142" s="16">
        <v>2455</v>
      </c>
      <c r="D1142" s="29"/>
      <c r="E1142" s="30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29"/>
      <c r="AB1142" s="29"/>
      <c r="AC1142" s="29"/>
      <c r="AD1142" s="29"/>
      <c r="AE1142" s="29"/>
      <c r="AF1142" s="29"/>
      <c r="AG1142" s="30"/>
      <c r="AH1142" s="29"/>
      <c r="AI1142" s="29"/>
      <c r="AJ1142" s="29"/>
      <c r="AK1142" s="30"/>
      <c r="AL1142" s="29"/>
      <c r="AM1142" s="29"/>
      <c r="AN1142" s="29"/>
      <c r="AO1142" s="29"/>
      <c r="AP1142" s="29"/>
      <c r="AQ1142" s="29"/>
      <c r="AR1142" s="29"/>
      <c r="AS1142" s="29"/>
      <c r="AT1142" s="29"/>
      <c r="AU1142" s="29"/>
      <c r="AV1142" s="29"/>
      <c r="AW1142" s="29"/>
      <c r="AX1142" s="29"/>
      <c r="AY1142" s="29"/>
      <c r="AZ1142" s="29"/>
      <c r="BA1142" s="29"/>
      <c r="BB1142" s="29"/>
      <c r="BC1142" s="29"/>
      <c r="BD1142" s="29"/>
      <c r="BE1142" s="29"/>
      <c r="BF1142" s="29"/>
      <c r="BG1142" s="29"/>
      <c r="BH1142" s="29"/>
      <c r="BI1142" s="29"/>
      <c r="BJ1142" s="29"/>
      <c r="BK1142" s="29"/>
      <c r="BL1142" s="29"/>
      <c r="BM1142" s="29"/>
      <c r="BN1142" s="20">
        <f t="shared" si="146"/>
        <v>0</v>
      </c>
      <c r="BO1142" s="20">
        <f t="shared" si="147"/>
        <v>0</v>
      </c>
      <c r="BP1142" s="20">
        <f t="shared" si="148"/>
        <v>2455</v>
      </c>
      <c r="BQ1142" s="51"/>
      <c r="BR1142" s="56"/>
      <c r="BS1142" s="111"/>
      <c r="BT1142" s="36"/>
      <c r="BU1142" s="112"/>
    </row>
    <row r="1143" s="1" customFormat="1" customHeight="1" spans="1:73">
      <c r="A1143" s="15" t="s">
        <v>1753</v>
      </c>
      <c r="B1143" s="52" t="s">
        <v>1751</v>
      </c>
      <c r="C1143" s="16">
        <v>1835</v>
      </c>
      <c r="D1143" s="29"/>
      <c r="E1143" s="30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29"/>
      <c r="AB1143" s="29"/>
      <c r="AC1143" s="29"/>
      <c r="AD1143" s="29"/>
      <c r="AE1143" s="29"/>
      <c r="AF1143" s="29"/>
      <c r="AG1143" s="30"/>
      <c r="AH1143" s="29"/>
      <c r="AI1143" s="29"/>
      <c r="AJ1143" s="29"/>
      <c r="AK1143" s="30"/>
      <c r="AL1143" s="29"/>
      <c r="AM1143" s="29"/>
      <c r="AN1143" s="29"/>
      <c r="AO1143" s="29"/>
      <c r="AP1143" s="29"/>
      <c r="AQ1143" s="29"/>
      <c r="AR1143" s="29"/>
      <c r="AS1143" s="29"/>
      <c r="AT1143" s="29"/>
      <c r="AU1143" s="29"/>
      <c r="AV1143" s="29"/>
      <c r="AW1143" s="29"/>
      <c r="AX1143" s="29"/>
      <c r="AY1143" s="29"/>
      <c r="AZ1143" s="29"/>
      <c r="BA1143" s="29"/>
      <c r="BB1143" s="29"/>
      <c r="BC1143" s="29"/>
      <c r="BD1143" s="29"/>
      <c r="BE1143" s="29"/>
      <c r="BF1143" s="29"/>
      <c r="BG1143" s="29"/>
      <c r="BH1143" s="29"/>
      <c r="BI1143" s="29"/>
      <c r="BJ1143" s="29"/>
      <c r="BK1143" s="29"/>
      <c r="BL1143" s="29"/>
      <c r="BM1143" s="29"/>
      <c r="BN1143" s="20">
        <f t="shared" si="146"/>
        <v>0</v>
      </c>
      <c r="BO1143" s="20">
        <f t="shared" si="147"/>
        <v>0</v>
      </c>
      <c r="BP1143" s="20">
        <f t="shared" si="148"/>
        <v>1835</v>
      </c>
      <c r="BQ1143" s="51"/>
      <c r="BR1143" s="56"/>
      <c r="BS1143" s="111"/>
      <c r="BT1143" s="36"/>
      <c r="BU1143" s="112"/>
    </row>
    <row r="1144" s="1" customFormat="1" customHeight="1" spans="1:73">
      <c r="A1144" s="15" t="s">
        <v>1754</v>
      </c>
      <c r="B1144" s="52" t="s">
        <v>1751</v>
      </c>
      <c r="C1144" s="16">
        <v>6328</v>
      </c>
      <c r="D1144" s="29"/>
      <c r="E1144" s="30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29"/>
      <c r="AB1144" s="29"/>
      <c r="AC1144" s="29"/>
      <c r="AD1144" s="29"/>
      <c r="AE1144" s="29"/>
      <c r="AF1144" s="29"/>
      <c r="AG1144" s="30"/>
      <c r="AH1144" s="29"/>
      <c r="AI1144" s="29"/>
      <c r="AJ1144" s="29"/>
      <c r="AK1144" s="30"/>
      <c r="AL1144" s="29"/>
      <c r="AM1144" s="29"/>
      <c r="AN1144" s="29"/>
      <c r="AO1144" s="29"/>
      <c r="AP1144" s="29"/>
      <c r="AQ1144" s="29"/>
      <c r="AR1144" s="29"/>
      <c r="AS1144" s="29"/>
      <c r="AT1144" s="29"/>
      <c r="AU1144" s="29"/>
      <c r="AV1144" s="29"/>
      <c r="AW1144" s="29"/>
      <c r="AX1144" s="29"/>
      <c r="AY1144" s="29"/>
      <c r="AZ1144" s="29"/>
      <c r="BA1144" s="29"/>
      <c r="BB1144" s="29"/>
      <c r="BC1144" s="29"/>
      <c r="BD1144" s="31"/>
      <c r="BE1144" s="29"/>
      <c r="BF1144" s="29"/>
      <c r="BG1144" s="29"/>
      <c r="BH1144" s="29"/>
      <c r="BI1144" s="29"/>
      <c r="BJ1144" s="29"/>
      <c r="BK1144" s="29"/>
      <c r="BL1144" s="29"/>
      <c r="BM1144" s="29"/>
      <c r="BN1144" s="20">
        <f t="shared" si="146"/>
        <v>0</v>
      </c>
      <c r="BO1144" s="20">
        <f t="shared" si="147"/>
        <v>0</v>
      </c>
      <c r="BP1144" s="20">
        <f t="shared" si="148"/>
        <v>6328</v>
      </c>
      <c r="BQ1144" s="51"/>
      <c r="BR1144" s="56"/>
      <c r="BS1144" s="111"/>
      <c r="BT1144" s="36"/>
      <c r="BU1144" s="112"/>
    </row>
    <row r="1145" s="1" customFormat="1" customHeight="1" spans="1:73">
      <c r="A1145" s="15" t="s">
        <v>1755</v>
      </c>
      <c r="B1145" s="52" t="s">
        <v>1751</v>
      </c>
      <c r="C1145" s="16">
        <v>6670</v>
      </c>
      <c r="D1145" s="29"/>
      <c r="E1145" s="30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29"/>
      <c r="AB1145" s="29"/>
      <c r="AC1145" s="29"/>
      <c r="AD1145" s="29"/>
      <c r="AE1145" s="29"/>
      <c r="AF1145" s="29"/>
      <c r="AG1145" s="30"/>
      <c r="AH1145" s="29"/>
      <c r="AI1145" s="29"/>
      <c r="AJ1145" s="29"/>
      <c r="AK1145" s="30"/>
      <c r="AL1145" s="29"/>
      <c r="AM1145" s="29"/>
      <c r="AN1145" s="29"/>
      <c r="AO1145" s="29"/>
      <c r="AP1145" s="29"/>
      <c r="AQ1145" s="29"/>
      <c r="AR1145" s="29"/>
      <c r="AS1145" s="29"/>
      <c r="AT1145" s="29"/>
      <c r="AU1145" s="29"/>
      <c r="AV1145" s="29"/>
      <c r="AW1145" s="29"/>
      <c r="AX1145" s="29"/>
      <c r="AY1145" s="29"/>
      <c r="AZ1145" s="29"/>
      <c r="BA1145" s="29"/>
      <c r="BB1145" s="29"/>
      <c r="BC1145" s="29"/>
      <c r="BD1145" s="29"/>
      <c r="BE1145" s="29"/>
      <c r="BF1145" s="29"/>
      <c r="BG1145" s="29"/>
      <c r="BH1145" s="29"/>
      <c r="BI1145" s="29"/>
      <c r="BJ1145" s="29"/>
      <c r="BK1145" s="29"/>
      <c r="BL1145" s="29"/>
      <c r="BM1145" s="29"/>
      <c r="BN1145" s="20">
        <f t="shared" si="146"/>
        <v>0</v>
      </c>
      <c r="BO1145" s="20">
        <f t="shared" si="147"/>
        <v>0</v>
      </c>
      <c r="BP1145" s="20">
        <f t="shared" si="148"/>
        <v>6670</v>
      </c>
      <c r="BQ1145" s="51"/>
      <c r="BR1145" s="56"/>
      <c r="BS1145" s="111"/>
      <c r="BT1145" s="36"/>
      <c r="BU1145" s="112"/>
    </row>
    <row r="1146" s="1" customFormat="1" customHeight="1" spans="1:73">
      <c r="A1146" s="15" t="s">
        <v>1756</v>
      </c>
      <c r="B1146" s="52" t="s">
        <v>1751</v>
      </c>
      <c r="C1146" s="16">
        <v>3051</v>
      </c>
      <c r="D1146" s="29"/>
      <c r="E1146" s="30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29"/>
      <c r="AB1146" s="29"/>
      <c r="AC1146" s="29"/>
      <c r="AD1146" s="29"/>
      <c r="AE1146" s="29"/>
      <c r="AF1146" s="29"/>
      <c r="AG1146" s="30"/>
      <c r="AH1146" s="29"/>
      <c r="AI1146" s="29"/>
      <c r="AJ1146" s="29"/>
      <c r="AK1146" s="30"/>
      <c r="AL1146" s="29"/>
      <c r="AM1146" s="29"/>
      <c r="AN1146" s="29"/>
      <c r="AO1146" s="29"/>
      <c r="AP1146" s="29"/>
      <c r="AQ1146" s="29"/>
      <c r="AR1146" s="29"/>
      <c r="AS1146" s="29"/>
      <c r="AT1146" s="29"/>
      <c r="AU1146" s="29"/>
      <c r="AV1146" s="29"/>
      <c r="AW1146" s="29"/>
      <c r="AX1146" s="29"/>
      <c r="AY1146" s="29"/>
      <c r="AZ1146" s="29"/>
      <c r="BA1146" s="29"/>
      <c r="BB1146" s="29"/>
      <c r="BC1146" s="29"/>
      <c r="BD1146" s="29"/>
      <c r="BE1146" s="29"/>
      <c r="BF1146" s="29"/>
      <c r="BG1146" s="29"/>
      <c r="BH1146" s="29"/>
      <c r="BI1146" s="29"/>
      <c r="BJ1146" s="29"/>
      <c r="BK1146" s="29"/>
      <c r="BL1146" s="29"/>
      <c r="BM1146" s="29"/>
      <c r="BN1146" s="20">
        <f t="shared" si="146"/>
        <v>0</v>
      </c>
      <c r="BO1146" s="20">
        <f t="shared" si="147"/>
        <v>0</v>
      </c>
      <c r="BP1146" s="20">
        <f t="shared" si="148"/>
        <v>3051</v>
      </c>
      <c r="BQ1146" s="51"/>
      <c r="BR1146" s="56"/>
      <c r="BS1146" s="111"/>
      <c r="BT1146" s="36"/>
      <c r="BU1146" s="112"/>
    </row>
    <row r="1147" s="1" customFormat="1" customHeight="1" spans="1:73">
      <c r="A1147" s="15" t="s">
        <v>1757</v>
      </c>
      <c r="B1147" s="52" t="s">
        <v>1751</v>
      </c>
      <c r="C1147" s="16">
        <v>100</v>
      </c>
      <c r="D1147" s="29"/>
      <c r="E1147" s="30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29"/>
      <c r="AB1147" s="29"/>
      <c r="AC1147" s="29"/>
      <c r="AD1147" s="29"/>
      <c r="AE1147" s="29"/>
      <c r="AF1147" s="29"/>
      <c r="AG1147" s="30"/>
      <c r="AH1147" s="29"/>
      <c r="AI1147" s="29"/>
      <c r="AJ1147" s="29"/>
      <c r="AK1147" s="30"/>
      <c r="AL1147" s="29"/>
      <c r="AM1147" s="29"/>
      <c r="AN1147" s="29"/>
      <c r="AO1147" s="29"/>
      <c r="AP1147" s="29"/>
      <c r="AQ1147" s="29"/>
      <c r="AR1147" s="29"/>
      <c r="AS1147" s="29"/>
      <c r="AT1147" s="29"/>
      <c r="AU1147" s="29"/>
      <c r="AV1147" s="29"/>
      <c r="AW1147" s="29"/>
      <c r="AX1147" s="29"/>
      <c r="AY1147" s="29"/>
      <c r="AZ1147" s="29"/>
      <c r="BA1147" s="29"/>
      <c r="BB1147" s="29"/>
      <c r="BC1147" s="29"/>
      <c r="BD1147" s="18"/>
      <c r="BE1147" s="29"/>
      <c r="BF1147" s="29"/>
      <c r="BG1147" s="29"/>
      <c r="BH1147" s="29"/>
      <c r="BI1147" s="29"/>
      <c r="BJ1147" s="29"/>
      <c r="BK1147" s="29"/>
      <c r="BL1147" s="29"/>
      <c r="BM1147" s="29"/>
      <c r="BN1147" s="20">
        <f t="shared" si="146"/>
        <v>0</v>
      </c>
      <c r="BO1147" s="20">
        <f t="shared" si="147"/>
        <v>0</v>
      </c>
      <c r="BP1147" s="20">
        <f t="shared" si="148"/>
        <v>100</v>
      </c>
      <c r="BQ1147" s="51"/>
      <c r="BR1147" s="56"/>
      <c r="BS1147" s="111"/>
      <c r="BT1147" s="36"/>
      <c r="BU1147" s="112"/>
    </row>
    <row r="1148" s="1" customFormat="1" customHeight="1" spans="1:73">
      <c r="A1148" s="15" t="s">
        <v>1758</v>
      </c>
      <c r="B1148" s="52" t="s">
        <v>1751</v>
      </c>
      <c r="C1148" s="16">
        <v>3500</v>
      </c>
      <c r="D1148" s="29"/>
      <c r="E1148" s="30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29"/>
      <c r="AB1148" s="29"/>
      <c r="AC1148" s="29"/>
      <c r="AD1148" s="29"/>
      <c r="AE1148" s="29"/>
      <c r="AF1148" s="29"/>
      <c r="AG1148" s="30"/>
      <c r="AH1148" s="29"/>
      <c r="AI1148" s="29"/>
      <c r="AJ1148" s="29"/>
      <c r="AK1148" s="30"/>
      <c r="AL1148" s="29"/>
      <c r="AM1148" s="29"/>
      <c r="AN1148" s="29"/>
      <c r="AO1148" s="29"/>
      <c r="AP1148" s="29"/>
      <c r="AQ1148" s="29"/>
      <c r="AR1148" s="29"/>
      <c r="AS1148" s="29"/>
      <c r="AT1148" s="29"/>
      <c r="AU1148" s="29"/>
      <c r="AV1148" s="29"/>
      <c r="AW1148" s="29"/>
      <c r="AX1148" s="29"/>
      <c r="AY1148" s="29"/>
      <c r="AZ1148" s="29"/>
      <c r="BA1148" s="29"/>
      <c r="BB1148" s="29"/>
      <c r="BC1148" s="29"/>
      <c r="BD1148" s="29"/>
      <c r="BE1148" s="29"/>
      <c r="BF1148" s="29"/>
      <c r="BG1148" s="29"/>
      <c r="BH1148" s="29"/>
      <c r="BI1148" s="29"/>
      <c r="BJ1148" s="29"/>
      <c r="BK1148" s="29"/>
      <c r="BL1148" s="29"/>
      <c r="BM1148" s="29"/>
      <c r="BN1148" s="20">
        <f t="shared" si="146"/>
        <v>0</v>
      </c>
      <c r="BO1148" s="20">
        <f t="shared" si="147"/>
        <v>0</v>
      </c>
      <c r="BP1148" s="20">
        <f t="shared" si="148"/>
        <v>3500</v>
      </c>
      <c r="BQ1148" s="51"/>
      <c r="BR1148" s="56"/>
      <c r="BS1148" s="111"/>
      <c r="BT1148" s="36"/>
      <c r="BU1148" s="112"/>
    </row>
    <row r="1149" s="1" customFormat="1" customHeight="1" spans="1:73">
      <c r="A1149" s="15" t="s">
        <v>1759</v>
      </c>
      <c r="B1149" s="52" t="s">
        <v>1751</v>
      </c>
      <c r="C1149" s="16">
        <v>500</v>
      </c>
      <c r="D1149" s="29"/>
      <c r="E1149" s="30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29"/>
      <c r="X1149" s="29"/>
      <c r="Y1149" s="29"/>
      <c r="Z1149" s="29"/>
      <c r="AA1149" s="29"/>
      <c r="AB1149" s="29"/>
      <c r="AC1149" s="29"/>
      <c r="AD1149" s="29"/>
      <c r="AE1149" s="165"/>
      <c r="AF1149" s="29"/>
      <c r="AG1149" s="30"/>
      <c r="AH1149" s="29"/>
      <c r="AI1149" s="29"/>
      <c r="AJ1149" s="29"/>
      <c r="AK1149" s="30"/>
      <c r="AL1149" s="29"/>
      <c r="AM1149" s="29"/>
      <c r="AN1149" s="29"/>
      <c r="AO1149" s="29"/>
      <c r="AP1149" s="29"/>
      <c r="AQ1149" s="29"/>
      <c r="AR1149" s="29"/>
      <c r="AS1149" s="29"/>
      <c r="AT1149" s="29"/>
      <c r="AU1149" s="29"/>
      <c r="AV1149" s="29"/>
      <c r="AW1149" s="29"/>
      <c r="AX1149" s="29"/>
      <c r="AY1149" s="29"/>
      <c r="AZ1149" s="29"/>
      <c r="BA1149" s="29"/>
      <c r="BB1149" s="29"/>
      <c r="BC1149" s="29"/>
      <c r="BD1149" s="29"/>
      <c r="BE1149" s="29"/>
      <c r="BF1149" s="29"/>
      <c r="BG1149" s="29"/>
      <c r="BH1149" s="29"/>
      <c r="BI1149" s="29"/>
      <c r="BJ1149" s="29"/>
      <c r="BK1149" s="29"/>
      <c r="BL1149" s="29"/>
      <c r="BM1149" s="29"/>
      <c r="BN1149" s="20">
        <f t="shared" si="146"/>
        <v>0</v>
      </c>
      <c r="BO1149" s="20">
        <f t="shared" si="147"/>
        <v>0</v>
      </c>
      <c r="BP1149" s="20">
        <f t="shared" si="148"/>
        <v>500</v>
      </c>
      <c r="BQ1149" s="51"/>
      <c r="BR1149" s="56"/>
      <c r="BS1149" s="111"/>
      <c r="BT1149" s="36"/>
      <c r="BU1149" s="112"/>
    </row>
    <row r="1150" s="1" customFormat="1" customHeight="1" spans="1:73">
      <c r="A1150" s="15" t="s">
        <v>1760</v>
      </c>
      <c r="B1150" s="52" t="s">
        <v>1751</v>
      </c>
      <c r="C1150" s="16">
        <v>3067</v>
      </c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0"/>
      <c r="T1150" s="30"/>
      <c r="U1150" s="30"/>
      <c r="V1150" s="29"/>
      <c r="W1150" s="29"/>
      <c r="X1150" s="29"/>
      <c r="Y1150" s="29"/>
      <c r="Z1150" s="29"/>
      <c r="AA1150" s="29"/>
      <c r="AB1150" s="29"/>
      <c r="AC1150" s="29"/>
      <c r="AD1150" s="29"/>
      <c r="AE1150" s="29"/>
      <c r="AF1150" s="29"/>
      <c r="AG1150" s="30"/>
      <c r="AH1150" s="29"/>
      <c r="AI1150" s="29"/>
      <c r="AJ1150" s="29"/>
      <c r="AK1150" s="30"/>
      <c r="AL1150" s="29"/>
      <c r="AM1150" s="29"/>
      <c r="AN1150" s="29"/>
      <c r="AO1150" s="29"/>
      <c r="AP1150" s="29"/>
      <c r="AQ1150" s="29"/>
      <c r="AR1150" s="29"/>
      <c r="AS1150" s="29"/>
      <c r="AT1150" s="29"/>
      <c r="AU1150" s="29"/>
      <c r="AV1150" s="29"/>
      <c r="AW1150" s="29"/>
      <c r="AX1150" s="29"/>
      <c r="AY1150" s="29"/>
      <c r="AZ1150" s="29"/>
      <c r="BA1150" s="29"/>
      <c r="BB1150" s="29"/>
      <c r="BC1150" s="29"/>
      <c r="BD1150" s="29"/>
      <c r="BE1150" s="29"/>
      <c r="BF1150" s="29"/>
      <c r="BG1150" s="29"/>
      <c r="BH1150" s="29"/>
      <c r="BI1150" s="29"/>
      <c r="BJ1150" s="29"/>
      <c r="BK1150" s="29"/>
      <c r="BL1150" s="29"/>
      <c r="BM1150" s="29"/>
      <c r="BN1150" s="20">
        <f t="shared" si="146"/>
        <v>0</v>
      </c>
      <c r="BO1150" s="20">
        <f t="shared" si="147"/>
        <v>0</v>
      </c>
      <c r="BP1150" s="20">
        <f t="shared" si="148"/>
        <v>3067</v>
      </c>
      <c r="BQ1150" s="51"/>
      <c r="BR1150" s="56"/>
      <c r="BS1150" s="111" t="s">
        <v>1656</v>
      </c>
      <c r="BT1150" s="36"/>
      <c r="BU1150" s="112"/>
    </row>
    <row r="1151" s="1" customFormat="1" customHeight="1" spans="1:73">
      <c r="A1151" s="15" t="s">
        <v>1761</v>
      </c>
      <c r="B1151" s="15" t="s">
        <v>1762</v>
      </c>
      <c r="C1151" s="16">
        <v>0</v>
      </c>
      <c r="D1151" s="29"/>
      <c r="E1151" s="30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29"/>
      <c r="AB1151" s="29"/>
      <c r="AC1151" s="29"/>
      <c r="AD1151" s="29"/>
      <c r="AE1151" s="29"/>
      <c r="AF1151" s="29"/>
      <c r="AG1151" s="30"/>
      <c r="AH1151" s="29"/>
      <c r="AI1151" s="29"/>
      <c r="AJ1151" s="29"/>
      <c r="AK1151" s="30"/>
      <c r="AL1151" s="29"/>
      <c r="AM1151" s="29"/>
      <c r="AN1151" s="29"/>
      <c r="AO1151" s="29"/>
      <c r="AP1151" s="29"/>
      <c r="AQ1151" s="29"/>
      <c r="AR1151" s="29"/>
      <c r="AS1151" s="29"/>
      <c r="AT1151" s="29"/>
      <c r="AU1151" s="29"/>
      <c r="AV1151" s="29"/>
      <c r="AW1151" s="29"/>
      <c r="AX1151" s="29"/>
      <c r="AY1151" s="29"/>
      <c r="AZ1151" s="29"/>
      <c r="BA1151" s="29"/>
      <c r="BB1151" s="29"/>
      <c r="BC1151" s="29"/>
      <c r="BD1151" s="29"/>
      <c r="BE1151" s="29"/>
      <c r="BF1151" s="29"/>
      <c r="BG1151" s="29"/>
      <c r="BH1151" s="29"/>
      <c r="BI1151" s="29"/>
      <c r="BJ1151" s="29"/>
      <c r="BK1151" s="29"/>
      <c r="BL1151" s="29"/>
      <c r="BM1151" s="29"/>
      <c r="BN1151" s="20">
        <f t="shared" si="146"/>
        <v>0</v>
      </c>
      <c r="BO1151" s="20">
        <f t="shared" si="147"/>
        <v>0</v>
      </c>
      <c r="BP1151" s="20">
        <f t="shared" si="148"/>
        <v>0</v>
      </c>
      <c r="BQ1151" s="51"/>
      <c r="BR1151" s="56"/>
      <c r="BS1151" s="169" t="s">
        <v>1763</v>
      </c>
      <c r="BT1151" s="36"/>
      <c r="BU1151" s="112"/>
    </row>
    <row r="1152" s="1" customFormat="1" customHeight="1" spans="1:73">
      <c r="A1152" s="15" t="s">
        <v>1764</v>
      </c>
      <c r="B1152" s="15" t="s">
        <v>1762</v>
      </c>
      <c r="C1152" s="16">
        <v>220</v>
      </c>
      <c r="D1152" s="29"/>
      <c r="E1152" s="30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29"/>
      <c r="AB1152" s="29"/>
      <c r="AC1152" s="29"/>
      <c r="AD1152" s="29"/>
      <c r="AE1152" s="29"/>
      <c r="AF1152" s="29"/>
      <c r="AG1152" s="30"/>
      <c r="AH1152" s="29"/>
      <c r="AI1152" s="29"/>
      <c r="AJ1152" s="29"/>
      <c r="AK1152" s="30"/>
      <c r="AL1152" s="29"/>
      <c r="AM1152" s="29"/>
      <c r="AN1152" s="29"/>
      <c r="AO1152" s="29"/>
      <c r="AP1152" s="29"/>
      <c r="AQ1152" s="29"/>
      <c r="AR1152" s="29"/>
      <c r="AS1152" s="29"/>
      <c r="AT1152" s="29"/>
      <c r="AU1152" s="29"/>
      <c r="AV1152" s="29"/>
      <c r="AW1152" s="29"/>
      <c r="AX1152" s="29"/>
      <c r="AY1152" s="29"/>
      <c r="AZ1152" s="29"/>
      <c r="BA1152" s="29"/>
      <c r="BB1152" s="29"/>
      <c r="BC1152" s="29"/>
      <c r="BD1152" s="29"/>
      <c r="BE1152" s="29"/>
      <c r="BF1152" s="29"/>
      <c r="BG1152" s="29"/>
      <c r="BH1152" s="29"/>
      <c r="BI1152" s="29"/>
      <c r="BJ1152" s="29"/>
      <c r="BK1152" s="29"/>
      <c r="BL1152" s="29"/>
      <c r="BM1152" s="29"/>
      <c r="BN1152" s="20">
        <f t="shared" si="146"/>
        <v>0</v>
      </c>
      <c r="BO1152" s="20">
        <f t="shared" si="147"/>
        <v>0</v>
      </c>
      <c r="BP1152" s="20">
        <f t="shared" si="148"/>
        <v>220</v>
      </c>
      <c r="BQ1152" s="51"/>
      <c r="BR1152" s="56"/>
      <c r="BS1152" s="169" t="s">
        <v>1763</v>
      </c>
      <c r="BT1152" s="36"/>
      <c r="BU1152" s="112"/>
    </row>
    <row r="1153" s="1" customFormat="1" customHeight="1" spans="1:74">
      <c r="A1153" s="15" t="s">
        <v>1765</v>
      </c>
      <c r="B1153" s="15" t="s">
        <v>1762</v>
      </c>
      <c r="C1153" s="16">
        <v>2746</v>
      </c>
      <c r="D1153" s="29"/>
      <c r="E1153" s="30"/>
      <c r="F1153" s="29"/>
      <c r="G1153" s="29"/>
      <c r="H1153" s="29"/>
      <c r="I1153" s="29"/>
      <c r="J1153" s="29"/>
      <c r="K1153" s="29"/>
      <c r="L1153" s="29"/>
      <c r="M1153" s="29"/>
      <c r="N1153" s="29"/>
      <c r="O1153" s="30"/>
      <c r="P1153" s="29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29"/>
      <c r="AB1153" s="29"/>
      <c r="AC1153" s="29"/>
      <c r="AD1153" s="29"/>
      <c r="AE1153" s="29"/>
      <c r="AF1153" s="29"/>
      <c r="AG1153" s="30"/>
      <c r="AH1153" s="29"/>
      <c r="AI1153" s="29"/>
      <c r="AJ1153" s="29"/>
      <c r="AK1153" s="30"/>
      <c r="AL1153" s="29"/>
      <c r="AM1153" s="29"/>
      <c r="AN1153" s="29"/>
      <c r="AO1153" s="29"/>
      <c r="AP1153" s="29"/>
      <c r="AQ1153" s="29"/>
      <c r="AR1153" s="29"/>
      <c r="AS1153" s="29"/>
      <c r="AT1153" s="29"/>
      <c r="AU1153" s="29"/>
      <c r="AV1153" s="29"/>
      <c r="AW1153" s="29"/>
      <c r="AX1153" s="29"/>
      <c r="AY1153" s="29"/>
      <c r="AZ1153" s="29"/>
      <c r="BA1153" s="29"/>
      <c r="BB1153" s="29"/>
      <c r="BC1153" s="29"/>
      <c r="BD1153" s="29"/>
      <c r="BE1153" s="29"/>
      <c r="BF1153" s="29"/>
      <c r="BG1153" s="29"/>
      <c r="BH1153" s="29"/>
      <c r="BI1153" s="29"/>
      <c r="BJ1153" s="29"/>
      <c r="BK1153" s="29"/>
      <c r="BL1153" s="29"/>
      <c r="BM1153" s="29"/>
      <c r="BN1153" s="20">
        <f t="shared" si="146"/>
        <v>0</v>
      </c>
      <c r="BO1153" s="20">
        <f t="shared" si="147"/>
        <v>0</v>
      </c>
      <c r="BP1153" s="20">
        <f t="shared" si="148"/>
        <v>2746</v>
      </c>
      <c r="BQ1153" s="51"/>
      <c r="BR1153" s="56"/>
      <c r="BS1153" s="169" t="s">
        <v>1763</v>
      </c>
      <c r="BT1153" s="36"/>
      <c r="BU1153" s="112"/>
    </row>
    <row r="1154" s="1" customFormat="1" customHeight="1" spans="1:74">
      <c r="A1154" s="15" t="s">
        <v>1766</v>
      </c>
      <c r="B1154" s="15" t="s">
        <v>1762</v>
      </c>
      <c r="C1154" s="16">
        <v>0</v>
      </c>
      <c r="D1154" s="29"/>
      <c r="E1154" s="30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29"/>
      <c r="AB1154" s="29"/>
      <c r="AC1154" s="29"/>
      <c r="AD1154" s="29"/>
      <c r="AE1154" s="29"/>
      <c r="AF1154" s="29"/>
      <c r="AG1154" s="30"/>
      <c r="AH1154" s="29"/>
      <c r="AI1154" s="29"/>
      <c r="AJ1154" s="29"/>
      <c r="AK1154" s="30"/>
      <c r="AL1154" s="29"/>
      <c r="AM1154" s="29"/>
      <c r="AN1154" s="29"/>
      <c r="AO1154" s="29"/>
      <c r="AP1154" s="29"/>
      <c r="AQ1154" s="29"/>
      <c r="AR1154" s="29"/>
      <c r="AS1154" s="29"/>
      <c r="AT1154" s="29"/>
      <c r="AU1154" s="29"/>
      <c r="AV1154" s="29"/>
      <c r="AW1154" s="29"/>
      <c r="AX1154" s="29"/>
      <c r="AY1154" s="29"/>
      <c r="AZ1154" s="29"/>
      <c r="BA1154" s="29"/>
      <c r="BB1154" s="29"/>
      <c r="BC1154" s="29"/>
      <c r="BD1154" s="29"/>
      <c r="BE1154" s="29"/>
      <c r="BF1154" s="29"/>
      <c r="BG1154" s="29"/>
      <c r="BH1154" s="29"/>
      <c r="BI1154" s="29"/>
      <c r="BJ1154" s="29"/>
      <c r="BK1154" s="29"/>
      <c r="BL1154" s="29"/>
      <c r="BM1154" s="29"/>
      <c r="BN1154" s="20">
        <f t="shared" si="146"/>
        <v>0</v>
      </c>
      <c r="BO1154" s="20">
        <f t="shared" si="147"/>
        <v>0</v>
      </c>
      <c r="BP1154" s="20">
        <f t="shared" si="148"/>
        <v>0</v>
      </c>
      <c r="BQ1154" s="51"/>
      <c r="BR1154" s="56"/>
      <c r="BS1154" s="169" t="s">
        <v>1767</v>
      </c>
      <c r="BT1154" s="36"/>
      <c r="BU1154" s="112" t="s">
        <v>1768</v>
      </c>
    </row>
    <row r="1155" s="1" customFormat="1" customHeight="1" spans="1:74">
      <c r="A1155" s="15" t="s">
        <v>1769</v>
      </c>
      <c r="B1155" s="15" t="s">
        <v>1762</v>
      </c>
      <c r="C1155" s="16">
        <v>6785</v>
      </c>
      <c r="D1155" s="29"/>
      <c r="E1155" s="30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29"/>
      <c r="AB1155" s="29"/>
      <c r="AC1155" s="29"/>
      <c r="AD1155" s="29"/>
      <c r="AE1155" s="29"/>
      <c r="AF1155" s="29"/>
      <c r="AG1155" s="30"/>
      <c r="AH1155" s="29"/>
      <c r="AI1155" s="29"/>
      <c r="AJ1155" s="29"/>
      <c r="AK1155" s="30"/>
      <c r="AL1155" s="29"/>
      <c r="AM1155" s="29"/>
      <c r="AN1155" s="29"/>
      <c r="AO1155" s="29"/>
      <c r="AP1155" s="29"/>
      <c r="AQ1155" s="29"/>
      <c r="AR1155" s="29"/>
      <c r="AS1155" s="29"/>
      <c r="AT1155" s="29"/>
      <c r="AU1155" s="29"/>
      <c r="AV1155" s="29"/>
      <c r="AW1155" s="29"/>
      <c r="AX1155" s="29"/>
      <c r="AY1155" s="29"/>
      <c r="AZ1155" s="29"/>
      <c r="BA1155" s="29"/>
      <c r="BB1155" s="29"/>
      <c r="BC1155" s="29"/>
      <c r="BD1155" s="29"/>
      <c r="BE1155" s="29"/>
      <c r="BF1155" s="29"/>
      <c r="BG1155" s="29"/>
      <c r="BH1155" s="29"/>
      <c r="BI1155" s="29"/>
      <c r="BJ1155" s="29"/>
      <c r="BK1155" s="29"/>
      <c r="BL1155" s="29"/>
      <c r="BM1155" s="29"/>
      <c r="BN1155" s="20">
        <f t="shared" si="146"/>
        <v>0</v>
      </c>
      <c r="BO1155" s="20">
        <f t="shared" si="147"/>
        <v>0</v>
      </c>
      <c r="BP1155" s="20">
        <f t="shared" si="148"/>
        <v>6785</v>
      </c>
      <c r="BQ1155" s="51"/>
      <c r="BR1155" s="56"/>
      <c r="BS1155" s="169" t="s">
        <v>1770</v>
      </c>
      <c r="BT1155" s="36"/>
      <c r="BU1155" s="112"/>
    </row>
    <row r="1156" s="1" customFormat="1" customHeight="1" spans="1:74">
      <c r="A1156" s="15" t="s">
        <v>1771</v>
      </c>
      <c r="B1156" s="15" t="s">
        <v>1762</v>
      </c>
      <c r="C1156" s="16">
        <v>8565</v>
      </c>
      <c r="D1156" s="29"/>
      <c r="E1156" s="30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30"/>
      <c r="AH1156" s="29"/>
      <c r="AI1156" s="29"/>
      <c r="AJ1156" s="29"/>
      <c r="AK1156" s="30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  <c r="AZ1156" s="29"/>
      <c r="BA1156" s="29"/>
      <c r="BB1156" s="29"/>
      <c r="BC1156" s="29"/>
      <c r="BD1156" s="29"/>
      <c r="BE1156" s="29"/>
      <c r="BF1156" s="29"/>
      <c r="BG1156" s="29"/>
      <c r="BH1156" s="29"/>
      <c r="BI1156" s="29"/>
      <c r="BJ1156" s="29"/>
      <c r="BK1156" s="29"/>
      <c r="BL1156" s="29"/>
      <c r="BM1156" s="29"/>
      <c r="BN1156" s="20">
        <f t="shared" si="146"/>
        <v>0</v>
      </c>
      <c r="BO1156" s="20">
        <f t="shared" si="147"/>
        <v>0</v>
      </c>
      <c r="BP1156" s="20">
        <f t="shared" si="148"/>
        <v>8565</v>
      </c>
      <c r="BQ1156" s="51"/>
      <c r="BR1156" s="56"/>
      <c r="BS1156" s="169" t="s">
        <v>1772</v>
      </c>
      <c r="BT1156" s="36"/>
      <c r="BU1156" s="112"/>
    </row>
    <row r="1157" s="1" customFormat="1" customHeight="1" spans="1:74">
      <c r="A1157" s="15" t="s">
        <v>1773</v>
      </c>
      <c r="B1157" s="15" t="s">
        <v>1762</v>
      </c>
      <c r="C1157" s="16">
        <v>813</v>
      </c>
      <c r="D1157" s="29"/>
      <c r="E1157" s="29"/>
      <c r="F1157" s="29"/>
      <c r="G1157" s="29"/>
      <c r="H1157" s="29"/>
      <c r="I1157" s="29">
        <v>14674</v>
      </c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29"/>
      <c r="AB1157" s="29"/>
      <c r="AC1157" s="29"/>
      <c r="AD1157" s="29"/>
      <c r="AE1157" s="29"/>
      <c r="AF1157" s="29"/>
      <c r="AG1157" s="30"/>
      <c r="AH1157" s="29"/>
      <c r="AI1157" s="29"/>
      <c r="AJ1157" s="29"/>
      <c r="AK1157" s="30"/>
      <c r="AL1157" s="29"/>
      <c r="AM1157" s="29"/>
      <c r="AN1157" s="29"/>
      <c r="AO1157" s="29"/>
      <c r="AP1157" s="29"/>
      <c r="AQ1157" s="29"/>
      <c r="AR1157" s="29"/>
      <c r="AS1157" s="29"/>
      <c r="AT1157" s="29"/>
      <c r="AU1157" s="29"/>
      <c r="AV1157" s="29"/>
      <c r="AW1157" s="29"/>
      <c r="AX1157" s="29"/>
      <c r="AY1157" s="29"/>
      <c r="AZ1157" s="29"/>
      <c r="BA1157" s="29"/>
      <c r="BB1157" s="29"/>
      <c r="BC1157" s="29"/>
      <c r="BD1157" s="29"/>
      <c r="BE1157" s="29"/>
      <c r="BF1157" s="29"/>
      <c r="BG1157" s="29"/>
      <c r="BH1157" s="29"/>
      <c r="BI1157" s="29"/>
      <c r="BJ1157" s="29"/>
      <c r="BK1157" s="29"/>
      <c r="BL1157" s="29"/>
      <c r="BM1157" s="29"/>
      <c r="BN1157" s="20">
        <f t="shared" si="146"/>
        <v>0</v>
      </c>
      <c r="BO1157" s="20">
        <f t="shared" si="147"/>
        <v>14674</v>
      </c>
      <c r="BP1157" s="20">
        <f t="shared" si="148"/>
        <v>-13861</v>
      </c>
      <c r="BQ1157" s="51"/>
      <c r="BR1157" s="56"/>
      <c r="BS1157" s="169" t="s">
        <v>1774</v>
      </c>
      <c r="BT1157" s="36"/>
      <c r="BU1157" s="112" t="s">
        <v>1768</v>
      </c>
    </row>
    <row r="1158" s="1" customFormat="1" customHeight="1" spans="1:74">
      <c r="A1158" s="15" t="s">
        <v>1775</v>
      </c>
      <c r="B1158" s="15" t="s">
        <v>1776</v>
      </c>
      <c r="C1158" s="16">
        <v>1395</v>
      </c>
      <c r="D1158" s="29"/>
      <c r="E1158" s="30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29"/>
      <c r="AB1158" s="29"/>
      <c r="AC1158" s="29"/>
      <c r="AD1158" s="29"/>
      <c r="AE1158" s="29"/>
      <c r="AF1158" s="29"/>
      <c r="AG1158" s="30"/>
      <c r="AH1158" s="29"/>
      <c r="AI1158" s="29"/>
      <c r="AJ1158" s="29"/>
      <c r="AK1158" s="30"/>
      <c r="AL1158" s="29"/>
      <c r="AM1158" s="29"/>
      <c r="AN1158" s="29"/>
      <c r="AO1158" s="29"/>
      <c r="AP1158" s="29"/>
      <c r="AQ1158" s="29"/>
      <c r="AR1158" s="29"/>
      <c r="AS1158" s="29"/>
      <c r="AT1158" s="29"/>
      <c r="AU1158" s="29"/>
      <c r="AV1158" s="29"/>
      <c r="AW1158" s="29"/>
      <c r="AX1158" s="29"/>
      <c r="AY1158" s="29"/>
      <c r="AZ1158" s="29"/>
      <c r="BA1158" s="29"/>
      <c r="BB1158" s="29"/>
      <c r="BC1158" s="29"/>
      <c r="BD1158" s="29"/>
      <c r="BE1158" s="29"/>
      <c r="BF1158" s="29"/>
      <c r="BG1158" s="29"/>
      <c r="BH1158" s="29"/>
      <c r="BI1158" s="29"/>
      <c r="BJ1158" s="29"/>
      <c r="BK1158" s="29"/>
      <c r="BL1158" s="29"/>
      <c r="BM1158" s="29"/>
      <c r="BN1158" s="20">
        <f t="shared" si="146"/>
        <v>0</v>
      </c>
      <c r="BO1158" s="20">
        <f t="shared" si="147"/>
        <v>0</v>
      </c>
      <c r="BP1158" s="20">
        <f t="shared" si="148"/>
        <v>1395</v>
      </c>
      <c r="BQ1158" s="51"/>
      <c r="BR1158" s="56"/>
      <c r="BS1158" s="169" t="s">
        <v>1763</v>
      </c>
      <c r="BT1158" s="36"/>
      <c r="BU1158" s="112"/>
    </row>
    <row r="1159" s="1" customFormat="1" customHeight="1" spans="1:74">
      <c r="A1159" s="15" t="s">
        <v>1777</v>
      </c>
      <c r="B1159" s="15" t="s">
        <v>1776</v>
      </c>
      <c r="C1159" s="16">
        <v>8154</v>
      </c>
      <c r="D1159" s="29"/>
      <c r="E1159" s="30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29"/>
      <c r="AB1159" s="29"/>
      <c r="AC1159" s="29"/>
      <c r="AD1159" s="29"/>
      <c r="AE1159" s="29"/>
      <c r="AF1159" s="29"/>
      <c r="AG1159" s="30"/>
      <c r="AH1159" s="29"/>
      <c r="AI1159" s="29"/>
      <c r="AJ1159" s="29"/>
      <c r="AK1159" s="30"/>
      <c r="AL1159" s="29"/>
      <c r="AM1159" s="29"/>
      <c r="AN1159" s="29"/>
      <c r="AO1159" s="29"/>
      <c r="AP1159" s="29"/>
      <c r="AQ1159" s="29"/>
      <c r="AR1159" s="29"/>
      <c r="AS1159" s="29"/>
      <c r="AT1159" s="29"/>
      <c r="AU1159" s="29"/>
      <c r="AV1159" s="29"/>
      <c r="AW1159" s="29"/>
      <c r="AX1159" s="29"/>
      <c r="AY1159" s="29"/>
      <c r="AZ1159" s="29"/>
      <c r="BA1159" s="29"/>
      <c r="BB1159" s="29"/>
      <c r="BC1159" s="29"/>
      <c r="BD1159" s="29"/>
      <c r="BE1159" s="29"/>
      <c r="BF1159" s="29"/>
      <c r="BG1159" s="29"/>
      <c r="BH1159" s="29"/>
      <c r="BI1159" s="29"/>
      <c r="BJ1159" s="29"/>
      <c r="BK1159" s="29"/>
      <c r="BL1159" s="29"/>
      <c r="BM1159" s="29"/>
      <c r="BN1159" s="20">
        <f t="shared" si="146"/>
        <v>0</v>
      </c>
      <c r="BO1159" s="20">
        <f t="shared" si="147"/>
        <v>0</v>
      </c>
      <c r="BP1159" s="20">
        <f t="shared" si="148"/>
        <v>8154</v>
      </c>
      <c r="BQ1159" s="51"/>
      <c r="BR1159" s="56"/>
      <c r="BS1159" s="170" t="s">
        <v>1778</v>
      </c>
      <c r="BT1159" s="36" t="s">
        <v>1779</v>
      </c>
      <c r="BU1159" s="112"/>
    </row>
    <row r="1160" s="1" customFormat="1" customHeight="1" spans="1:74">
      <c r="A1160" s="15" t="s">
        <v>1780</v>
      </c>
      <c r="B1160" s="15" t="s">
        <v>1776</v>
      </c>
      <c r="C1160" s="16">
        <v>311</v>
      </c>
      <c r="D1160" s="29"/>
      <c r="E1160" s="30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29"/>
      <c r="AC1160" s="29"/>
      <c r="AD1160" s="29"/>
      <c r="AE1160" s="29"/>
      <c r="AF1160" s="29"/>
      <c r="AG1160" s="30"/>
      <c r="AH1160" s="29"/>
      <c r="AI1160" s="29"/>
      <c r="AJ1160" s="29"/>
      <c r="AK1160" s="30"/>
      <c r="AL1160" s="29"/>
      <c r="AM1160" s="29"/>
      <c r="AN1160" s="29"/>
      <c r="AO1160" s="29"/>
      <c r="AP1160" s="29"/>
      <c r="AQ1160" s="29"/>
      <c r="AR1160" s="29"/>
      <c r="AS1160" s="29"/>
      <c r="AT1160" s="29"/>
      <c r="AU1160" s="29"/>
      <c r="AV1160" s="29"/>
      <c r="AW1160" s="29"/>
      <c r="AX1160" s="29"/>
      <c r="AY1160" s="29"/>
      <c r="AZ1160" s="29"/>
      <c r="BA1160" s="29"/>
      <c r="BB1160" s="29"/>
      <c r="BC1160" s="29"/>
      <c r="BD1160" s="29"/>
      <c r="BE1160" s="29"/>
      <c r="BF1160" s="29"/>
      <c r="BG1160" s="29"/>
      <c r="BH1160" s="29"/>
      <c r="BI1160" s="29"/>
      <c r="BJ1160" s="29"/>
      <c r="BK1160" s="29"/>
      <c r="BL1160" s="29"/>
      <c r="BM1160" s="29"/>
      <c r="BN1160" s="20">
        <f t="shared" si="146"/>
        <v>0</v>
      </c>
      <c r="BO1160" s="20">
        <f t="shared" si="147"/>
        <v>0</v>
      </c>
      <c r="BP1160" s="20">
        <f t="shared" si="148"/>
        <v>311</v>
      </c>
      <c r="BQ1160" s="51"/>
      <c r="BR1160" s="56"/>
      <c r="BS1160" s="170" t="s">
        <v>1645</v>
      </c>
      <c r="BT1160" s="36" t="s">
        <v>1781</v>
      </c>
      <c r="BU1160" s="112"/>
    </row>
    <row r="1161" s="1" customFormat="1" customHeight="1" spans="1:74">
      <c r="A1161" s="15" t="s">
        <v>1782</v>
      </c>
      <c r="B1161" s="15" t="s">
        <v>1776</v>
      </c>
      <c r="C1161" s="16">
        <v>3438</v>
      </c>
      <c r="D1161" s="29"/>
      <c r="E1161" s="30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29"/>
      <c r="AB1161" s="29"/>
      <c r="AC1161" s="29"/>
      <c r="AD1161" s="29"/>
      <c r="AE1161" s="29"/>
      <c r="AF1161" s="29"/>
      <c r="AG1161" s="30"/>
      <c r="AH1161" s="29"/>
      <c r="AI1161" s="29"/>
      <c r="AJ1161" s="29"/>
      <c r="AK1161" s="30"/>
      <c r="AL1161" s="29"/>
      <c r="AM1161" s="29"/>
      <c r="AN1161" s="29"/>
      <c r="AO1161" s="29"/>
      <c r="AP1161" s="29"/>
      <c r="AQ1161" s="29"/>
      <c r="AR1161" s="29"/>
      <c r="AS1161" s="29"/>
      <c r="AT1161" s="29"/>
      <c r="AU1161" s="29"/>
      <c r="AV1161" s="29"/>
      <c r="AW1161" s="29"/>
      <c r="AX1161" s="29"/>
      <c r="AY1161" s="29"/>
      <c r="AZ1161" s="29"/>
      <c r="BA1161" s="29"/>
      <c r="BB1161" s="29"/>
      <c r="BC1161" s="29"/>
      <c r="BD1161" s="29"/>
      <c r="BE1161" s="29"/>
      <c r="BF1161" s="29"/>
      <c r="BG1161" s="29"/>
      <c r="BH1161" s="29"/>
      <c r="BI1161" s="29"/>
      <c r="BJ1161" s="29"/>
      <c r="BK1161" s="29"/>
      <c r="BL1161" s="29"/>
      <c r="BM1161" s="29"/>
      <c r="BN1161" s="20">
        <f t="shared" si="146"/>
        <v>0</v>
      </c>
      <c r="BO1161" s="20">
        <f t="shared" si="147"/>
        <v>0</v>
      </c>
      <c r="BP1161" s="20">
        <f t="shared" si="148"/>
        <v>3438</v>
      </c>
      <c r="BQ1161" s="51"/>
      <c r="BR1161" s="56"/>
      <c r="BS1161" s="170" t="s">
        <v>1783</v>
      </c>
      <c r="BT1161" s="36" t="s">
        <v>1784</v>
      </c>
      <c r="BU1161" s="112"/>
    </row>
    <row r="1162" s="1" customFormat="1" customHeight="1" spans="1:74">
      <c r="A1162" s="15" t="s">
        <v>1785</v>
      </c>
      <c r="B1162" s="15" t="s">
        <v>1776</v>
      </c>
      <c r="C1162" s="16">
        <v>6427</v>
      </c>
      <c r="D1162" s="29"/>
      <c r="E1162" s="30"/>
      <c r="F1162" s="29"/>
      <c r="G1162" s="29"/>
      <c r="H1162" s="29"/>
      <c r="I1162" s="29"/>
      <c r="J1162" s="29"/>
      <c r="K1162" s="29">
        <v>110</v>
      </c>
      <c r="L1162" s="29"/>
      <c r="M1162" s="29">
        <v>110</v>
      </c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29"/>
      <c r="AC1162" s="29"/>
      <c r="AD1162" s="29"/>
      <c r="AE1162" s="29"/>
      <c r="AF1162" s="29"/>
      <c r="AG1162" s="30"/>
      <c r="AH1162" s="29"/>
      <c r="AI1162" s="29"/>
      <c r="AJ1162" s="29"/>
      <c r="AK1162" s="30"/>
      <c r="AL1162" s="29"/>
      <c r="AM1162" s="29"/>
      <c r="AN1162" s="29"/>
      <c r="AO1162" s="29"/>
      <c r="AP1162" s="29"/>
      <c r="AQ1162" s="29"/>
      <c r="AR1162" s="29"/>
      <c r="AS1162" s="29"/>
      <c r="AT1162" s="29"/>
      <c r="AU1162" s="29"/>
      <c r="AV1162" s="29"/>
      <c r="AW1162" s="29"/>
      <c r="AX1162" s="29"/>
      <c r="AY1162" s="29"/>
      <c r="AZ1162" s="29"/>
      <c r="BA1162" s="29"/>
      <c r="BB1162" s="29"/>
      <c r="BC1162" s="29"/>
      <c r="BD1162" s="29"/>
      <c r="BE1162" s="29"/>
      <c r="BF1162" s="29"/>
      <c r="BG1162" s="29"/>
      <c r="BH1162" s="29"/>
      <c r="BI1162" s="29"/>
      <c r="BJ1162" s="29"/>
      <c r="BK1162" s="29"/>
      <c r="BL1162" s="29"/>
      <c r="BM1162" s="29"/>
      <c r="BN1162" s="20">
        <f t="shared" si="146"/>
        <v>0</v>
      </c>
      <c r="BO1162" s="20">
        <f t="shared" si="147"/>
        <v>220</v>
      </c>
      <c r="BP1162" s="20">
        <f t="shared" si="148"/>
        <v>6207</v>
      </c>
      <c r="BQ1162" s="51"/>
      <c r="BR1162" s="56"/>
      <c r="BS1162" s="170" t="s">
        <v>1772</v>
      </c>
      <c r="BT1162" s="36" t="s">
        <v>1786</v>
      </c>
      <c r="BU1162" s="112"/>
    </row>
    <row r="1163" s="1" customFormat="1" customHeight="1" spans="1:74">
      <c r="A1163" s="15" t="s">
        <v>1787</v>
      </c>
      <c r="B1163" s="15" t="s">
        <v>1776</v>
      </c>
      <c r="C1163" s="16">
        <v>8788</v>
      </c>
      <c r="D1163" s="29"/>
      <c r="E1163" s="30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29"/>
      <c r="AB1163" s="29"/>
      <c r="AC1163" s="29"/>
      <c r="AD1163" s="29"/>
      <c r="AE1163" s="29"/>
      <c r="AF1163" s="29"/>
      <c r="AG1163" s="30"/>
      <c r="AH1163" s="29"/>
      <c r="AI1163" s="29"/>
      <c r="AJ1163" s="29"/>
      <c r="AK1163" s="30"/>
      <c r="AL1163" s="29"/>
      <c r="AM1163" s="29"/>
      <c r="AN1163" s="29"/>
      <c r="AO1163" s="29"/>
      <c r="AP1163" s="29"/>
      <c r="AQ1163" s="29"/>
      <c r="AR1163" s="29"/>
      <c r="AS1163" s="29"/>
      <c r="AT1163" s="29"/>
      <c r="AU1163" s="29"/>
      <c r="AV1163" s="29"/>
      <c r="AW1163" s="29"/>
      <c r="AX1163" s="29"/>
      <c r="AY1163" s="29"/>
      <c r="AZ1163" s="29"/>
      <c r="BA1163" s="29"/>
      <c r="BB1163" s="29"/>
      <c r="BC1163" s="29"/>
      <c r="BD1163" s="29"/>
      <c r="BE1163" s="29"/>
      <c r="BF1163" s="29"/>
      <c r="BG1163" s="29"/>
      <c r="BH1163" s="29"/>
      <c r="BI1163" s="29"/>
      <c r="BJ1163" s="29"/>
      <c r="BK1163" s="29"/>
      <c r="BL1163" s="29"/>
      <c r="BM1163" s="29"/>
      <c r="BN1163" s="20">
        <f t="shared" si="146"/>
        <v>0</v>
      </c>
      <c r="BO1163" s="20">
        <f t="shared" si="147"/>
        <v>0</v>
      </c>
      <c r="BP1163" s="20">
        <f t="shared" si="148"/>
        <v>8788</v>
      </c>
      <c r="BQ1163" s="51"/>
      <c r="BR1163" s="56"/>
      <c r="BS1163" s="170" t="s">
        <v>1788</v>
      </c>
      <c r="BT1163" s="36" t="s">
        <v>1786</v>
      </c>
      <c r="BU1163" s="112"/>
    </row>
    <row r="1164" s="1" customFormat="1" customHeight="1" spans="1:74">
      <c r="A1164" s="15" t="s">
        <v>1789</v>
      </c>
      <c r="B1164" s="15" t="s">
        <v>1776</v>
      </c>
      <c r="C1164" s="16">
        <v>4335</v>
      </c>
      <c r="D1164" s="29"/>
      <c r="E1164" s="30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29"/>
      <c r="AB1164" s="29"/>
      <c r="AC1164" s="29"/>
      <c r="AD1164" s="29"/>
      <c r="AE1164" s="29"/>
      <c r="AF1164" s="29"/>
      <c r="AG1164" s="30"/>
      <c r="AH1164" s="29"/>
      <c r="AI1164" s="29"/>
      <c r="AJ1164" s="29"/>
      <c r="AK1164" s="30"/>
      <c r="AL1164" s="29"/>
      <c r="AM1164" s="29"/>
      <c r="AN1164" s="29"/>
      <c r="AO1164" s="29"/>
      <c r="AP1164" s="29"/>
      <c r="AQ1164" s="29"/>
      <c r="AR1164" s="29"/>
      <c r="AS1164" s="29"/>
      <c r="AT1164" s="29"/>
      <c r="AU1164" s="29"/>
      <c r="AV1164" s="29"/>
      <c r="AW1164" s="29"/>
      <c r="AX1164" s="29"/>
      <c r="AY1164" s="29"/>
      <c r="AZ1164" s="29"/>
      <c r="BA1164" s="29"/>
      <c r="BB1164" s="29"/>
      <c r="BC1164" s="29"/>
      <c r="BD1164" s="29"/>
      <c r="BE1164" s="29"/>
      <c r="BF1164" s="29"/>
      <c r="BG1164" s="29"/>
      <c r="BH1164" s="29"/>
      <c r="BI1164" s="29"/>
      <c r="BJ1164" s="29"/>
      <c r="BK1164" s="29"/>
      <c r="BL1164" s="29"/>
      <c r="BM1164" s="29"/>
      <c r="BN1164" s="20">
        <f t="shared" si="146"/>
        <v>0</v>
      </c>
      <c r="BO1164" s="20">
        <f t="shared" si="147"/>
        <v>0</v>
      </c>
      <c r="BP1164" s="20">
        <f t="shared" si="148"/>
        <v>4335</v>
      </c>
      <c r="BQ1164" s="51"/>
      <c r="BR1164" s="56"/>
      <c r="BS1164" s="170" t="s">
        <v>1790</v>
      </c>
      <c r="BT1164" s="36" t="s">
        <v>1791</v>
      </c>
      <c r="BU1164" s="112"/>
    </row>
    <row r="1165" s="1" customFormat="1" customHeight="1" spans="1:74">
      <c r="A1165" s="15" t="s">
        <v>1792</v>
      </c>
      <c r="B1165" s="15" t="s">
        <v>1793</v>
      </c>
      <c r="C1165" s="16">
        <v>500</v>
      </c>
      <c r="D1165" s="29"/>
      <c r="E1165" s="30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29"/>
      <c r="AB1165" s="29"/>
      <c r="AC1165" s="29"/>
      <c r="AD1165" s="29"/>
      <c r="AE1165" s="29"/>
      <c r="AF1165" s="29"/>
      <c r="AG1165" s="30"/>
      <c r="AH1165" s="29"/>
      <c r="AI1165" s="29"/>
      <c r="AJ1165" s="29"/>
      <c r="AK1165" s="30"/>
      <c r="AL1165" s="29"/>
      <c r="AM1165" s="29"/>
      <c r="AN1165" s="29"/>
      <c r="AO1165" s="29"/>
      <c r="AP1165" s="29"/>
      <c r="AQ1165" s="29"/>
      <c r="AR1165" s="29"/>
      <c r="AS1165" s="29"/>
      <c r="AT1165" s="29"/>
      <c r="AU1165" s="29"/>
      <c r="AV1165" s="29"/>
      <c r="AW1165" s="29"/>
      <c r="AX1165" s="29"/>
      <c r="AY1165" s="29"/>
      <c r="AZ1165" s="29"/>
      <c r="BA1165" s="29"/>
      <c r="BB1165" s="29"/>
      <c r="BC1165" s="29"/>
      <c r="BD1165" s="29"/>
      <c r="BE1165" s="29"/>
      <c r="BF1165" s="29"/>
      <c r="BG1165" s="29"/>
      <c r="BH1165" s="29"/>
      <c r="BI1165" s="29"/>
      <c r="BJ1165" s="29"/>
      <c r="BK1165" s="29"/>
      <c r="BL1165" s="29"/>
      <c r="BM1165" s="29"/>
      <c r="BN1165" s="20">
        <f t="shared" si="146"/>
        <v>0</v>
      </c>
      <c r="BO1165" s="20">
        <f t="shared" si="147"/>
        <v>0</v>
      </c>
      <c r="BP1165" s="20">
        <f t="shared" si="148"/>
        <v>500</v>
      </c>
      <c r="BQ1165" s="51"/>
      <c r="BR1165" s="56"/>
      <c r="BS1165" s="170"/>
      <c r="BT1165" s="36" t="s">
        <v>1794</v>
      </c>
      <c r="BU1165" s="112"/>
    </row>
    <row r="1166" s="1" customFormat="1" customHeight="1" spans="1:74">
      <c r="A1166" s="171" t="s">
        <v>1795</v>
      </c>
      <c r="B1166" s="37" t="s">
        <v>1796</v>
      </c>
      <c r="C1166" s="16">
        <v>45435</v>
      </c>
      <c r="D1166" s="29"/>
      <c r="E1166" s="30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29"/>
      <c r="AB1166" s="29"/>
      <c r="AC1166" s="29"/>
      <c r="AD1166" s="29"/>
      <c r="AE1166" s="29"/>
      <c r="AF1166" s="29"/>
      <c r="AG1166" s="30"/>
      <c r="AH1166" s="29"/>
      <c r="AI1166" s="29"/>
      <c r="AJ1166" s="29"/>
      <c r="AK1166" s="30"/>
      <c r="AL1166" s="29"/>
      <c r="AM1166" s="29"/>
      <c r="AN1166" s="29"/>
      <c r="AO1166" s="29"/>
      <c r="AP1166" s="29"/>
      <c r="AQ1166" s="29"/>
      <c r="AR1166" s="29"/>
      <c r="AS1166" s="29"/>
      <c r="AT1166" s="29"/>
      <c r="AU1166" s="29"/>
      <c r="AV1166" s="29"/>
      <c r="AW1166" s="29"/>
      <c r="AX1166" s="29"/>
      <c r="AY1166" s="29"/>
      <c r="AZ1166" s="29"/>
      <c r="BA1166" s="29"/>
      <c r="BB1166" s="29"/>
      <c r="BC1166" s="29"/>
      <c r="BD1166" s="29"/>
      <c r="BE1166" s="29"/>
      <c r="BF1166" s="29"/>
      <c r="BG1166" s="29"/>
      <c r="BH1166" s="29"/>
      <c r="BI1166" s="29"/>
      <c r="BJ1166" s="29"/>
      <c r="BK1166" s="29"/>
      <c r="BL1166" s="29"/>
      <c r="BM1166" s="29"/>
      <c r="BN1166" s="20">
        <f t="shared" si="146"/>
        <v>0</v>
      </c>
      <c r="BO1166" s="20">
        <f t="shared" si="147"/>
        <v>0</v>
      </c>
      <c r="BP1166" s="20">
        <f t="shared" si="148"/>
        <v>45435</v>
      </c>
      <c r="BQ1166" s="51"/>
      <c r="BR1166" s="56" t="s">
        <v>1797</v>
      </c>
      <c r="BS1166" s="70" t="s">
        <v>1798</v>
      </c>
      <c r="BT1166" s="172" t="s">
        <v>1799</v>
      </c>
      <c r="BU1166" s="173" t="s">
        <v>1800</v>
      </c>
    </row>
    <row r="1167" s="1" customFormat="1" customHeight="1" spans="1:74">
      <c r="A1167" s="174" t="s">
        <v>1801</v>
      </c>
      <c r="B1167" s="15" t="s">
        <v>1796</v>
      </c>
      <c r="C1167" s="16">
        <v>200000</v>
      </c>
      <c r="D1167" s="29"/>
      <c r="E1167" s="30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29"/>
      <c r="AB1167" s="29"/>
      <c r="AC1167" s="29"/>
      <c r="AD1167" s="29"/>
      <c r="AE1167" s="29"/>
      <c r="AF1167" s="29"/>
      <c r="AG1167" s="30"/>
      <c r="AH1167" s="165"/>
      <c r="AI1167" s="29"/>
      <c r="AJ1167" s="30"/>
      <c r="AK1167" s="30"/>
      <c r="AL1167" s="29"/>
      <c r="AM1167" s="29"/>
      <c r="AN1167" s="29"/>
      <c r="AO1167" s="29"/>
      <c r="AP1167" s="29"/>
      <c r="AQ1167" s="29"/>
      <c r="AR1167" s="29"/>
      <c r="AS1167" s="29"/>
      <c r="AT1167" s="29"/>
      <c r="AU1167" s="29"/>
      <c r="AV1167" s="29"/>
      <c r="AW1167" s="165"/>
      <c r="AX1167" s="165"/>
      <c r="AY1167" s="29"/>
      <c r="AZ1167" s="29"/>
      <c r="BA1167" s="29"/>
      <c r="BB1167" s="29"/>
      <c r="BC1167" s="29"/>
      <c r="BD1167" s="29"/>
      <c r="BE1167" s="29"/>
      <c r="BF1167" s="29"/>
      <c r="BG1167" s="29"/>
      <c r="BH1167" s="29"/>
      <c r="BI1167" s="29"/>
      <c r="BJ1167" s="29"/>
      <c r="BK1167" s="29"/>
      <c r="BL1167" s="29"/>
      <c r="BM1167" s="29"/>
      <c r="BN1167" s="20">
        <f t="shared" si="146"/>
        <v>0</v>
      </c>
      <c r="BO1167" s="20">
        <f t="shared" si="147"/>
        <v>0</v>
      </c>
      <c r="BP1167" s="20">
        <f t="shared" si="148"/>
        <v>200000</v>
      </c>
      <c r="BQ1167" s="175"/>
      <c r="BR1167" s="56" t="s">
        <v>332</v>
      </c>
      <c r="BS1167" s="70" t="s">
        <v>333</v>
      </c>
      <c r="BT1167" s="36" t="s">
        <v>1802</v>
      </c>
      <c r="BU1167" s="112"/>
    </row>
    <row r="1168" s="1" customFormat="1" customHeight="1" spans="1:74">
      <c r="A1168" s="176" t="s">
        <v>1803</v>
      </c>
      <c r="B1168" s="92" t="s">
        <v>1804</v>
      </c>
      <c r="C1168" s="16">
        <v>60000</v>
      </c>
      <c r="D1168" s="18"/>
      <c r="E1168" s="30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29"/>
      <c r="AB1168" s="29"/>
      <c r="AC1168" s="29"/>
      <c r="AD1168" s="29"/>
      <c r="AE1168" s="29"/>
      <c r="AF1168" s="29"/>
      <c r="AG1168" s="30"/>
      <c r="AH1168" s="18"/>
      <c r="AI1168" s="30"/>
      <c r="AJ1168" s="29"/>
      <c r="AK1168" s="30"/>
      <c r="AL1168" s="29"/>
      <c r="AM1168" s="29"/>
      <c r="AN1168" s="29"/>
      <c r="AO1168" s="29"/>
      <c r="AP1168" s="29"/>
      <c r="AQ1168" s="29"/>
      <c r="AR1168" s="29"/>
      <c r="AS1168" s="29"/>
      <c r="AT1168" s="29"/>
      <c r="AU1168" s="29"/>
      <c r="AV1168" s="29"/>
      <c r="AW1168" s="29"/>
      <c r="AX1168" s="29"/>
      <c r="AY1168" s="29"/>
      <c r="AZ1168" s="29"/>
      <c r="BA1168" s="29"/>
      <c r="BB1168" s="29"/>
      <c r="BC1168" s="29"/>
      <c r="BD1168" s="29"/>
      <c r="BE1168" s="29"/>
      <c r="BF1168" s="18"/>
      <c r="BG1168" s="29"/>
      <c r="BH1168" s="29"/>
      <c r="BI1168" s="29"/>
      <c r="BJ1168" s="29"/>
      <c r="BK1168" s="29"/>
      <c r="BL1168" s="29"/>
      <c r="BM1168" s="29"/>
      <c r="BN1168" s="20">
        <f t="shared" si="146"/>
        <v>0</v>
      </c>
      <c r="BO1168" s="20">
        <f t="shared" si="147"/>
        <v>0</v>
      </c>
      <c r="BP1168" s="20">
        <f t="shared" si="148"/>
        <v>60000</v>
      </c>
      <c r="BQ1168" s="177"/>
      <c r="BR1168" s="97" t="s">
        <v>1400</v>
      </c>
      <c r="BS1168" s="70" t="s">
        <v>1805</v>
      </c>
      <c r="BT1168" s="177" t="s">
        <v>1806</v>
      </c>
      <c r="BU1168" s="112" t="s">
        <v>1807</v>
      </c>
      <c r="BV1168" s="1" t="s">
        <v>1808</v>
      </c>
    </row>
    <row r="1169" s="1" customFormat="1" customHeight="1" spans="1:74">
      <c r="A1169" s="178" t="s">
        <v>1809</v>
      </c>
      <c r="B1169" s="92" t="s">
        <v>1810</v>
      </c>
      <c r="C1169" s="16">
        <v>22600</v>
      </c>
      <c r="D1169" s="18"/>
      <c r="E1169" s="30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29"/>
      <c r="AB1169" s="29"/>
      <c r="AC1169" s="29"/>
      <c r="AD1169" s="29"/>
      <c r="AE1169" s="29"/>
      <c r="AF1169" s="29"/>
      <c r="AG1169" s="30"/>
      <c r="AH1169" s="18"/>
      <c r="AI1169" s="29"/>
      <c r="AJ1169" s="29"/>
      <c r="AK1169" s="30"/>
      <c r="AL1169" s="29"/>
      <c r="AM1169" s="29"/>
      <c r="AN1169" s="29"/>
      <c r="AO1169" s="29"/>
      <c r="AP1169" s="29"/>
      <c r="AQ1169" s="29"/>
      <c r="AR1169" s="29"/>
      <c r="AS1169" s="29"/>
      <c r="AT1169" s="29"/>
      <c r="AU1169" s="29"/>
      <c r="AV1169" s="29"/>
      <c r="AW1169" s="29"/>
      <c r="AX1169" s="29"/>
      <c r="AY1169" s="29"/>
      <c r="AZ1169" s="29"/>
      <c r="BA1169" s="29"/>
      <c r="BB1169" s="29"/>
      <c r="BC1169" s="29"/>
      <c r="BD1169" s="29"/>
      <c r="BE1169" s="29"/>
      <c r="BF1169" s="18"/>
      <c r="BG1169" s="29"/>
      <c r="BH1169" s="29"/>
      <c r="BI1169" s="29"/>
      <c r="BJ1169" s="29"/>
      <c r="BK1169" s="29"/>
      <c r="BL1169" s="29"/>
      <c r="BM1169" s="29"/>
      <c r="BN1169" s="20">
        <f t="shared" si="146"/>
        <v>0</v>
      </c>
      <c r="BO1169" s="20">
        <f t="shared" si="147"/>
        <v>0</v>
      </c>
      <c r="BP1169" s="20">
        <f t="shared" si="148"/>
        <v>22600</v>
      </c>
      <c r="BQ1169" s="177"/>
      <c r="BR1169" s="97" t="s">
        <v>122</v>
      </c>
      <c r="BS1169" s="70" t="s">
        <v>123</v>
      </c>
      <c r="BT1169" s="177" t="s">
        <v>1806</v>
      </c>
      <c r="BU1169" s="112" t="s">
        <v>1807</v>
      </c>
      <c r="BV1169" s="1" t="s">
        <v>1811</v>
      </c>
    </row>
    <row r="1170" s="1" customFormat="1" customHeight="1" spans="1:74">
      <c r="A1170" s="179" t="s">
        <v>1803</v>
      </c>
      <c r="B1170" s="53" t="s">
        <v>1812</v>
      </c>
      <c r="C1170" s="16">
        <v>8610</v>
      </c>
      <c r="D1170" s="18"/>
      <c r="E1170" s="30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29"/>
      <c r="AB1170" s="29"/>
      <c r="AC1170" s="29"/>
      <c r="AD1170" s="29"/>
      <c r="AE1170" s="29"/>
      <c r="AF1170" s="29"/>
      <c r="AG1170" s="30"/>
      <c r="AH1170" s="18"/>
      <c r="AI1170" s="29"/>
      <c r="AJ1170" s="29"/>
      <c r="AK1170" s="30"/>
      <c r="AL1170" s="29"/>
      <c r="AM1170" s="29"/>
      <c r="AN1170" s="29"/>
      <c r="AO1170" s="29"/>
      <c r="AP1170" s="29"/>
      <c r="AQ1170" s="29"/>
      <c r="AR1170" s="29"/>
      <c r="AS1170" s="29"/>
      <c r="AT1170" s="29"/>
      <c r="AU1170" s="29"/>
      <c r="AV1170" s="29"/>
      <c r="AW1170" s="29"/>
      <c r="AX1170" s="29"/>
      <c r="AY1170" s="29"/>
      <c r="AZ1170" s="29"/>
      <c r="BA1170" s="29"/>
      <c r="BB1170" s="29"/>
      <c r="BC1170" s="29"/>
      <c r="BD1170" s="29"/>
      <c r="BE1170" s="29"/>
      <c r="BF1170" s="18"/>
      <c r="BG1170" s="29"/>
      <c r="BH1170" s="29"/>
      <c r="BI1170" s="29"/>
      <c r="BJ1170" s="29"/>
      <c r="BK1170" s="29"/>
      <c r="BL1170" s="29"/>
      <c r="BM1170" s="29"/>
      <c r="BN1170" s="20">
        <f t="shared" si="146"/>
        <v>0</v>
      </c>
      <c r="BO1170" s="20">
        <f t="shared" si="147"/>
        <v>0</v>
      </c>
      <c r="BP1170" s="20">
        <f t="shared" si="148"/>
        <v>8610</v>
      </c>
      <c r="BQ1170" s="177"/>
      <c r="BR1170" s="97" t="s">
        <v>1813</v>
      </c>
      <c r="BS1170" s="70" t="s">
        <v>1814</v>
      </c>
      <c r="BT1170" s="36" t="s">
        <v>1815</v>
      </c>
      <c r="BU1170" s="177" t="s">
        <v>1806</v>
      </c>
      <c r="BV1170" s="1" t="s">
        <v>1816</v>
      </c>
    </row>
    <row r="1171" s="1" customFormat="1" customHeight="1" spans="1:74">
      <c r="A1171" s="180" t="s">
        <v>1817</v>
      </c>
      <c r="B1171" s="37" t="s">
        <v>1818</v>
      </c>
      <c r="C1171" s="16">
        <v>7200</v>
      </c>
      <c r="D1171" s="18"/>
      <c r="E1171" s="30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29"/>
      <c r="AB1171" s="29"/>
      <c r="AC1171" s="29"/>
      <c r="AD1171" s="29"/>
      <c r="AE1171" s="29"/>
      <c r="AF1171" s="29"/>
      <c r="AG1171" s="30"/>
      <c r="AH1171" s="18"/>
      <c r="AI1171" s="29"/>
      <c r="AJ1171" s="29"/>
      <c r="AK1171" s="30"/>
      <c r="AL1171" s="29"/>
      <c r="AM1171" s="29"/>
      <c r="AN1171" s="29"/>
      <c r="AO1171" s="29"/>
      <c r="AP1171" s="29"/>
      <c r="AQ1171" s="29"/>
      <c r="AR1171" s="29"/>
      <c r="AS1171" s="29"/>
      <c r="AT1171" s="29"/>
      <c r="AU1171" s="29"/>
      <c r="AV1171" s="29"/>
      <c r="AW1171" s="29"/>
      <c r="AX1171" s="29"/>
      <c r="AY1171" s="29"/>
      <c r="AZ1171" s="29"/>
      <c r="BA1171" s="29"/>
      <c r="BB1171" s="29"/>
      <c r="BC1171" s="29"/>
      <c r="BD1171" s="29"/>
      <c r="BE1171" s="29"/>
      <c r="BF1171" s="18"/>
      <c r="BG1171" s="29"/>
      <c r="BH1171" s="29"/>
      <c r="BI1171" s="29"/>
      <c r="BJ1171" s="29"/>
      <c r="BK1171" s="29"/>
      <c r="BL1171" s="29"/>
      <c r="BM1171" s="29"/>
      <c r="BN1171" s="20">
        <f t="shared" si="146"/>
        <v>0</v>
      </c>
      <c r="BO1171" s="20">
        <f t="shared" si="147"/>
        <v>0</v>
      </c>
      <c r="BP1171" s="20">
        <f t="shared" si="148"/>
        <v>7200</v>
      </c>
      <c r="BQ1171" s="177"/>
      <c r="BR1171" s="97"/>
      <c r="BS1171" s="70"/>
      <c r="BT1171" s="36" t="s">
        <v>1819</v>
      </c>
      <c r="BU1171" s="177"/>
    </row>
    <row r="1172" s="1" customFormat="1" customHeight="1" spans="1:74">
      <c r="A1172" s="15" t="s">
        <v>1820</v>
      </c>
      <c r="B1172" s="15" t="s">
        <v>1821</v>
      </c>
      <c r="C1172" s="16">
        <v>10000</v>
      </c>
      <c r="D1172" s="29"/>
      <c r="E1172" s="30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29"/>
      <c r="AB1172" s="29"/>
      <c r="AC1172" s="29"/>
      <c r="AD1172" s="29"/>
      <c r="AE1172" s="29"/>
      <c r="AF1172" s="29"/>
      <c r="AG1172" s="30"/>
      <c r="AH1172" s="29"/>
      <c r="AI1172" s="29"/>
      <c r="AJ1172" s="29"/>
      <c r="AK1172" s="30"/>
      <c r="AL1172" s="29"/>
      <c r="AM1172" s="29"/>
      <c r="AN1172" s="29"/>
      <c r="AO1172" s="29"/>
      <c r="AP1172" s="29"/>
      <c r="AQ1172" s="29"/>
      <c r="AR1172" s="29"/>
      <c r="AS1172" s="29"/>
      <c r="AT1172" s="29"/>
      <c r="AU1172" s="29"/>
      <c r="AV1172" s="29"/>
      <c r="AW1172" s="29"/>
      <c r="AX1172" s="29"/>
      <c r="AY1172" s="29"/>
      <c r="AZ1172" s="29"/>
      <c r="BA1172" s="29"/>
      <c r="BB1172" s="29"/>
      <c r="BC1172" s="29"/>
      <c r="BD1172" s="29"/>
      <c r="BE1172" s="29"/>
      <c r="BF1172" s="29"/>
      <c r="BG1172" s="29"/>
      <c r="BH1172" s="29"/>
      <c r="BI1172" s="29"/>
      <c r="BJ1172" s="29"/>
      <c r="BK1172" s="29"/>
      <c r="BL1172" s="29"/>
      <c r="BM1172" s="29"/>
      <c r="BN1172" s="20">
        <f t="shared" si="146"/>
        <v>0</v>
      </c>
      <c r="BO1172" s="20">
        <f t="shared" si="147"/>
        <v>0</v>
      </c>
      <c r="BP1172" s="20">
        <f t="shared" si="148"/>
        <v>10000</v>
      </c>
      <c r="BQ1172" s="51"/>
      <c r="BR1172" s="56"/>
      <c r="BS1172" s="111"/>
      <c r="BT1172" s="36"/>
      <c r="BU1172" s="112"/>
    </row>
    <row r="1173" s="1" customFormat="1" customHeight="1" spans="1:74">
      <c r="A1173" s="15" t="s">
        <v>1822</v>
      </c>
      <c r="B1173" s="15" t="s">
        <v>1823</v>
      </c>
      <c r="C1173" s="16">
        <v>30000</v>
      </c>
      <c r="D1173" s="29"/>
      <c r="E1173" s="30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29"/>
      <c r="AB1173" s="29"/>
      <c r="AC1173" s="29"/>
      <c r="AD1173" s="29"/>
      <c r="AE1173" s="29"/>
      <c r="AF1173" s="29"/>
      <c r="AG1173" s="30"/>
      <c r="AH1173" s="29"/>
      <c r="AI1173" s="29"/>
      <c r="AJ1173" s="29"/>
      <c r="AK1173" s="30"/>
      <c r="AL1173" s="29"/>
      <c r="AM1173" s="29"/>
      <c r="AN1173" s="29"/>
      <c r="AO1173" s="29"/>
      <c r="AP1173" s="29"/>
      <c r="AQ1173" s="29"/>
      <c r="AR1173" s="29"/>
      <c r="AS1173" s="29"/>
      <c r="AT1173" s="29"/>
      <c r="AU1173" s="29"/>
      <c r="AV1173" s="29"/>
      <c r="AW1173" s="29"/>
      <c r="AX1173" s="29"/>
      <c r="AY1173" s="29"/>
      <c r="AZ1173" s="29"/>
      <c r="BA1173" s="29"/>
      <c r="BB1173" s="29"/>
      <c r="BC1173" s="29"/>
      <c r="BD1173" s="29"/>
      <c r="BE1173" s="29"/>
      <c r="BF1173" s="29"/>
      <c r="BG1173" s="29"/>
      <c r="BH1173" s="29"/>
      <c r="BI1173" s="29"/>
      <c r="BJ1173" s="29"/>
      <c r="BK1173" s="29"/>
      <c r="BL1173" s="29"/>
      <c r="BM1173" s="29"/>
      <c r="BN1173" s="20">
        <f t="shared" si="146"/>
        <v>0</v>
      </c>
      <c r="BO1173" s="20">
        <f t="shared" si="147"/>
        <v>0</v>
      </c>
      <c r="BP1173" s="20">
        <f t="shared" si="148"/>
        <v>30000</v>
      </c>
      <c r="BQ1173" s="51"/>
      <c r="BR1173" s="56"/>
      <c r="BS1173" s="111"/>
      <c r="BT1173" s="36"/>
      <c r="BU1173" s="112"/>
    </row>
    <row r="1174" s="1" customFormat="1" customHeight="1" spans="1:74">
      <c r="A1174" s="15" t="s">
        <v>1824</v>
      </c>
      <c r="B1174" s="15" t="s">
        <v>1825</v>
      </c>
      <c r="C1174" s="16">
        <v>0</v>
      </c>
      <c r="D1174" s="29"/>
      <c r="E1174" s="30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29"/>
      <c r="AB1174" s="29"/>
      <c r="AC1174" s="29"/>
      <c r="AD1174" s="29"/>
      <c r="AE1174" s="29"/>
      <c r="AF1174" s="29"/>
      <c r="AG1174" s="30"/>
      <c r="AH1174" s="29"/>
      <c r="AI1174" s="29"/>
      <c r="AJ1174" s="29"/>
      <c r="AK1174" s="30"/>
      <c r="AL1174" s="29"/>
      <c r="AM1174" s="29"/>
      <c r="AN1174" s="29"/>
      <c r="AO1174" s="29"/>
      <c r="AP1174" s="29"/>
      <c r="AQ1174" s="29"/>
      <c r="AR1174" s="29"/>
      <c r="AS1174" s="29"/>
      <c r="AT1174" s="29"/>
      <c r="AU1174" s="29"/>
      <c r="AV1174" s="29"/>
      <c r="AW1174" s="29"/>
      <c r="AX1174" s="29"/>
      <c r="AY1174" s="29"/>
      <c r="AZ1174" s="29"/>
      <c r="BA1174" s="29"/>
      <c r="BB1174" s="29"/>
      <c r="BC1174" s="29"/>
      <c r="BD1174" s="18"/>
      <c r="BE1174" s="29"/>
      <c r="BF1174" s="29"/>
      <c r="BG1174" s="29"/>
      <c r="BH1174" s="29"/>
      <c r="BI1174" s="29"/>
      <c r="BJ1174" s="29"/>
      <c r="BK1174" s="29"/>
      <c r="BL1174" s="29"/>
      <c r="BM1174" s="29"/>
      <c r="BN1174" s="20">
        <f t="shared" si="146"/>
        <v>0</v>
      </c>
      <c r="BO1174" s="20">
        <f t="shared" si="147"/>
        <v>0</v>
      </c>
      <c r="BP1174" s="20">
        <f t="shared" si="148"/>
        <v>0</v>
      </c>
      <c r="BQ1174" s="175" t="s">
        <v>1826</v>
      </c>
      <c r="BR1174" s="56"/>
      <c r="BS1174" s="70" t="s">
        <v>1827</v>
      </c>
      <c r="BT1174" s="36" t="s">
        <v>1828</v>
      </c>
      <c r="BU1174" s="112"/>
    </row>
    <row r="1175" s="1" customFormat="1" customHeight="1" spans="1:74">
      <c r="A1175" s="15" t="s">
        <v>1829</v>
      </c>
      <c r="B1175" s="15" t="s">
        <v>1830</v>
      </c>
      <c r="C1175" s="16">
        <v>780</v>
      </c>
      <c r="D1175" s="29"/>
      <c r="E1175" s="30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29"/>
      <c r="AB1175" s="29"/>
      <c r="AC1175" s="29"/>
      <c r="AD1175" s="29"/>
      <c r="AE1175" s="29"/>
      <c r="AF1175" s="29"/>
      <c r="AG1175" s="30"/>
      <c r="AH1175" s="29"/>
      <c r="AI1175" s="29"/>
      <c r="AJ1175" s="29"/>
      <c r="AK1175" s="30"/>
      <c r="AL1175" s="29"/>
      <c r="AM1175" s="29"/>
      <c r="AN1175" s="29"/>
      <c r="AO1175" s="29"/>
      <c r="AP1175" s="29"/>
      <c r="AQ1175" s="29"/>
      <c r="AR1175" s="29"/>
      <c r="AS1175" s="29"/>
      <c r="AT1175" s="29"/>
      <c r="AU1175" s="29"/>
      <c r="AV1175" s="29"/>
      <c r="AW1175" s="29"/>
      <c r="AX1175" s="29"/>
      <c r="AY1175" s="29"/>
      <c r="AZ1175" s="29"/>
      <c r="BA1175" s="29"/>
      <c r="BB1175" s="29"/>
      <c r="BC1175" s="29"/>
      <c r="BD1175" s="18"/>
      <c r="BE1175" s="29"/>
      <c r="BF1175" s="29"/>
      <c r="BG1175" s="29"/>
      <c r="BH1175" s="29"/>
      <c r="BI1175" s="29"/>
      <c r="BJ1175" s="29"/>
      <c r="BK1175" s="29"/>
      <c r="BL1175" s="29"/>
      <c r="BM1175" s="29"/>
      <c r="BN1175" s="20">
        <f t="shared" si="146"/>
        <v>0</v>
      </c>
      <c r="BO1175" s="20">
        <f t="shared" si="147"/>
        <v>0</v>
      </c>
      <c r="BP1175" s="20">
        <f t="shared" si="148"/>
        <v>780</v>
      </c>
      <c r="BQ1175" s="51" t="s">
        <v>1831</v>
      </c>
      <c r="BR1175" s="56"/>
      <c r="BS1175" s="111"/>
      <c r="BT1175" s="111" t="s">
        <v>1710</v>
      </c>
      <c r="BU1175" s="112"/>
    </row>
    <row r="1176" s="1" customFormat="1" customHeight="1" spans="1:74">
      <c r="A1176" s="15" t="s">
        <v>1832</v>
      </c>
      <c r="B1176" s="15" t="s">
        <v>1833</v>
      </c>
      <c r="C1176" s="16">
        <v>33150</v>
      </c>
      <c r="D1176" s="29"/>
      <c r="E1176" s="30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29"/>
      <c r="AB1176" s="29"/>
      <c r="AC1176" s="29"/>
      <c r="AD1176" s="29"/>
      <c r="AE1176" s="29"/>
      <c r="AF1176" s="29"/>
      <c r="AG1176" s="30"/>
      <c r="AH1176" s="29"/>
      <c r="AI1176" s="29"/>
      <c r="AJ1176" s="29"/>
      <c r="AK1176" s="30"/>
      <c r="AL1176" s="29"/>
      <c r="AM1176" s="29"/>
      <c r="AN1176" s="29"/>
      <c r="AO1176" s="29"/>
      <c r="AP1176" s="29"/>
      <c r="AQ1176" s="29"/>
      <c r="AR1176" s="29"/>
      <c r="AS1176" s="29"/>
      <c r="AT1176" s="29"/>
      <c r="AU1176" s="29"/>
      <c r="AV1176" s="29"/>
      <c r="AW1176" s="29"/>
      <c r="AX1176" s="29"/>
      <c r="AY1176" s="29"/>
      <c r="AZ1176" s="29"/>
      <c r="BA1176" s="29"/>
      <c r="BB1176" s="29"/>
      <c r="BC1176" s="29"/>
      <c r="BD1176" s="18"/>
      <c r="BE1176" s="29"/>
      <c r="BF1176" s="29"/>
      <c r="BG1176" s="29"/>
      <c r="BH1176" s="29"/>
      <c r="BI1176" s="29"/>
      <c r="BJ1176" s="29"/>
      <c r="BK1176" s="29"/>
      <c r="BL1176" s="29"/>
      <c r="BM1176" s="29"/>
      <c r="BN1176" s="20">
        <f t="shared" si="146"/>
        <v>0</v>
      </c>
      <c r="BO1176" s="20">
        <f t="shared" si="147"/>
        <v>0</v>
      </c>
      <c r="BP1176" s="20">
        <f t="shared" si="148"/>
        <v>33150</v>
      </c>
      <c r="BQ1176" s="181"/>
      <c r="BR1176" s="182"/>
      <c r="BS1176" s="113"/>
      <c r="BT1176" s="113" t="s">
        <v>1834</v>
      </c>
      <c r="BU1176" s="177" t="s">
        <v>1835</v>
      </c>
    </row>
    <row r="1177" s="1" customFormat="1" customHeight="1" spans="1:74">
      <c r="A1177" s="15" t="s">
        <v>1836</v>
      </c>
      <c r="B1177" s="15" t="s">
        <v>1837</v>
      </c>
      <c r="C1177" s="16">
        <v>5100</v>
      </c>
      <c r="D1177" s="29"/>
      <c r="E1177" s="30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29"/>
      <c r="AB1177" s="29"/>
      <c r="AC1177" s="29"/>
      <c r="AD1177" s="29"/>
      <c r="AE1177" s="29"/>
      <c r="AF1177" s="29"/>
      <c r="AG1177" s="30"/>
      <c r="AH1177" s="29"/>
      <c r="AI1177" s="29"/>
      <c r="AJ1177" s="29"/>
      <c r="AK1177" s="30"/>
      <c r="AL1177" s="29"/>
      <c r="AM1177" s="29"/>
      <c r="AN1177" s="29"/>
      <c r="AO1177" s="29"/>
      <c r="AP1177" s="29"/>
      <c r="AQ1177" s="29"/>
      <c r="AR1177" s="29"/>
      <c r="AS1177" s="29"/>
      <c r="AT1177" s="29"/>
      <c r="AU1177" s="29"/>
      <c r="AV1177" s="29"/>
      <c r="AW1177" s="29"/>
      <c r="AX1177" s="29"/>
      <c r="AY1177" s="29"/>
      <c r="AZ1177" s="29"/>
      <c r="BA1177" s="29"/>
      <c r="BB1177" s="29"/>
      <c r="BC1177" s="29"/>
      <c r="BD1177" s="18"/>
      <c r="BE1177" s="29"/>
      <c r="BF1177" s="29"/>
      <c r="BG1177" s="29"/>
      <c r="BH1177" s="29"/>
      <c r="BI1177" s="29"/>
      <c r="BJ1177" s="29"/>
      <c r="BK1177" s="29"/>
      <c r="BL1177" s="29"/>
      <c r="BM1177" s="29"/>
      <c r="BN1177" s="20">
        <f t="shared" si="146"/>
        <v>0</v>
      </c>
      <c r="BO1177" s="20">
        <f t="shared" si="147"/>
        <v>0</v>
      </c>
      <c r="BP1177" s="20">
        <f t="shared" si="148"/>
        <v>5100</v>
      </c>
      <c r="BQ1177" s="51"/>
      <c r="BR1177" s="56"/>
      <c r="BS1177" s="111"/>
      <c r="BT1177" s="36"/>
      <c r="BU1177" s="112"/>
    </row>
    <row r="1178" s="1" customFormat="1" customHeight="1" spans="1:74">
      <c r="A1178" s="15" t="s">
        <v>1838</v>
      </c>
      <c r="B1178" s="183" t="s">
        <v>1839</v>
      </c>
      <c r="C1178" s="16">
        <v>25400</v>
      </c>
      <c r="D1178" s="18"/>
      <c r="E1178" s="30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29"/>
      <c r="AB1178" s="29"/>
      <c r="AC1178" s="29"/>
      <c r="AD1178" s="29"/>
      <c r="AE1178" s="29"/>
      <c r="AF1178" s="29"/>
      <c r="AG1178" s="30"/>
      <c r="AH1178" s="29"/>
      <c r="AI1178" s="29"/>
      <c r="AJ1178" s="29"/>
      <c r="AK1178" s="30"/>
      <c r="AL1178" s="29"/>
      <c r="AM1178" s="29"/>
      <c r="AN1178" s="29"/>
      <c r="AO1178" s="29"/>
      <c r="AP1178" s="29"/>
      <c r="AQ1178" s="29"/>
      <c r="AR1178" s="29"/>
      <c r="AS1178" s="29"/>
      <c r="AT1178" s="29"/>
      <c r="AU1178" s="29"/>
      <c r="AV1178" s="29"/>
      <c r="AW1178" s="18"/>
      <c r="AX1178" s="29"/>
      <c r="AY1178" s="29"/>
      <c r="AZ1178" s="29"/>
      <c r="BA1178" s="29"/>
      <c r="BB1178" s="29"/>
      <c r="BC1178" s="29"/>
      <c r="BD1178" s="29"/>
      <c r="BE1178" s="29"/>
      <c r="BF1178" s="29"/>
      <c r="BG1178" s="29"/>
      <c r="BH1178" s="29"/>
      <c r="BI1178" s="29"/>
      <c r="BJ1178" s="29"/>
      <c r="BK1178" s="29"/>
      <c r="BL1178" s="29"/>
      <c r="BM1178" s="29"/>
      <c r="BN1178" s="20">
        <f t="shared" si="146"/>
        <v>0</v>
      </c>
      <c r="BO1178" s="20">
        <f t="shared" si="147"/>
        <v>0</v>
      </c>
      <c r="BP1178" s="20">
        <f t="shared" si="148"/>
        <v>25400</v>
      </c>
      <c r="BQ1178" s="51" t="s">
        <v>1840</v>
      </c>
      <c r="BR1178" s="97" t="s">
        <v>484</v>
      </c>
      <c r="BS1178" s="70" t="s">
        <v>1841</v>
      </c>
      <c r="BT1178" s="36" t="s">
        <v>1842</v>
      </c>
      <c r="BU1178" s="112" t="s">
        <v>1843</v>
      </c>
    </row>
    <row r="1179" s="1" customFormat="1" customHeight="1" spans="1:74">
      <c r="A1179" s="15" t="s">
        <v>1844</v>
      </c>
      <c r="B1179" s="15" t="s">
        <v>1845</v>
      </c>
      <c r="C1179" s="16">
        <v>6500</v>
      </c>
      <c r="D1179" s="18"/>
      <c r="E1179" s="30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29"/>
      <c r="AB1179" s="29"/>
      <c r="AC1179" s="29"/>
      <c r="AD1179" s="29"/>
      <c r="AE1179" s="29"/>
      <c r="AF1179" s="29"/>
      <c r="AG1179" s="30"/>
      <c r="AH1179" s="29"/>
      <c r="AI1179" s="29"/>
      <c r="AJ1179" s="29"/>
      <c r="AK1179" s="30"/>
      <c r="AL1179" s="29"/>
      <c r="AM1179" s="29"/>
      <c r="AN1179" s="29"/>
      <c r="AO1179" s="29"/>
      <c r="AP1179" s="29"/>
      <c r="AQ1179" s="29"/>
      <c r="AR1179" s="29"/>
      <c r="AS1179" s="29"/>
      <c r="AT1179" s="29"/>
      <c r="AU1179" s="29"/>
      <c r="AV1179" s="29"/>
      <c r="AW1179" s="18"/>
      <c r="AX1179" s="29"/>
      <c r="AY1179" s="29"/>
      <c r="AZ1179" s="29"/>
      <c r="BA1179" s="29"/>
      <c r="BB1179" s="29"/>
      <c r="BC1179" s="29"/>
      <c r="BD1179" s="29"/>
      <c r="BE1179" s="29"/>
      <c r="BF1179" s="29"/>
      <c r="BG1179" s="29"/>
      <c r="BH1179" s="29"/>
      <c r="BI1179" s="29"/>
      <c r="BJ1179" s="29"/>
      <c r="BK1179" s="29"/>
      <c r="BL1179" s="29"/>
      <c r="BM1179" s="29"/>
      <c r="BN1179" s="20">
        <f t="shared" si="146"/>
        <v>0</v>
      </c>
      <c r="BO1179" s="20">
        <f t="shared" si="147"/>
        <v>0</v>
      </c>
      <c r="BP1179" s="20">
        <f t="shared" si="148"/>
        <v>6500</v>
      </c>
      <c r="BQ1179" s="51"/>
      <c r="BR1179" s="56"/>
      <c r="BS1179" s="111"/>
      <c r="BT1179" s="36"/>
      <c r="BU1179" s="112"/>
    </row>
    <row r="1180" s="1" customFormat="1" customHeight="1" spans="1:74">
      <c r="A1180" s="179" t="s">
        <v>1846</v>
      </c>
      <c r="B1180" s="15" t="s">
        <v>1847</v>
      </c>
      <c r="C1180" s="16">
        <v>7340</v>
      </c>
      <c r="D1180" s="18"/>
      <c r="E1180" s="30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29"/>
      <c r="AB1180" s="29"/>
      <c r="AC1180" s="29"/>
      <c r="AD1180" s="29"/>
      <c r="AE1180" s="29"/>
      <c r="AF1180" s="29"/>
      <c r="AG1180" s="30"/>
      <c r="AH1180" s="29"/>
      <c r="AI1180" s="29"/>
      <c r="AJ1180" s="29"/>
      <c r="AK1180" s="30"/>
      <c r="AL1180" s="29"/>
      <c r="AM1180" s="29"/>
      <c r="AN1180" s="29"/>
      <c r="AO1180" s="29"/>
      <c r="AP1180" s="29"/>
      <c r="AQ1180" s="29"/>
      <c r="AR1180" s="29"/>
      <c r="AS1180" s="29"/>
      <c r="AT1180" s="29"/>
      <c r="AU1180" s="29"/>
      <c r="AV1180" s="29"/>
      <c r="AW1180" s="18"/>
      <c r="AX1180" s="29"/>
      <c r="AY1180" s="29"/>
      <c r="AZ1180" s="29"/>
      <c r="BA1180" s="29"/>
      <c r="BB1180" s="29"/>
      <c r="BC1180" s="29"/>
      <c r="BD1180" s="29"/>
      <c r="BE1180" s="29"/>
      <c r="BF1180" s="29"/>
      <c r="BG1180" s="29"/>
      <c r="BH1180" s="29"/>
      <c r="BI1180" s="29"/>
      <c r="BJ1180" s="29"/>
      <c r="BK1180" s="29"/>
      <c r="BL1180" s="29"/>
      <c r="BM1180" s="29"/>
      <c r="BN1180" s="20">
        <f t="shared" si="146"/>
        <v>0</v>
      </c>
      <c r="BO1180" s="20">
        <f t="shared" si="147"/>
        <v>0</v>
      </c>
      <c r="BP1180" s="20">
        <f t="shared" si="148"/>
        <v>7340</v>
      </c>
      <c r="BQ1180" s="51" t="s">
        <v>1848</v>
      </c>
      <c r="BR1180" s="56" t="s">
        <v>1849</v>
      </c>
      <c r="BS1180" s="70" t="s">
        <v>1850</v>
      </c>
      <c r="BT1180" s="36" t="s">
        <v>1851</v>
      </c>
      <c r="BU1180" s="112"/>
    </row>
    <row r="1181" s="1" customFormat="1" customHeight="1" spans="1:74">
      <c r="A1181" s="15" t="s">
        <v>1852</v>
      </c>
      <c r="B1181" s="15" t="s">
        <v>1853</v>
      </c>
      <c r="C1181" s="16">
        <v>276</v>
      </c>
      <c r="D1181" s="29"/>
      <c r="E1181" s="30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29"/>
      <c r="AB1181" s="29"/>
      <c r="AC1181" s="29"/>
      <c r="AD1181" s="29"/>
      <c r="AE1181" s="29"/>
      <c r="AF1181" s="29"/>
      <c r="AG1181" s="30"/>
      <c r="AH1181" s="29"/>
      <c r="AI1181" s="29"/>
      <c r="AJ1181" s="29"/>
      <c r="AK1181" s="30"/>
      <c r="AL1181" s="29"/>
      <c r="AM1181" s="29"/>
      <c r="AN1181" s="29"/>
      <c r="AO1181" s="29"/>
      <c r="AP1181" s="29"/>
      <c r="AQ1181" s="29"/>
      <c r="AR1181" s="29"/>
      <c r="AS1181" s="29"/>
      <c r="AT1181" s="29"/>
      <c r="AU1181" s="29"/>
      <c r="AV1181" s="29"/>
      <c r="AW1181" s="29"/>
      <c r="AX1181" s="29"/>
      <c r="AY1181" s="29"/>
      <c r="AZ1181" s="29"/>
      <c r="BA1181" s="29"/>
      <c r="BB1181" s="29"/>
      <c r="BC1181" s="29"/>
      <c r="BD1181" s="29"/>
      <c r="BE1181" s="29"/>
      <c r="BF1181" s="29"/>
      <c r="BG1181" s="29"/>
      <c r="BH1181" s="29"/>
      <c r="BI1181" s="29"/>
      <c r="BJ1181" s="29"/>
      <c r="BK1181" s="29"/>
      <c r="BL1181" s="29"/>
      <c r="BM1181" s="29"/>
      <c r="BN1181" s="20">
        <f t="shared" si="146"/>
        <v>0</v>
      </c>
      <c r="BO1181" s="20">
        <f t="shared" si="147"/>
        <v>0</v>
      </c>
      <c r="BP1181" s="20">
        <f t="shared" si="148"/>
        <v>276</v>
      </c>
      <c r="BQ1181" s="51"/>
      <c r="BR1181" s="56"/>
      <c r="BS1181" s="111"/>
      <c r="BT1181" s="36"/>
      <c r="BU1181" s="112"/>
    </row>
    <row r="1182" s="1" customFormat="1" customHeight="1" spans="1:74">
      <c r="A1182" s="15" t="s">
        <v>1854</v>
      </c>
      <c r="B1182" s="15" t="s">
        <v>1855</v>
      </c>
      <c r="C1182" s="16">
        <v>600</v>
      </c>
      <c r="D1182" s="29"/>
      <c r="E1182" s="30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29"/>
      <c r="AB1182" s="29"/>
      <c r="AC1182" s="29"/>
      <c r="AD1182" s="29"/>
      <c r="AE1182" s="29"/>
      <c r="AF1182" s="29"/>
      <c r="AG1182" s="30"/>
      <c r="AH1182" s="29"/>
      <c r="AI1182" s="29"/>
      <c r="AJ1182" s="29"/>
      <c r="AK1182" s="30"/>
      <c r="AL1182" s="29"/>
      <c r="AM1182" s="29"/>
      <c r="AN1182" s="29"/>
      <c r="AO1182" s="29"/>
      <c r="AP1182" s="29"/>
      <c r="AQ1182" s="29"/>
      <c r="AR1182" s="29"/>
      <c r="AS1182" s="29"/>
      <c r="AT1182" s="29"/>
      <c r="AU1182" s="29"/>
      <c r="AV1182" s="29"/>
      <c r="AW1182" s="29"/>
      <c r="AX1182" s="29"/>
      <c r="AY1182" s="29"/>
      <c r="AZ1182" s="29"/>
      <c r="BA1182" s="29"/>
      <c r="BB1182" s="29"/>
      <c r="BC1182" s="29"/>
      <c r="BD1182" s="29"/>
      <c r="BE1182" s="29"/>
      <c r="BF1182" s="29"/>
      <c r="BG1182" s="29"/>
      <c r="BH1182" s="29"/>
      <c r="BI1182" s="29"/>
      <c r="BJ1182" s="29"/>
      <c r="BK1182" s="29"/>
      <c r="BL1182" s="29"/>
      <c r="BM1182" s="29"/>
      <c r="BN1182" s="20">
        <f t="shared" si="146"/>
        <v>0</v>
      </c>
      <c r="BO1182" s="20">
        <f t="shared" si="147"/>
        <v>0</v>
      </c>
      <c r="BP1182" s="20">
        <f t="shared" si="148"/>
        <v>600</v>
      </c>
      <c r="BQ1182" s="51"/>
      <c r="BR1182" s="56"/>
      <c r="BS1182" s="111"/>
      <c r="BT1182" s="36"/>
      <c r="BU1182" s="112"/>
    </row>
    <row r="1183" s="1" customFormat="1" customHeight="1" spans="1:74">
      <c r="A1183" s="178" t="s">
        <v>1856</v>
      </c>
      <c r="B1183" s="178" t="s">
        <v>1857</v>
      </c>
      <c r="C1183" s="16">
        <v>27910</v>
      </c>
      <c r="D1183" s="29"/>
      <c r="E1183" s="30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29"/>
      <c r="AB1183" s="29"/>
      <c r="AC1183" s="29"/>
      <c r="AD1183" s="29"/>
      <c r="AE1183" s="29"/>
      <c r="AF1183" s="29"/>
      <c r="AG1183" s="30"/>
      <c r="AH1183" s="29"/>
      <c r="AI1183" s="29"/>
      <c r="AJ1183" s="29"/>
      <c r="AK1183" s="30"/>
      <c r="AL1183" s="29"/>
      <c r="AM1183" s="29"/>
      <c r="AN1183" s="29"/>
      <c r="AO1183" s="29"/>
      <c r="AP1183" s="29"/>
      <c r="AQ1183" s="29"/>
      <c r="AR1183" s="29"/>
      <c r="AS1183" s="29"/>
      <c r="AT1183" s="29"/>
      <c r="AU1183" s="29"/>
      <c r="AV1183" s="29"/>
      <c r="AW1183" s="29"/>
      <c r="AX1183" s="29"/>
      <c r="AY1183" s="29"/>
      <c r="AZ1183" s="29"/>
      <c r="BA1183" s="29"/>
      <c r="BB1183" s="29"/>
      <c r="BC1183" s="29"/>
      <c r="BD1183" s="29"/>
      <c r="BE1183" s="29"/>
      <c r="BF1183" s="29"/>
      <c r="BG1183" s="29"/>
      <c r="BH1183" s="29"/>
      <c r="BI1183" s="29"/>
      <c r="BJ1183" s="29"/>
      <c r="BK1183" s="29"/>
      <c r="BL1183" s="29"/>
      <c r="BM1183" s="29"/>
      <c r="BN1183" s="20">
        <f t="shared" si="146"/>
        <v>0</v>
      </c>
      <c r="BO1183" s="20">
        <f t="shared" si="147"/>
        <v>0</v>
      </c>
      <c r="BP1183" s="184">
        <f t="shared" si="148"/>
        <v>27910</v>
      </c>
      <c r="BQ1183" s="51"/>
      <c r="BR1183" s="56"/>
      <c r="BS1183" s="111"/>
      <c r="BT1183" s="50" t="s">
        <v>1858</v>
      </c>
      <c r="BU1183" s="112"/>
    </row>
    <row r="1184" s="1" customFormat="1" customHeight="1" spans="1:74">
      <c r="A1184" s="15" t="s">
        <v>1859</v>
      </c>
      <c r="B1184" s="15"/>
      <c r="C1184" s="16">
        <v>25</v>
      </c>
      <c r="D1184" s="29"/>
      <c r="E1184" s="30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29"/>
      <c r="AB1184" s="29"/>
      <c r="AC1184" s="29"/>
      <c r="AD1184" s="29"/>
      <c r="AE1184" s="29"/>
      <c r="AF1184" s="29"/>
      <c r="AG1184" s="30"/>
      <c r="AH1184" s="29"/>
      <c r="AI1184" s="29"/>
      <c r="AJ1184" s="29"/>
      <c r="AK1184" s="30"/>
      <c r="AL1184" s="29"/>
      <c r="AM1184" s="29"/>
      <c r="AN1184" s="29"/>
      <c r="AO1184" s="29"/>
      <c r="AP1184" s="29"/>
      <c r="AQ1184" s="29"/>
      <c r="AR1184" s="29"/>
      <c r="AS1184" s="29"/>
      <c r="AT1184" s="29"/>
      <c r="AU1184" s="29"/>
      <c r="AV1184" s="29"/>
      <c r="AW1184" s="29"/>
      <c r="AX1184" s="29"/>
      <c r="AY1184" s="29"/>
      <c r="AZ1184" s="29"/>
      <c r="BA1184" s="29"/>
      <c r="BB1184" s="29"/>
      <c r="BC1184" s="29"/>
      <c r="BD1184" s="29"/>
      <c r="BE1184" s="29"/>
      <c r="BF1184" s="29"/>
      <c r="BG1184" s="29"/>
      <c r="BH1184" s="29"/>
      <c r="BI1184" s="29"/>
      <c r="BJ1184" s="29"/>
      <c r="BK1184" s="29"/>
      <c r="BL1184" s="29"/>
      <c r="BM1184" s="29"/>
      <c r="BN1184" s="20">
        <f t="shared" si="146"/>
        <v>0</v>
      </c>
      <c r="BO1184" s="20">
        <f t="shared" si="147"/>
        <v>0</v>
      </c>
      <c r="BP1184" s="20">
        <f t="shared" si="148"/>
        <v>25</v>
      </c>
      <c r="BQ1184" s="51"/>
      <c r="BR1184" s="56"/>
      <c r="BS1184" s="111"/>
      <c r="BT1184" s="36"/>
      <c r="BU1184" s="112"/>
    </row>
    <row r="1185" s="1" customFormat="1" customHeight="1" spans="1:73">
      <c r="A1185" s="178" t="s">
        <v>1860</v>
      </c>
      <c r="B1185" s="178" t="s">
        <v>1857</v>
      </c>
      <c r="C1185" s="16">
        <v>0</v>
      </c>
      <c r="D1185" s="29"/>
      <c r="E1185" s="30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29"/>
      <c r="AB1185" s="29"/>
      <c r="AC1185" s="29"/>
      <c r="AD1185" s="29"/>
      <c r="AE1185" s="29"/>
      <c r="AF1185" s="29"/>
      <c r="AG1185" s="30"/>
      <c r="AH1185" s="29"/>
      <c r="AI1185" s="29"/>
      <c r="AJ1185" s="29"/>
      <c r="AK1185" s="30"/>
      <c r="AL1185" s="29"/>
      <c r="AM1185" s="29"/>
      <c r="AN1185" s="29"/>
      <c r="AO1185" s="29"/>
      <c r="AP1185" s="29"/>
      <c r="AQ1185" s="29"/>
      <c r="AR1185" s="29"/>
      <c r="AS1185" s="29"/>
      <c r="AT1185" s="29"/>
      <c r="AU1185" s="29"/>
      <c r="AV1185" s="29"/>
      <c r="AW1185" s="29"/>
      <c r="AX1185" s="29"/>
      <c r="AY1185" s="29"/>
      <c r="AZ1185" s="29"/>
      <c r="BA1185" s="29"/>
      <c r="BB1185" s="29"/>
      <c r="BC1185" s="29"/>
      <c r="BD1185" s="29"/>
      <c r="BE1185" s="29"/>
      <c r="BF1185" s="29"/>
      <c r="BG1185" s="29"/>
      <c r="BH1185" s="29"/>
      <c r="BI1185" s="29"/>
      <c r="BJ1185" s="29"/>
      <c r="BK1185" s="29"/>
      <c r="BL1185" s="29"/>
      <c r="BM1185" s="29"/>
      <c r="BN1185" s="20">
        <f t="shared" si="146"/>
        <v>0</v>
      </c>
      <c r="BO1185" s="20">
        <f t="shared" si="147"/>
        <v>0</v>
      </c>
      <c r="BP1185" s="20">
        <f t="shared" si="148"/>
        <v>0</v>
      </c>
      <c r="BQ1185" s="51"/>
      <c r="BR1185" s="56"/>
      <c r="BS1185" s="111"/>
      <c r="BT1185" s="50" t="s">
        <v>1858</v>
      </c>
      <c r="BU1185" s="112"/>
    </row>
    <row r="1186" s="1" customFormat="1" customHeight="1" spans="1:73">
      <c r="A1186" s="15" t="s">
        <v>1861</v>
      </c>
      <c r="B1186" s="15" t="s">
        <v>1862</v>
      </c>
      <c r="C1186" s="16">
        <v>200</v>
      </c>
      <c r="D1186" s="29"/>
      <c r="E1186" s="30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29"/>
      <c r="AB1186" s="29"/>
      <c r="AC1186" s="29"/>
      <c r="AD1186" s="29"/>
      <c r="AE1186" s="29"/>
      <c r="AF1186" s="29"/>
      <c r="AG1186" s="30"/>
      <c r="AH1186" s="29"/>
      <c r="AI1186" s="29"/>
      <c r="AJ1186" s="29"/>
      <c r="AK1186" s="30"/>
      <c r="AL1186" s="29"/>
      <c r="AM1186" s="29"/>
      <c r="AN1186" s="29"/>
      <c r="AO1186" s="29"/>
      <c r="AP1186" s="29"/>
      <c r="AQ1186" s="29"/>
      <c r="AR1186" s="29"/>
      <c r="AS1186" s="29"/>
      <c r="AT1186" s="29"/>
      <c r="AU1186" s="29"/>
      <c r="AV1186" s="29"/>
      <c r="AW1186" s="29"/>
      <c r="AX1186" s="29"/>
      <c r="AY1186" s="29"/>
      <c r="AZ1186" s="29"/>
      <c r="BA1186" s="29"/>
      <c r="BB1186" s="29"/>
      <c r="BC1186" s="29"/>
      <c r="BD1186" s="29"/>
      <c r="BE1186" s="29"/>
      <c r="BF1186" s="29"/>
      <c r="BG1186" s="29"/>
      <c r="BH1186" s="29"/>
      <c r="BI1186" s="29"/>
      <c r="BJ1186" s="29"/>
      <c r="BK1186" s="29"/>
      <c r="BL1186" s="29"/>
      <c r="BM1186" s="29"/>
      <c r="BN1186" s="20">
        <f t="shared" si="146"/>
        <v>0</v>
      </c>
      <c r="BO1186" s="20">
        <f t="shared" si="147"/>
        <v>0</v>
      </c>
      <c r="BP1186" s="20">
        <f t="shared" si="148"/>
        <v>200</v>
      </c>
      <c r="BQ1186" s="51" t="s">
        <v>1863</v>
      </c>
      <c r="BR1186" s="56"/>
      <c r="BS1186" s="111"/>
      <c r="BT1186" s="36"/>
      <c r="BU1186" s="112"/>
    </row>
    <row r="1187" s="1" customFormat="1" customHeight="1" spans="1:73">
      <c r="A1187" s="15" t="s">
        <v>1818</v>
      </c>
      <c r="B1187" s="15" t="s">
        <v>1855</v>
      </c>
      <c r="C1187" s="16">
        <v>7740</v>
      </c>
      <c r="D1187" s="29"/>
      <c r="E1187" s="30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29"/>
      <c r="AB1187" s="29"/>
      <c r="AC1187" s="29"/>
      <c r="AD1187" s="29"/>
      <c r="AE1187" s="29"/>
      <c r="AF1187" s="29"/>
      <c r="AG1187" s="30"/>
      <c r="AH1187" s="29"/>
      <c r="AI1187" s="29"/>
      <c r="AJ1187" s="29"/>
      <c r="AK1187" s="30"/>
      <c r="AL1187" s="29"/>
      <c r="AM1187" s="29"/>
      <c r="AN1187" s="29"/>
      <c r="AO1187" s="29"/>
      <c r="AP1187" s="29"/>
      <c r="AQ1187" s="29"/>
      <c r="AR1187" s="29"/>
      <c r="AS1187" s="29"/>
      <c r="AT1187" s="29"/>
      <c r="AU1187" s="29"/>
      <c r="AV1187" s="29"/>
      <c r="AW1187" s="29"/>
      <c r="AX1187" s="29"/>
      <c r="AY1187" s="29"/>
      <c r="AZ1187" s="29"/>
      <c r="BA1187" s="29"/>
      <c r="BB1187" s="29"/>
      <c r="BC1187" s="29"/>
      <c r="BD1187" s="29"/>
      <c r="BE1187" s="29"/>
      <c r="BF1187" s="29"/>
      <c r="BG1187" s="29"/>
      <c r="BH1187" s="29"/>
      <c r="BI1187" s="29"/>
      <c r="BJ1187" s="29"/>
      <c r="BK1187" s="29"/>
      <c r="BL1187" s="29"/>
      <c r="BM1187" s="29"/>
      <c r="BN1187" s="20">
        <f t="shared" si="146"/>
        <v>0</v>
      </c>
      <c r="BO1187" s="20">
        <f t="shared" si="147"/>
        <v>0</v>
      </c>
      <c r="BP1187" s="20">
        <f t="shared" si="148"/>
        <v>7740</v>
      </c>
      <c r="BQ1187" s="51" t="s">
        <v>1521</v>
      </c>
      <c r="BR1187" s="56"/>
      <c r="BS1187" s="91" t="s">
        <v>1864</v>
      </c>
      <c r="BT1187" s="36" t="s">
        <v>1865</v>
      </c>
      <c r="BU1187" s="112"/>
    </row>
    <row r="1188" s="1" customFormat="1" customHeight="1" spans="1:73">
      <c r="A1188" s="15" t="s">
        <v>1866</v>
      </c>
      <c r="B1188" s="15" t="s">
        <v>1862</v>
      </c>
      <c r="C1188" s="16">
        <v>554</v>
      </c>
      <c r="D1188" s="29"/>
      <c r="E1188" s="30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29"/>
      <c r="AB1188" s="29"/>
      <c r="AC1188" s="29"/>
      <c r="AD1188" s="29"/>
      <c r="AE1188" s="29"/>
      <c r="AF1188" s="29"/>
      <c r="AG1188" s="30"/>
      <c r="AH1188" s="29"/>
      <c r="AI1188" s="29"/>
      <c r="AJ1188" s="29"/>
      <c r="AK1188" s="30"/>
      <c r="AL1188" s="29"/>
      <c r="AM1188" s="29"/>
      <c r="AN1188" s="29"/>
      <c r="AO1188" s="29"/>
      <c r="AP1188" s="29"/>
      <c r="AQ1188" s="29"/>
      <c r="AR1188" s="29"/>
      <c r="AS1188" s="29"/>
      <c r="AT1188" s="29"/>
      <c r="AU1188" s="29"/>
      <c r="AV1188" s="29"/>
      <c r="AW1188" s="29"/>
      <c r="AX1188" s="29"/>
      <c r="AY1188" s="29"/>
      <c r="AZ1188" s="29"/>
      <c r="BA1188" s="29"/>
      <c r="BB1188" s="29"/>
      <c r="BC1188" s="29"/>
      <c r="BD1188" s="29"/>
      <c r="BE1188" s="29"/>
      <c r="BF1188" s="29"/>
      <c r="BG1188" s="29"/>
      <c r="BH1188" s="29"/>
      <c r="BI1188" s="29"/>
      <c r="BJ1188" s="29"/>
      <c r="BK1188" s="29"/>
      <c r="BL1188" s="29"/>
      <c r="BM1188" s="29"/>
      <c r="BN1188" s="20">
        <f t="shared" si="146"/>
        <v>0</v>
      </c>
      <c r="BO1188" s="20">
        <f t="shared" si="147"/>
        <v>0</v>
      </c>
      <c r="BP1188" s="20">
        <f t="shared" si="148"/>
        <v>554</v>
      </c>
      <c r="BQ1188" s="51" t="s">
        <v>1521</v>
      </c>
      <c r="BR1188" s="56"/>
      <c r="BS1188" s="111"/>
      <c r="BT1188" s="36"/>
      <c r="BU1188" s="112"/>
    </row>
    <row r="1189" s="1" customFormat="1" customHeight="1" spans="1:73">
      <c r="A1189" s="15" t="s">
        <v>1867</v>
      </c>
      <c r="B1189" s="15"/>
      <c r="C1189" s="16">
        <v>35</v>
      </c>
      <c r="D1189" s="29"/>
      <c r="E1189" s="30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29"/>
      <c r="AB1189" s="29"/>
      <c r="AC1189" s="29"/>
      <c r="AD1189" s="29"/>
      <c r="AE1189" s="29"/>
      <c r="AF1189" s="29"/>
      <c r="AG1189" s="30"/>
      <c r="AH1189" s="29"/>
      <c r="AI1189" s="29"/>
      <c r="AJ1189" s="29"/>
      <c r="AK1189" s="30"/>
      <c r="AL1189" s="29"/>
      <c r="AM1189" s="29"/>
      <c r="AN1189" s="29"/>
      <c r="AO1189" s="29"/>
      <c r="AP1189" s="29"/>
      <c r="AQ1189" s="29"/>
      <c r="AR1189" s="29"/>
      <c r="AS1189" s="29"/>
      <c r="AT1189" s="29"/>
      <c r="AU1189" s="29"/>
      <c r="AV1189" s="29"/>
      <c r="AW1189" s="29"/>
      <c r="AX1189" s="29"/>
      <c r="AY1189" s="29"/>
      <c r="AZ1189" s="29"/>
      <c r="BA1189" s="29"/>
      <c r="BB1189" s="29"/>
      <c r="BC1189" s="29"/>
      <c r="BD1189" s="29"/>
      <c r="BE1189" s="29"/>
      <c r="BF1189" s="29"/>
      <c r="BG1189" s="29"/>
      <c r="BH1189" s="29"/>
      <c r="BI1189" s="29"/>
      <c r="BJ1189" s="29"/>
      <c r="BK1189" s="29"/>
      <c r="BL1189" s="29"/>
      <c r="BM1189" s="29"/>
      <c r="BN1189" s="20">
        <f t="shared" si="146"/>
        <v>0</v>
      </c>
      <c r="BO1189" s="20">
        <f t="shared" si="147"/>
        <v>0</v>
      </c>
      <c r="BP1189" s="20">
        <f t="shared" si="148"/>
        <v>35</v>
      </c>
      <c r="BQ1189" s="51"/>
      <c r="BR1189" s="56"/>
      <c r="BS1189" s="111"/>
      <c r="BT1189" s="36"/>
      <c r="BU1189" s="112"/>
    </row>
    <row r="1190" s="1" customFormat="1" customHeight="1" spans="1:73">
      <c r="A1190" s="15" t="s">
        <v>1868</v>
      </c>
      <c r="B1190" s="15" t="s">
        <v>1869</v>
      </c>
      <c r="C1190" s="16">
        <v>2390</v>
      </c>
      <c r="D1190" s="29"/>
      <c r="E1190" s="30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29"/>
      <c r="AB1190" s="29"/>
      <c r="AC1190" s="29"/>
      <c r="AD1190" s="29"/>
      <c r="AE1190" s="29"/>
      <c r="AF1190" s="29"/>
      <c r="AG1190" s="30"/>
      <c r="AH1190" s="29"/>
      <c r="AI1190" s="29"/>
      <c r="AJ1190" s="29"/>
      <c r="AK1190" s="30"/>
      <c r="AL1190" s="29"/>
      <c r="AM1190" s="29"/>
      <c r="AN1190" s="29"/>
      <c r="AO1190" s="29"/>
      <c r="AP1190" s="29"/>
      <c r="AQ1190" s="29"/>
      <c r="AR1190" s="29"/>
      <c r="AS1190" s="29"/>
      <c r="AT1190" s="29"/>
      <c r="AU1190" s="29"/>
      <c r="AV1190" s="29"/>
      <c r="AW1190" s="29"/>
      <c r="AX1190" s="29"/>
      <c r="AY1190" s="29"/>
      <c r="AZ1190" s="29"/>
      <c r="BA1190" s="29"/>
      <c r="BB1190" s="29"/>
      <c r="BC1190" s="29"/>
      <c r="BD1190" s="29"/>
      <c r="BE1190" s="29"/>
      <c r="BF1190" s="29"/>
      <c r="BG1190" s="29"/>
      <c r="BH1190" s="29"/>
      <c r="BI1190" s="29"/>
      <c r="BJ1190" s="29"/>
      <c r="BK1190" s="29"/>
      <c r="BL1190" s="29"/>
      <c r="BM1190" s="29"/>
      <c r="BN1190" s="20">
        <f t="shared" si="146"/>
        <v>0</v>
      </c>
      <c r="BO1190" s="20">
        <f t="shared" si="147"/>
        <v>0</v>
      </c>
      <c r="BP1190" s="20">
        <f t="shared" si="148"/>
        <v>2390</v>
      </c>
      <c r="BQ1190" s="51"/>
      <c r="BR1190" s="56"/>
      <c r="BS1190" s="111"/>
      <c r="BT1190" s="36"/>
      <c r="BU1190" s="112"/>
    </row>
    <row r="1191" s="1" customFormat="1" customHeight="1" spans="1:73">
      <c r="A1191" s="15" t="s">
        <v>1870</v>
      </c>
      <c r="B1191" s="15"/>
      <c r="C1191" s="16">
        <v>1070</v>
      </c>
      <c r="D1191" s="29"/>
      <c r="E1191" s="30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29"/>
      <c r="AB1191" s="29"/>
      <c r="AC1191" s="29"/>
      <c r="AD1191" s="29"/>
      <c r="AE1191" s="29"/>
      <c r="AF1191" s="29"/>
      <c r="AG1191" s="30"/>
      <c r="AH1191" s="29"/>
      <c r="AI1191" s="29"/>
      <c r="AJ1191" s="29"/>
      <c r="AK1191" s="30"/>
      <c r="AL1191" s="29"/>
      <c r="AM1191" s="29"/>
      <c r="AN1191" s="29"/>
      <c r="AO1191" s="29"/>
      <c r="AP1191" s="29"/>
      <c r="AQ1191" s="29"/>
      <c r="AR1191" s="29"/>
      <c r="AS1191" s="29"/>
      <c r="AT1191" s="29"/>
      <c r="AU1191" s="29"/>
      <c r="AV1191" s="29"/>
      <c r="AW1191" s="29"/>
      <c r="AX1191" s="29"/>
      <c r="AY1191" s="29"/>
      <c r="AZ1191" s="29"/>
      <c r="BA1191" s="29"/>
      <c r="BB1191" s="29"/>
      <c r="BC1191" s="29"/>
      <c r="BD1191" s="29"/>
      <c r="BE1191" s="29"/>
      <c r="BF1191" s="29"/>
      <c r="BG1191" s="29"/>
      <c r="BH1191" s="29"/>
      <c r="BI1191" s="29"/>
      <c r="BJ1191" s="29"/>
      <c r="BK1191" s="29"/>
      <c r="BL1191" s="29"/>
      <c r="BM1191" s="29"/>
      <c r="BN1191" s="20">
        <f t="shared" si="146"/>
        <v>0</v>
      </c>
      <c r="BO1191" s="20">
        <f t="shared" si="147"/>
        <v>0</v>
      </c>
      <c r="BP1191" s="20">
        <f t="shared" si="148"/>
        <v>1070</v>
      </c>
      <c r="BQ1191" s="51"/>
      <c r="BR1191" s="56"/>
      <c r="BS1191" s="110" t="s">
        <v>1871</v>
      </c>
      <c r="BT1191" s="36"/>
      <c r="BU1191" s="112"/>
    </row>
    <row r="1192" s="1" customFormat="1" customHeight="1" spans="1:73">
      <c r="A1192" s="15" t="s">
        <v>1872</v>
      </c>
      <c r="B1192" s="15"/>
      <c r="C1192" s="16">
        <v>430</v>
      </c>
      <c r="D1192" s="29"/>
      <c r="E1192" s="30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29"/>
      <c r="AB1192" s="29"/>
      <c r="AC1192" s="29"/>
      <c r="AD1192" s="29"/>
      <c r="AE1192" s="29"/>
      <c r="AF1192" s="29"/>
      <c r="AG1192" s="30"/>
      <c r="AH1192" s="29"/>
      <c r="AI1192" s="29"/>
      <c r="AJ1192" s="29"/>
      <c r="AK1192" s="30"/>
      <c r="AL1192" s="29"/>
      <c r="AM1192" s="29"/>
      <c r="AN1192" s="29"/>
      <c r="AO1192" s="29"/>
      <c r="AP1192" s="29"/>
      <c r="AQ1192" s="29"/>
      <c r="AR1192" s="29"/>
      <c r="AS1192" s="29"/>
      <c r="AT1192" s="29"/>
      <c r="AU1192" s="29"/>
      <c r="AV1192" s="29"/>
      <c r="AW1192" s="29"/>
      <c r="AX1192" s="29"/>
      <c r="AY1192" s="29"/>
      <c r="AZ1192" s="29"/>
      <c r="BA1192" s="29"/>
      <c r="BB1192" s="29"/>
      <c r="BC1192" s="29"/>
      <c r="BD1192" s="29"/>
      <c r="BE1192" s="29"/>
      <c r="BF1192" s="29"/>
      <c r="BG1192" s="29"/>
      <c r="BH1192" s="29"/>
      <c r="BI1192" s="29"/>
      <c r="BJ1192" s="29"/>
      <c r="BK1192" s="29"/>
      <c r="BL1192" s="29"/>
      <c r="BM1192" s="29"/>
      <c r="BN1192" s="20">
        <f t="shared" si="146"/>
        <v>0</v>
      </c>
      <c r="BO1192" s="20">
        <f t="shared" si="147"/>
        <v>0</v>
      </c>
      <c r="BP1192" s="20">
        <f t="shared" si="148"/>
        <v>430</v>
      </c>
      <c r="BQ1192" s="51"/>
      <c r="BR1192" s="56"/>
      <c r="BS1192" s="111"/>
      <c r="BT1192" s="36"/>
      <c r="BU1192" s="112"/>
    </row>
    <row r="1193" s="1" customFormat="1" customHeight="1" spans="1:73">
      <c r="A1193" s="15" t="s">
        <v>1873</v>
      </c>
      <c r="B1193" s="15"/>
      <c r="C1193" s="16">
        <v>16</v>
      </c>
      <c r="D1193" s="29"/>
      <c r="E1193" s="30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29"/>
      <c r="AB1193" s="29"/>
      <c r="AC1193" s="29"/>
      <c r="AD1193" s="29"/>
      <c r="AE1193" s="29"/>
      <c r="AF1193" s="29"/>
      <c r="AG1193" s="30"/>
      <c r="AH1193" s="29"/>
      <c r="AI1193" s="29"/>
      <c r="AJ1193" s="29"/>
      <c r="AK1193" s="30"/>
      <c r="AL1193" s="29"/>
      <c r="AM1193" s="29"/>
      <c r="AN1193" s="29"/>
      <c r="AO1193" s="29"/>
      <c r="AP1193" s="29"/>
      <c r="AQ1193" s="29"/>
      <c r="AR1193" s="29"/>
      <c r="AS1193" s="29"/>
      <c r="AT1193" s="29"/>
      <c r="AU1193" s="29"/>
      <c r="AV1193" s="29"/>
      <c r="AW1193" s="29"/>
      <c r="AX1193" s="29"/>
      <c r="AY1193" s="29"/>
      <c r="AZ1193" s="29"/>
      <c r="BA1193" s="29"/>
      <c r="BB1193" s="29"/>
      <c r="BC1193" s="29"/>
      <c r="BD1193" s="29"/>
      <c r="BE1193" s="29"/>
      <c r="BF1193" s="29"/>
      <c r="BG1193" s="29"/>
      <c r="BH1193" s="29"/>
      <c r="BI1193" s="29"/>
      <c r="BJ1193" s="29"/>
      <c r="BK1193" s="29"/>
      <c r="BL1193" s="29"/>
      <c r="BM1193" s="29"/>
      <c r="BN1193" s="20">
        <f t="shared" ref="BN1193:BN1256" si="149">D1193+F1193+H1193+J1193+L1193+N1193+P1193+R1193+T1193+V1193+X1193+Z1193+AB1193+AD1193+AF1193+AH1193+AJ1193+AL1193+AN1193+AP1193+AR1193+AT1193+AV1193+AX1193+AZ1193+BB1193+BD1193+BF1193+BH1193+BJ1193+BL1193</f>
        <v>0</v>
      </c>
      <c r="BO1193" s="20">
        <f t="shared" ref="BO1193:BO1256" si="150">E1193+G1193+I1193+K1193+M1193+O1193+Q1193+S1193+U1193+W1193+Y1193+AA1193+AC1193+AE1193+AG1193+AI1193+AK1193+AM1193+AO1193+AQ1193+AS1193+AU1193+AW1193+AY1193+BA1193+BC1193+BE1193+BG1193+BI1193+BK1193+BM1193</f>
        <v>0</v>
      </c>
      <c r="BP1193" s="20">
        <f t="shared" ref="BP1193:BP1256" si="151">C1193+BN1193-BO1193</f>
        <v>16</v>
      </c>
      <c r="BQ1193" s="51"/>
      <c r="BR1193" s="56"/>
      <c r="BS1193" s="111"/>
      <c r="BT1193" s="36"/>
      <c r="BU1193" s="112"/>
    </row>
    <row r="1194" s="1" customFormat="1" customHeight="1" spans="1:73">
      <c r="A1194" s="15" t="s">
        <v>1874</v>
      </c>
      <c r="B1194" s="15"/>
      <c r="C1194" s="16">
        <v>500</v>
      </c>
      <c r="D1194" s="29"/>
      <c r="E1194" s="30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29"/>
      <c r="AB1194" s="29"/>
      <c r="AC1194" s="29"/>
      <c r="AD1194" s="29"/>
      <c r="AE1194" s="29"/>
      <c r="AF1194" s="29"/>
      <c r="AG1194" s="30"/>
      <c r="AH1194" s="29"/>
      <c r="AI1194" s="29"/>
      <c r="AJ1194" s="29"/>
      <c r="AK1194" s="30"/>
      <c r="AL1194" s="29"/>
      <c r="AM1194" s="29"/>
      <c r="AN1194" s="29"/>
      <c r="AO1194" s="29"/>
      <c r="AP1194" s="29"/>
      <c r="AQ1194" s="29"/>
      <c r="AR1194" s="29"/>
      <c r="AS1194" s="29"/>
      <c r="AT1194" s="29"/>
      <c r="AU1194" s="29"/>
      <c r="AV1194" s="29"/>
      <c r="AW1194" s="29"/>
      <c r="AX1194" s="29"/>
      <c r="AY1194" s="29"/>
      <c r="AZ1194" s="29"/>
      <c r="BA1194" s="29"/>
      <c r="BB1194" s="29"/>
      <c r="BC1194" s="29"/>
      <c r="BD1194" s="29"/>
      <c r="BE1194" s="29"/>
      <c r="BF1194" s="29"/>
      <c r="BG1194" s="29"/>
      <c r="BH1194" s="29"/>
      <c r="BI1194" s="29"/>
      <c r="BJ1194" s="29"/>
      <c r="BK1194" s="29"/>
      <c r="BL1194" s="29"/>
      <c r="BM1194" s="29"/>
      <c r="BN1194" s="20">
        <f t="shared" si="149"/>
        <v>0</v>
      </c>
      <c r="BO1194" s="20">
        <f t="shared" si="150"/>
        <v>0</v>
      </c>
      <c r="BP1194" s="20">
        <f t="shared" si="151"/>
        <v>500</v>
      </c>
      <c r="BQ1194" s="51"/>
      <c r="BR1194" s="56"/>
      <c r="BS1194" s="111"/>
      <c r="BT1194" s="36"/>
      <c r="BU1194" s="112"/>
    </row>
    <row r="1195" s="1" customFormat="1" customHeight="1" spans="1:73">
      <c r="A1195" s="15" t="s">
        <v>1875</v>
      </c>
      <c r="B1195" s="15"/>
      <c r="C1195" s="16">
        <v>376</v>
      </c>
      <c r="D1195" s="29"/>
      <c r="E1195" s="30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29"/>
      <c r="AB1195" s="29"/>
      <c r="AC1195" s="29"/>
      <c r="AD1195" s="29"/>
      <c r="AE1195" s="29"/>
      <c r="AF1195" s="29"/>
      <c r="AG1195" s="30"/>
      <c r="AH1195" s="29"/>
      <c r="AI1195" s="29"/>
      <c r="AJ1195" s="29"/>
      <c r="AK1195" s="30"/>
      <c r="AL1195" s="29"/>
      <c r="AM1195" s="29"/>
      <c r="AN1195" s="29"/>
      <c r="AO1195" s="29"/>
      <c r="AP1195" s="29"/>
      <c r="AQ1195" s="29"/>
      <c r="AR1195" s="29"/>
      <c r="AS1195" s="29"/>
      <c r="AT1195" s="29"/>
      <c r="AU1195" s="29"/>
      <c r="AV1195" s="29"/>
      <c r="AW1195" s="29"/>
      <c r="AX1195" s="29"/>
      <c r="AY1195" s="29"/>
      <c r="AZ1195" s="29"/>
      <c r="BA1195" s="29"/>
      <c r="BB1195" s="29"/>
      <c r="BC1195" s="29"/>
      <c r="BD1195" s="29"/>
      <c r="BE1195" s="29"/>
      <c r="BF1195" s="29"/>
      <c r="BG1195" s="29"/>
      <c r="BH1195" s="29"/>
      <c r="BI1195" s="29"/>
      <c r="BJ1195" s="29"/>
      <c r="BK1195" s="29"/>
      <c r="BL1195" s="29"/>
      <c r="BM1195" s="29"/>
      <c r="BN1195" s="20">
        <f t="shared" si="149"/>
        <v>0</v>
      </c>
      <c r="BO1195" s="20">
        <f t="shared" si="150"/>
        <v>0</v>
      </c>
      <c r="BP1195" s="20">
        <f t="shared" si="151"/>
        <v>376</v>
      </c>
      <c r="BQ1195" s="51"/>
      <c r="BR1195" s="56"/>
      <c r="BS1195" s="111"/>
      <c r="BT1195" s="36"/>
      <c r="BU1195" s="112"/>
    </row>
    <row r="1196" s="1" customFormat="1" customHeight="1" spans="1:73">
      <c r="A1196" s="15" t="s">
        <v>1876</v>
      </c>
      <c r="B1196" s="15"/>
      <c r="C1196" s="16">
        <v>555</v>
      </c>
      <c r="D1196" s="29"/>
      <c r="E1196" s="30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29"/>
      <c r="AB1196" s="29"/>
      <c r="AC1196" s="29"/>
      <c r="AD1196" s="29"/>
      <c r="AE1196" s="29"/>
      <c r="AF1196" s="29"/>
      <c r="AG1196" s="30"/>
      <c r="AH1196" s="29"/>
      <c r="AI1196" s="29"/>
      <c r="AJ1196" s="29"/>
      <c r="AK1196" s="30"/>
      <c r="AL1196" s="29"/>
      <c r="AM1196" s="29"/>
      <c r="AN1196" s="29"/>
      <c r="AO1196" s="29"/>
      <c r="AP1196" s="29"/>
      <c r="AQ1196" s="29"/>
      <c r="AR1196" s="29"/>
      <c r="AS1196" s="29"/>
      <c r="AT1196" s="29"/>
      <c r="AU1196" s="29"/>
      <c r="AV1196" s="29"/>
      <c r="AW1196" s="29"/>
      <c r="AX1196" s="29"/>
      <c r="AY1196" s="29"/>
      <c r="AZ1196" s="29"/>
      <c r="BA1196" s="29"/>
      <c r="BB1196" s="29"/>
      <c r="BC1196" s="29"/>
      <c r="BD1196" s="29"/>
      <c r="BE1196" s="29"/>
      <c r="BF1196" s="29"/>
      <c r="BG1196" s="29"/>
      <c r="BH1196" s="29"/>
      <c r="BI1196" s="29"/>
      <c r="BJ1196" s="29"/>
      <c r="BK1196" s="29"/>
      <c r="BL1196" s="29"/>
      <c r="BM1196" s="29"/>
      <c r="BN1196" s="20">
        <f t="shared" si="149"/>
        <v>0</v>
      </c>
      <c r="BO1196" s="20">
        <f t="shared" si="150"/>
        <v>0</v>
      </c>
      <c r="BP1196" s="20">
        <f t="shared" si="151"/>
        <v>555</v>
      </c>
      <c r="BQ1196" s="51"/>
      <c r="BR1196" s="56"/>
      <c r="BS1196" s="111"/>
      <c r="BT1196" s="36"/>
      <c r="BU1196" s="112"/>
    </row>
    <row r="1197" s="1" customFormat="1" customHeight="1" spans="1:73">
      <c r="A1197" s="15" t="s">
        <v>1877</v>
      </c>
      <c r="B1197" s="15"/>
      <c r="C1197" s="16">
        <v>177</v>
      </c>
      <c r="D1197" s="29"/>
      <c r="E1197" s="30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29"/>
      <c r="AB1197" s="29"/>
      <c r="AC1197" s="29"/>
      <c r="AD1197" s="29"/>
      <c r="AE1197" s="29"/>
      <c r="AF1197" s="29"/>
      <c r="AG1197" s="30"/>
      <c r="AH1197" s="29"/>
      <c r="AI1197" s="29"/>
      <c r="AJ1197" s="29"/>
      <c r="AK1197" s="30"/>
      <c r="AL1197" s="29"/>
      <c r="AM1197" s="29"/>
      <c r="AN1197" s="29"/>
      <c r="AO1197" s="29"/>
      <c r="AP1197" s="29"/>
      <c r="AQ1197" s="29"/>
      <c r="AR1197" s="29"/>
      <c r="AS1197" s="29"/>
      <c r="AT1197" s="29"/>
      <c r="AU1197" s="29"/>
      <c r="AV1197" s="29"/>
      <c r="AW1197" s="29"/>
      <c r="AX1197" s="29"/>
      <c r="AY1197" s="29"/>
      <c r="AZ1197" s="29"/>
      <c r="BA1197" s="29"/>
      <c r="BB1197" s="29"/>
      <c r="BC1197" s="29"/>
      <c r="BD1197" s="29"/>
      <c r="BE1197" s="29"/>
      <c r="BF1197" s="29"/>
      <c r="BG1197" s="29"/>
      <c r="BH1197" s="29"/>
      <c r="BI1197" s="29"/>
      <c r="BJ1197" s="29"/>
      <c r="BK1197" s="29"/>
      <c r="BL1197" s="29"/>
      <c r="BM1197" s="29"/>
      <c r="BN1197" s="20">
        <f t="shared" si="149"/>
        <v>0</v>
      </c>
      <c r="BO1197" s="20">
        <f t="shared" si="150"/>
        <v>0</v>
      </c>
      <c r="BP1197" s="20">
        <f t="shared" si="151"/>
        <v>177</v>
      </c>
      <c r="BQ1197" s="51"/>
      <c r="BR1197" s="56"/>
      <c r="BS1197" s="111"/>
      <c r="BT1197" s="36"/>
      <c r="BU1197" s="112"/>
    </row>
    <row r="1198" s="1" customFormat="1" customHeight="1" spans="1:73">
      <c r="A1198" s="15" t="s">
        <v>1878</v>
      </c>
      <c r="B1198" s="15"/>
      <c r="C1198" s="16">
        <v>393</v>
      </c>
      <c r="D1198" s="29"/>
      <c r="E1198" s="30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29"/>
      <c r="X1198" s="29"/>
      <c r="Y1198" s="29"/>
      <c r="Z1198" s="29"/>
      <c r="AA1198" s="29"/>
      <c r="AB1198" s="29"/>
      <c r="AC1198" s="29"/>
      <c r="AD1198" s="29"/>
      <c r="AE1198" s="29"/>
      <c r="AF1198" s="29"/>
      <c r="AG1198" s="30"/>
      <c r="AH1198" s="29"/>
      <c r="AI1198" s="29"/>
      <c r="AJ1198" s="29"/>
      <c r="AK1198" s="30"/>
      <c r="AL1198" s="29"/>
      <c r="AM1198" s="29"/>
      <c r="AN1198" s="29"/>
      <c r="AO1198" s="29"/>
      <c r="AP1198" s="29"/>
      <c r="AQ1198" s="29"/>
      <c r="AR1198" s="29"/>
      <c r="AS1198" s="29"/>
      <c r="AT1198" s="29"/>
      <c r="AU1198" s="29"/>
      <c r="AV1198" s="29"/>
      <c r="AW1198" s="29"/>
      <c r="AX1198" s="29"/>
      <c r="AY1198" s="30"/>
      <c r="AZ1198" s="29"/>
      <c r="BA1198" s="29"/>
      <c r="BB1198" s="29"/>
      <c r="BC1198" s="29"/>
      <c r="BD1198" s="29"/>
      <c r="BE1198" s="29"/>
      <c r="BF1198" s="29"/>
      <c r="BG1198" s="29"/>
      <c r="BH1198" s="29"/>
      <c r="BI1198" s="29"/>
      <c r="BJ1198" s="29"/>
      <c r="BK1198" s="29"/>
      <c r="BL1198" s="29"/>
      <c r="BM1198" s="29"/>
      <c r="BN1198" s="20">
        <f t="shared" si="149"/>
        <v>0</v>
      </c>
      <c r="BO1198" s="20">
        <f t="shared" si="150"/>
        <v>0</v>
      </c>
      <c r="BP1198" s="20">
        <f t="shared" si="151"/>
        <v>393</v>
      </c>
      <c r="BQ1198" s="51"/>
      <c r="BR1198" s="56"/>
      <c r="BS1198" s="111"/>
      <c r="BT1198" s="36" t="s">
        <v>1879</v>
      </c>
      <c r="BU1198" s="112"/>
    </row>
    <row r="1199" s="1" customFormat="1" customHeight="1" spans="1:73">
      <c r="A1199" s="15" t="s">
        <v>1880</v>
      </c>
      <c r="B1199" s="15"/>
      <c r="C1199" s="16">
        <v>248</v>
      </c>
      <c r="D1199" s="29"/>
      <c r="E1199" s="30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29"/>
      <c r="X1199" s="29"/>
      <c r="Y1199" s="29"/>
      <c r="Z1199" s="29"/>
      <c r="AA1199" s="29"/>
      <c r="AB1199" s="29"/>
      <c r="AC1199" s="29"/>
      <c r="AD1199" s="29"/>
      <c r="AE1199" s="29"/>
      <c r="AF1199" s="29"/>
      <c r="AG1199" s="30"/>
      <c r="AH1199" s="29"/>
      <c r="AI1199" s="29"/>
      <c r="AJ1199" s="29"/>
      <c r="AK1199" s="30"/>
      <c r="AL1199" s="29"/>
      <c r="AM1199" s="29"/>
      <c r="AN1199" s="29"/>
      <c r="AO1199" s="29"/>
      <c r="AP1199" s="29"/>
      <c r="AQ1199" s="29"/>
      <c r="AR1199" s="29"/>
      <c r="AS1199" s="29"/>
      <c r="AT1199" s="29"/>
      <c r="AU1199" s="29"/>
      <c r="AV1199" s="29"/>
      <c r="AW1199" s="29"/>
      <c r="AX1199" s="29"/>
      <c r="AY1199" s="30"/>
      <c r="AZ1199" s="29"/>
      <c r="BA1199" s="29"/>
      <c r="BB1199" s="29"/>
      <c r="BC1199" s="29"/>
      <c r="BD1199" s="29"/>
      <c r="BE1199" s="29"/>
      <c r="BF1199" s="29"/>
      <c r="BG1199" s="29"/>
      <c r="BH1199" s="29"/>
      <c r="BI1199" s="29"/>
      <c r="BJ1199" s="29"/>
      <c r="BK1199" s="29"/>
      <c r="BL1199" s="29"/>
      <c r="BM1199" s="29"/>
      <c r="BN1199" s="20">
        <f t="shared" si="149"/>
        <v>0</v>
      </c>
      <c r="BO1199" s="20">
        <f t="shared" si="150"/>
        <v>0</v>
      </c>
      <c r="BP1199" s="20">
        <f t="shared" si="151"/>
        <v>248</v>
      </c>
      <c r="BQ1199" s="51"/>
      <c r="BR1199" s="56"/>
      <c r="BS1199" s="111"/>
      <c r="BT1199" s="36" t="s">
        <v>1879</v>
      </c>
      <c r="BU1199" s="112"/>
    </row>
    <row r="1200" s="1" customFormat="1" customHeight="1" spans="1:73">
      <c r="A1200" s="15" t="s">
        <v>1881</v>
      </c>
      <c r="B1200" s="15"/>
      <c r="C1200" s="16">
        <v>32</v>
      </c>
      <c r="D1200" s="29"/>
      <c r="E1200" s="30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29"/>
      <c r="X1200" s="29"/>
      <c r="Y1200" s="29"/>
      <c r="Z1200" s="29"/>
      <c r="AA1200" s="29"/>
      <c r="AB1200" s="29"/>
      <c r="AC1200" s="29"/>
      <c r="AD1200" s="29"/>
      <c r="AE1200" s="29"/>
      <c r="AF1200" s="29"/>
      <c r="AG1200" s="30"/>
      <c r="AH1200" s="29"/>
      <c r="AI1200" s="29"/>
      <c r="AJ1200" s="29"/>
      <c r="AK1200" s="30"/>
      <c r="AL1200" s="29"/>
      <c r="AM1200" s="29"/>
      <c r="AN1200" s="29"/>
      <c r="AO1200" s="29"/>
      <c r="AP1200" s="29"/>
      <c r="AQ1200" s="29"/>
      <c r="AR1200" s="29"/>
      <c r="AS1200" s="29"/>
      <c r="AT1200" s="29"/>
      <c r="AU1200" s="29"/>
      <c r="AV1200" s="29"/>
      <c r="AW1200" s="29"/>
      <c r="AX1200" s="29"/>
      <c r="AY1200" s="29"/>
      <c r="AZ1200" s="29"/>
      <c r="BA1200" s="29"/>
      <c r="BB1200" s="29"/>
      <c r="BC1200" s="29"/>
      <c r="BD1200" s="29"/>
      <c r="BE1200" s="29"/>
      <c r="BF1200" s="29"/>
      <c r="BG1200" s="29"/>
      <c r="BH1200" s="29"/>
      <c r="BI1200" s="29"/>
      <c r="BJ1200" s="29"/>
      <c r="BK1200" s="29"/>
      <c r="BL1200" s="29"/>
      <c r="BM1200" s="29"/>
      <c r="BN1200" s="20">
        <f t="shared" si="149"/>
        <v>0</v>
      </c>
      <c r="BO1200" s="20">
        <f t="shared" si="150"/>
        <v>0</v>
      </c>
      <c r="BP1200" s="20">
        <f t="shared" si="151"/>
        <v>32</v>
      </c>
      <c r="BQ1200" s="51"/>
      <c r="BR1200" s="56"/>
      <c r="BS1200" s="111"/>
      <c r="BT1200" s="36"/>
      <c r="BU1200" s="112"/>
    </row>
    <row r="1201" s="1" customFormat="1" customHeight="1" spans="1:73">
      <c r="A1201" s="15" t="s">
        <v>1882</v>
      </c>
      <c r="B1201" s="15"/>
      <c r="C1201" s="16">
        <v>1006</v>
      </c>
      <c r="D1201" s="29"/>
      <c r="E1201" s="30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29"/>
      <c r="X1201" s="29"/>
      <c r="Y1201" s="29"/>
      <c r="Z1201" s="29"/>
      <c r="AA1201" s="29"/>
      <c r="AB1201" s="29"/>
      <c r="AC1201" s="29"/>
      <c r="AD1201" s="29"/>
      <c r="AE1201" s="29"/>
      <c r="AF1201" s="29"/>
      <c r="AG1201" s="30"/>
      <c r="AH1201" s="29"/>
      <c r="AI1201" s="29"/>
      <c r="AJ1201" s="29"/>
      <c r="AK1201" s="30"/>
      <c r="AL1201" s="29"/>
      <c r="AM1201" s="29"/>
      <c r="AN1201" s="29"/>
      <c r="AO1201" s="29"/>
      <c r="AP1201" s="29"/>
      <c r="AQ1201" s="29"/>
      <c r="AR1201" s="29"/>
      <c r="AS1201" s="29"/>
      <c r="AT1201" s="29"/>
      <c r="AU1201" s="29"/>
      <c r="AV1201" s="29"/>
      <c r="AW1201" s="29"/>
      <c r="AX1201" s="29"/>
      <c r="AY1201" s="29"/>
      <c r="AZ1201" s="29"/>
      <c r="BA1201" s="29"/>
      <c r="BB1201" s="29"/>
      <c r="BC1201" s="29"/>
      <c r="BD1201" s="29"/>
      <c r="BE1201" s="29"/>
      <c r="BF1201" s="29"/>
      <c r="BG1201" s="29"/>
      <c r="BH1201" s="29"/>
      <c r="BI1201" s="29"/>
      <c r="BJ1201" s="29"/>
      <c r="BK1201" s="29"/>
      <c r="BL1201" s="29"/>
      <c r="BM1201" s="29"/>
      <c r="BN1201" s="20">
        <f t="shared" si="149"/>
        <v>0</v>
      </c>
      <c r="BO1201" s="20">
        <f t="shared" si="150"/>
        <v>0</v>
      </c>
      <c r="BP1201" s="20">
        <f t="shared" si="151"/>
        <v>1006</v>
      </c>
      <c r="BQ1201" s="51"/>
      <c r="BR1201" s="56"/>
      <c r="BS1201" s="111"/>
      <c r="BT1201" s="185" t="s">
        <v>1883</v>
      </c>
      <c r="BU1201" s="112"/>
    </row>
    <row r="1202" s="1" customFormat="1" customHeight="1" spans="1:73">
      <c r="A1202" s="15" t="s">
        <v>1884</v>
      </c>
      <c r="B1202" s="15"/>
      <c r="C1202" s="16">
        <v>655</v>
      </c>
      <c r="D1202" s="29"/>
      <c r="E1202" s="30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29"/>
      <c r="X1202" s="29"/>
      <c r="Y1202" s="29"/>
      <c r="Z1202" s="29"/>
      <c r="AA1202" s="29"/>
      <c r="AB1202" s="29"/>
      <c r="AC1202" s="29"/>
      <c r="AD1202" s="29"/>
      <c r="AE1202" s="29"/>
      <c r="AF1202" s="29"/>
      <c r="AG1202" s="30"/>
      <c r="AH1202" s="29"/>
      <c r="AI1202" s="29"/>
      <c r="AJ1202" s="29"/>
      <c r="AK1202" s="30"/>
      <c r="AL1202" s="29"/>
      <c r="AM1202" s="29"/>
      <c r="AN1202" s="29"/>
      <c r="AO1202" s="29"/>
      <c r="AP1202" s="29"/>
      <c r="AQ1202" s="29"/>
      <c r="AR1202" s="29"/>
      <c r="AS1202" s="29"/>
      <c r="AT1202" s="29"/>
      <c r="AU1202" s="29"/>
      <c r="AV1202" s="29"/>
      <c r="AW1202" s="29"/>
      <c r="AX1202" s="29"/>
      <c r="AY1202" s="29"/>
      <c r="AZ1202" s="29"/>
      <c r="BA1202" s="29"/>
      <c r="BB1202" s="29"/>
      <c r="BC1202" s="29"/>
      <c r="BD1202" s="29"/>
      <c r="BE1202" s="29"/>
      <c r="BF1202" s="29"/>
      <c r="BG1202" s="29"/>
      <c r="BH1202" s="29"/>
      <c r="BI1202" s="29"/>
      <c r="BJ1202" s="29"/>
      <c r="BK1202" s="29"/>
      <c r="BL1202" s="29"/>
      <c r="BM1202" s="29"/>
      <c r="BN1202" s="20">
        <f t="shared" si="149"/>
        <v>0</v>
      </c>
      <c r="BO1202" s="20">
        <f t="shared" si="150"/>
        <v>0</v>
      </c>
      <c r="BP1202" s="20">
        <f t="shared" si="151"/>
        <v>655</v>
      </c>
      <c r="BQ1202" s="51"/>
      <c r="BR1202" s="56"/>
      <c r="BS1202" s="111"/>
      <c r="BT1202" s="36"/>
      <c r="BU1202" s="112"/>
    </row>
    <row r="1203" s="1" customFormat="1" customHeight="1" spans="1:73">
      <c r="A1203" s="15" t="s">
        <v>1885</v>
      </c>
      <c r="B1203" s="15"/>
      <c r="C1203" s="16">
        <v>900</v>
      </c>
      <c r="D1203" s="29"/>
      <c r="E1203" s="30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29"/>
      <c r="X1203" s="29"/>
      <c r="Y1203" s="29"/>
      <c r="Z1203" s="29"/>
      <c r="AA1203" s="29"/>
      <c r="AB1203" s="29"/>
      <c r="AC1203" s="29"/>
      <c r="AD1203" s="29"/>
      <c r="AE1203" s="29"/>
      <c r="AF1203" s="29"/>
      <c r="AG1203" s="30"/>
      <c r="AH1203" s="29"/>
      <c r="AI1203" s="29"/>
      <c r="AJ1203" s="29"/>
      <c r="AK1203" s="30"/>
      <c r="AL1203" s="29"/>
      <c r="AM1203" s="29"/>
      <c r="AN1203" s="29"/>
      <c r="AO1203" s="29"/>
      <c r="AP1203" s="29"/>
      <c r="AQ1203" s="29"/>
      <c r="AR1203" s="29"/>
      <c r="AS1203" s="29"/>
      <c r="AT1203" s="29"/>
      <c r="AU1203" s="29"/>
      <c r="AV1203" s="29"/>
      <c r="AW1203" s="29"/>
      <c r="AX1203" s="29"/>
      <c r="AY1203" s="29"/>
      <c r="AZ1203" s="29"/>
      <c r="BA1203" s="29"/>
      <c r="BB1203" s="29"/>
      <c r="BC1203" s="29"/>
      <c r="BD1203" s="29"/>
      <c r="BE1203" s="29"/>
      <c r="BF1203" s="29"/>
      <c r="BG1203" s="29"/>
      <c r="BH1203" s="29"/>
      <c r="BI1203" s="29"/>
      <c r="BJ1203" s="29"/>
      <c r="BK1203" s="29"/>
      <c r="BL1203" s="29"/>
      <c r="BM1203" s="29"/>
      <c r="BN1203" s="20">
        <f t="shared" si="149"/>
        <v>0</v>
      </c>
      <c r="BO1203" s="20">
        <f t="shared" si="150"/>
        <v>0</v>
      </c>
      <c r="BP1203" s="20">
        <f t="shared" si="151"/>
        <v>900</v>
      </c>
      <c r="BQ1203" s="51"/>
      <c r="BR1203" s="56"/>
      <c r="BS1203" s="111"/>
      <c r="BT1203" s="36"/>
      <c r="BU1203" s="112"/>
    </row>
    <row r="1204" s="1" customFormat="1" customHeight="1" spans="1:73">
      <c r="A1204" s="186" t="s">
        <v>1886</v>
      </c>
      <c r="B1204" s="15"/>
      <c r="C1204" s="16">
        <v>436</v>
      </c>
      <c r="D1204" s="29"/>
      <c r="E1204" s="30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29"/>
      <c r="X1204" s="29"/>
      <c r="Y1204" s="29"/>
      <c r="Z1204" s="29"/>
      <c r="AA1204" s="29"/>
      <c r="AB1204" s="29"/>
      <c r="AC1204" s="29"/>
      <c r="AD1204" s="29"/>
      <c r="AE1204" s="29"/>
      <c r="AF1204" s="29"/>
      <c r="AG1204" s="30"/>
      <c r="AH1204" s="29"/>
      <c r="AI1204" s="29"/>
      <c r="AJ1204" s="29"/>
      <c r="AK1204" s="30"/>
      <c r="AL1204" s="29"/>
      <c r="AM1204" s="29"/>
      <c r="AN1204" s="29"/>
      <c r="AO1204" s="29"/>
      <c r="AP1204" s="29"/>
      <c r="AQ1204" s="29"/>
      <c r="AR1204" s="29"/>
      <c r="AS1204" s="29"/>
      <c r="AT1204" s="29"/>
      <c r="AU1204" s="29"/>
      <c r="AV1204" s="29"/>
      <c r="AW1204" s="29"/>
      <c r="AX1204" s="29"/>
      <c r="AY1204" s="29"/>
      <c r="AZ1204" s="29"/>
      <c r="BA1204" s="29"/>
      <c r="BB1204" s="29"/>
      <c r="BC1204" s="29"/>
      <c r="BD1204" s="29"/>
      <c r="BE1204" s="29"/>
      <c r="BF1204" s="29"/>
      <c r="BG1204" s="29"/>
      <c r="BH1204" s="29"/>
      <c r="BI1204" s="29"/>
      <c r="BJ1204" s="29"/>
      <c r="BK1204" s="29"/>
      <c r="BL1204" s="29"/>
      <c r="BM1204" s="29"/>
      <c r="BN1204" s="20">
        <f t="shared" si="149"/>
        <v>0</v>
      </c>
      <c r="BO1204" s="20">
        <f t="shared" si="150"/>
        <v>0</v>
      </c>
      <c r="BP1204" s="20">
        <f t="shared" si="151"/>
        <v>436</v>
      </c>
      <c r="BQ1204" s="51"/>
      <c r="BR1204" s="56"/>
      <c r="BS1204" s="111"/>
      <c r="BT1204" s="36"/>
      <c r="BU1204" s="112"/>
    </row>
    <row r="1205" s="1" customFormat="1" customHeight="1" spans="1:73">
      <c r="A1205" s="15" t="s">
        <v>1887</v>
      </c>
      <c r="B1205" s="15"/>
      <c r="C1205" s="16">
        <v>440</v>
      </c>
      <c r="D1205" s="29"/>
      <c r="E1205" s="30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29"/>
      <c r="X1205" s="29"/>
      <c r="Y1205" s="29"/>
      <c r="Z1205" s="29"/>
      <c r="AA1205" s="29"/>
      <c r="AB1205" s="29"/>
      <c r="AC1205" s="29"/>
      <c r="AD1205" s="29"/>
      <c r="AE1205" s="29"/>
      <c r="AF1205" s="29"/>
      <c r="AG1205" s="30"/>
      <c r="AH1205" s="29"/>
      <c r="AI1205" s="29"/>
      <c r="AJ1205" s="29"/>
      <c r="AK1205" s="30"/>
      <c r="AL1205" s="29"/>
      <c r="AM1205" s="29"/>
      <c r="AN1205" s="29"/>
      <c r="AO1205" s="29"/>
      <c r="AP1205" s="29"/>
      <c r="AQ1205" s="29"/>
      <c r="AR1205" s="29"/>
      <c r="AS1205" s="29"/>
      <c r="AT1205" s="29"/>
      <c r="AU1205" s="29"/>
      <c r="AV1205" s="29"/>
      <c r="AW1205" s="29"/>
      <c r="AX1205" s="29"/>
      <c r="AY1205" s="29"/>
      <c r="AZ1205" s="29"/>
      <c r="BA1205" s="29"/>
      <c r="BB1205" s="29"/>
      <c r="BC1205" s="29"/>
      <c r="BD1205" s="29"/>
      <c r="BE1205" s="29"/>
      <c r="BF1205" s="29"/>
      <c r="BG1205" s="29"/>
      <c r="BH1205" s="29"/>
      <c r="BI1205" s="29"/>
      <c r="BJ1205" s="29"/>
      <c r="BK1205" s="29"/>
      <c r="BL1205" s="29"/>
      <c r="BM1205" s="29"/>
      <c r="BN1205" s="20">
        <f t="shared" si="149"/>
        <v>0</v>
      </c>
      <c r="BO1205" s="20">
        <f t="shared" si="150"/>
        <v>0</v>
      </c>
      <c r="BP1205" s="20">
        <f t="shared" si="151"/>
        <v>440</v>
      </c>
      <c r="BQ1205" s="51"/>
      <c r="BR1205" s="56"/>
      <c r="BS1205" s="111"/>
      <c r="BT1205" s="36"/>
      <c r="BU1205" s="112"/>
    </row>
    <row r="1206" s="1" customFormat="1" customHeight="1" spans="1:73">
      <c r="A1206" s="15" t="s">
        <v>1888</v>
      </c>
      <c r="B1206" s="15"/>
      <c r="C1206" s="16">
        <v>16</v>
      </c>
      <c r="D1206" s="29"/>
      <c r="E1206" s="30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29"/>
      <c r="X1206" s="29"/>
      <c r="Y1206" s="29"/>
      <c r="Z1206" s="29"/>
      <c r="AA1206" s="29"/>
      <c r="AB1206" s="29"/>
      <c r="AC1206" s="29"/>
      <c r="AD1206" s="29"/>
      <c r="AE1206" s="29"/>
      <c r="AF1206" s="29"/>
      <c r="AG1206" s="30"/>
      <c r="AH1206" s="29"/>
      <c r="AI1206" s="29"/>
      <c r="AJ1206" s="29"/>
      <c r="AK1206" s="30"/>
      <c r="AL1206" s="29"/>
      <c r="AM1206" s="29"/>
      <c r="AN1206" s="29"/>
      <c r="AO1206" s="29"/>
      <c r="AP1206" s="29"/>
      <c r="AQ1206" s="29"/>
      <c r="AR1206" s="29"/>
      <c r="AS1206" s="29"/>
      <c r="AT1206" s="29"/>
      <c r="AU1206" s="29"/>
      <c r="AV1206" s="29"/>
      <c r="AW1206" s="29"/>
      <c r="AX1206" s="29"/>
      <c r="AY1206" s="29"/>
      <c r="AZ1206" s="29"/>
      <c r="BA1206" s="29"/>
      <c r="BB1206" s="29"/>
      <c r="BC1206" s="29"/>
      <c r="BD1206" s="29"/>
      <c r="BE1206" s="29"/>
      <c r="BF1206" s="29"/>
      <c r="BG1206" s="29"/>
      <c r="BH1206" s="29"/>
      <c r="BI1206" s="29"/>
      <c r="BJ1206" s="29"/>
      <c r="BK1206" s="29"/>
      <c r="BL1206" s="29"/>
      <c r="BM1206" s="29"/>
      <c r="BN1206" s="20">
        <f t="shared" si="149"/>
        <v>0</v>
      </c>
      <c r="BO1206" s="20">
        <f t="shared" si="150"/>
        <v>0</v>
      </c>
      <c r="BP1206" s="20">
        <f t="shared" si="151"/>
        <v>16</v>
      </c>
      <c r="BQ1206" s="51"/>
      <c r="BR1206" s="56"/>
      <c r="BS1206" s="111"/>
      <c r="BT1206" s="36"/>
      <c r="BU1206" s="112"/>
    </row>
    <row r="1207" s="1" customFormat="1" customHeight="1" spans="1:73">
      <c r="A1207" s="15" t="s">
        <v>1889</v>
      </c>
      <c r="B1207" s="15"/>
      <c r="C1207" s="16">
        <v>500</v>
      </c>
      <c r="D1207" s="29"/>
      <c r="E1207" s="30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29"/>
      <c r="X1207" s="29"/>
      <c r="Y1207" s="29"/>
      <c r="Z1207" s="29"/>
      <c r="AA1207" s="29"/>
      <c r="AB1207" s="29"/>
      <c r="AC1207" s="29"/>
      <c r="AD1207" s="29"/>
      <c r="AE1207" s="29"/>
      <c r="AF1207" s="29"/>
      <c r="AG1207" s="30"/>
      <c r="AH1207" s="29"/>
      <c r="AI1207" s="29"/>
      <c r="AJ1207" s="29"/>
      <c r="AK1207" s="30"/>
      <c r="AL1207" s="29"/>
      <c r="AM1207" s="29"/>
      <c r="AN1207" s="29"/>
      <c r="AO1207" s="29"/>
      <c r="AP1207" s="29"/>
      <c r="AQ1207" s="29"/>
      <c r="AR1207" s="29"/>
      <c r="AS1207" s="29"/>
      <c r="AT1207" s="29"/>
      <c r="AU1207" s="29"/>
      <c r="AV1207" s="29"/>
      <c r="AW1207" s="29"/>
      <c r="AX1207" s="29"/>
      <c r="AY1207" s="29"/>
      <c r="AZ1207" s="29"/>
      <c r="BA1207" s="29"/>
      <c r="BB1207" s="29"/>
      <c r="BC1207" s="29"/>
      <c r="BD1207" s="29"/>
      <c r="BE1207" s="29"/>
      <c r="BF1207" s="29"/>
      <c r="BG1207" s="29"/>
      <c r="BH1207" s="29"/>
      <c r="BI1207" s="29"/>
      <c r="BJ1207" s="29"/>
      <c r="BK1207" s="29"/>
      <c r="BL1207" s="29"/>
      <c r="BM1207" s="29"/>
      <c r="BN1207" s="20">
        <f t="shared" si="149"/>
        <v>0</v>
      </c>
      <c r="BO1207" s="20">
        <f t="shared" si="150"/>
        <v>0</v>
      </c>
      <c r="BP1207" s="20">
        <f t="shared" si="151"/>
        <v>500</v>
      </c>
      <c r="BQ1207" s="51"/>
      <c r="BR1207" s="56"/>
      <c r="BS1207" s="111"/>
      <c r="BT1207" s="36"/>
      <c r="BU1207" s="112"/>
    </row>
    <row r="1208" s="1" customFormat="1" customHeight="1" spans="1:73">
      <c r="A1208" s="15" t="s">
        <v>1890</v>
      </c>
      <c r="B1208" s="15"/>
      <c r="C1208" s="16">
        <v>29</v>
      </c>
      <c r="D1208" s="29"/>
      <c r="E1208" s="30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29"/>
      <c r="X1208" s="29"/>
      <c r="Y1208" s="29"/>
      <c r="Z1208" s="29"/>
      <c r="AA1208" s="29"/>
      <c r="AB1208" s="29"/>
      <c r="AC1208" s="29"/>
      <c r="AD1208" s="29"/>
      <c r="AE1208" s="29"/>
      <c r="AF1208" s="29"/>
      <c r="AG1208" s="30"/>
      <c r="AH1208" s="29"/>
      <c r="AI1208" s="29"/>
      <c r="AJ1208" s="29"/>
      <c r="AK1208" s="30"/>
      <c r="AL1208" s="29"/>
      <c r="AM1208" s="29"/>
      <c r="AN1208" s="29"/>
      <c r="AO1208" s="29"/>
      <c r="AP1208" s="29"/>
      <c r="AQ1208" s="29"/>
      <c r="AR1208" s="29"/>
      <c r="AS1208" s="29"/>
      <c r="AT1208" s="29"/>
      <c r="AU1208" s="29"/>
      <c r="AV1208" s="29"/>
      <c r="AW1208" s="29"/>
      <c r="AX1208" s="29"/>
      <c r="AY1208" s="29"/>
      <c r="AZ1208" s="29"/>
      <c r="BA1208" s="29"/>
      <c r="BB1208" s="29"/>
      <c r="BC1208" s="29"/>
      <c r="BD1208" s="29"/>
      <c r="BE1208" s="29"/>
      <c r="BF1208" s="29"/>
      <c r="BG1208" s="29"/>
      <c r="BH1208" s="29"/>
      <c r="BI1208" s="29"/>
      <c r="BJ1208" s="29"/>
      <c r="BK1208" s="29"/>
      <c r="BL1208" s="29"/>
      <c r="BM1208" s="29"/>
      <c r="BN1208" s="20">
        <f t="shared" si="149"/>
        <v>0</v>
      </c>
      <c r="BO1208" s="20">
        <f t="shared" si="150"/>
        <v>0</v>
      </c>
      <c r="BP1208" s="20">
        <f t="shared" si="151"/>
        <v>29</v>
      </c>
      <c r="BQ1208" s="51"/>
      <c r="BR1208" s="56"/>
      <c r="BS1208" s="111"/>
      <c r="BT1208" s="36"/>
      <c r="BU1208" s="112"/>
    </row>
    <row r="1209" s="1" customFormat="1" customHeight="1" spans="1:73">
      <c r="A1209" s="15" t="s">
        <v>1891</v>
      </c>
      <c r="B1209" s="15"/>
      <c r="C1209" s="16">
        <v>20</v>
      </c>
      <c r="D1209" s="29"/>
      <c r="E1209" s="30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29"/>
      <c r="X1209" s="29"/>
      <c r="Y1209" s="29"/>
      <c r="Z1209" s="29"/>
      <c r="AA1209" s="29"/>
      <c r="AB1209" s="29"/>
      <c r="AC1209" s="29"/>
      <c r="AD1209" s="29"/>
      <c r="AE1209" s="29"/>
      <c r="AF1209" s="29"/>
      <c r="AG1209" s="30"/>
      <c r="AH1209" s="29"/>
      <c r="AI1209" s="29"/>
      <c r="AJ1209" s="29"/>
      <c r="AK1209" s="30"/>
      <c r="AL1209" s="29"/>
      <c r="AM1209" s="29"/>
      <c r="AN1209" s="29"/>
      <c r="AO1209" s="29"/>
      <c r="AP1209" s="29"/>
      <c r="AQ1209" s="29"/>
      <c r="AR1209" s="29"/>
      <c r="AS1209" s="29"/>
      <c r="AT1209" s="29"/>
      <c r="AU1209" s="29"/>
      <c r="AV1209" s="29"/>
      <c r="AW1209" s="29"/>
      <c r="AX1209" s="29"/>
      <c r="AY1209" s="29"/>
      <c r="AZ1209" s="29"/>
      <c r="BA1209" s="29"/>
      <c r="BB1209" s="29"/>
      <c r="BC1209" s="29"/>
      <c r="BD1209" s="29"/>
      <c r="BE1209" s="29"/>
      <c r="BF1209" s="29"/>
      <c r="BG1209" s="29"/>
      <c r="BH1209" s="29"/>
      <c r="BI1209" s="29"/>
      <c r="BJ1209" s="29"/>
      <c r="BK1209" s="29"/>
      <c r="BL1209" s="29"/>
      <c r="BM1209" s="29"/>
      <c r="BN1209" s="20">
        <f t="shared" si="149"/>
        <v>0</v>
      </c>
      <c r="BO1209" s="20">
        <f t="shared" si="150"/>
        <v>0</v>
      </c>
      <c r="BP1209" s="20">
        <f t="shared" si="151"/>
        <v>20</v>
      </c>
      <c r="BQ1209" s="51"/>
      <c r="BR1209" s="56"/>
      <c r="BS1209" s="111"/>
      <c r="BT1209" s="36"/>
      <c r="BU1209" s="112"/>
    </row>
    <row r="1210" s="1" customFormat="1" customHeight="1" spans="1:73">
      <c r="A1210" s="15" t="s">
        <v>1892</v>
      </c>
      <c r="B1210" s="15"/>
      <c r="C1210" s="16">
        <v>1000</v>
      </c>
      <c r="D1210" s="29"/>
      <c r="E1210" s="30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29"/>
      <c r="X1210" s="29"/>
      <c r="Y1210" s="29"/>
      <c r="Z1210" s="29"/>
      <c r="AA1210" s="29"/>
      <c r="AB1210" s="29"/>
      <c r="AC1210" s="29"/>
      <c r="AD1210" s="29"/>
      <c r="AE1210" s="29"/>
      <c r="AF1210" s="29"/>
      <c r="AG1210" s="30"/>
      <c r="AH1210" s="29"/>
      <c r="AI1210" s="29"/>
      <c r="AJ1210" s="29"/>
      <c r="AK1210" s="30"/>
      <c r="AL1210" s="29"/>
      <c r="AM1210" s="29"/>
      <c r="AN1210" s="29"/>
      <c r="AO1210" s="29"/>
      <c r="AP1210" s="29"/>
      <c r="AQ1210" s="29"/>
      <c r="AR1210" s="29"/>
      <c r="AS1210" s="29"/>
      <c r="AT1210" s="29"/>
      <c r="AU1210" s="29"/>
      <c r="AV1210" s="29"/>
      <c r="AW1210" s="29"/>
      <c r="AX1210" s="29"/>
      <c r="AY1210" s="29"/>
      <c r="AZ1210" s="29"/>
      <c r="BA1210" s="29"/>
      <c r="BB1210" s="29"/>
      <c r="BC1210" s="29"/>
      <c r="BD1210" s="29"/>
      <c r="BE1210" s="29"/>
      <c r="BF1210" s="29"/>
      <c r="BG1210" s="29"/>
      <c r="BH1210" s="29"/>
      <c r="BI1210" s="29"/>
      <c r="BJ1210" s="29"/>
      <c r="BK1210" s="29"/>
      <c r="BL1210" s="29"/>
      <c r="BM1210" s="29"/>
      <c r="BN1210" s="20">
        <f t="shared" si="149"/>
        <v>0</v>
      </c>
      <c r="BO1210" s="20">
        <f t="shared" si="150"/>
        <v>0</v>
      </c>
      <c r="BP1210" s="20">
        <f t="shared" si="151"/>
        <v>1000</v>
      </c>
      <c r="BQ1210" s="51"/>
      <c r="BR1210" s="56"/>
      <c r="BS1210" s="111"/>
      <c r="BT1210" s="36"/>
      <c r="BU1210" s="112"/>
    </row>
    <row r="1211" s="1" customFormat="1" customHeight="1" spans="1:73">
      <c r="A1211" s="15" t="s">
        <v>1893</v>
      </c>
      <c r="B1211" s="15" t="s">
        <v>1894</v>
      </c>
      <c r="C1211" s="16">
        <v>478</v>
      </c>
      <c r="D1211" s="29"/>
      <c r="E1211" s="30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29"/>
      <c r="X1211" s="29"/>
      <c r="Y1211" s="29"/>
      <c r="Z1211" s="29"/>
      <c r="AA1211" s="29"/>
      <c r="AB1211" s="29"/>
      <c r="AC1211" s="29"/>
      <c r="AD1211" s="29"/>
      <c r="AE1211" s="29"/>
      <c r="AF1211" s="29"/>
      <c r="AG1211" s="30"/>
      <c r="AH1211" s="29"/>
      <c r="AI1211" s="29"/>
      <c r="AJ1211" s="29"/>
      <c r="AK1211" s="30"/>
      <c r="AL1211" s="29"/>
      <c r="AM1211" s="29"/>
      <c r="AN1211" s="29"/>
      <c r="AO1211" s="29"/>
      <c r="AP1211" s="29"/>
      <c r="AQ1211" s="29"/>
      <c r="AR1211" s="29"/>
      <c r="AS1211" s="29"/>
      <c r="AT1211" s="29"/>
      <c r="AU1211" s="29"/>
      <c r="AV1211" s="29"/>
      <c r="AW1211" s="29"/>
      <c r="AX1211" s="29"/>
      <c r="AY1211" s="29"/>
      <c r="AZ1211" s="29"/>
      <c r="BA1211" s="29"/>
      <c r="BB1211" s="29"/>
      <c r="BC1211" s="29"/>
      <c r="BD1211" s="29"/>
      <c r="BE1211" s="29"/>
      <c r="BF1211" s="29"/>
      <c r="BG1211" s="29"/>
      <c r="BH1211" s="29"/>
      <c r="BI1211" s="29"/>
      <c r="BJ1211" s="29"/>
      <c r="BK1211" s="29"/>
      <c r="BL1211" s="29"/>
      <c r="BM1211" s="29"/>
      <c r="BN1211" s="20">
        <f t="shared" si="149"/>
        <v>0</v>
      </c>
      <c r="BO1211" s="20">
        <f t="shared" si="150"/>
        <v>0</v>
      </c>
      <c r="BP1211" s="20">
        <f t="shared" si="151"/>
        <v>478</v>
      </c>
      <c r="BQ1211" s="51"/>
      <c r="BR1211" s="56"/>
      <c r="BS1211" s="111"/>
      <c r="BT1211" s="36"/>
      <c r="BU1211" s="112"/>
    </row>
    <row r="1212" s="1" customFormat="1" customHeight="1" spans="1:73">
      <c r="A1212" s="15" t="s">
        <v>1895</v>
      </c>
      <c r="B1212" s="15" t="s">
        <v>1894</v>
      </c>
      <c r="C1212" s="16">
        <v>1300</v>
      </c>
      <c r="D1212" s="29"/>
      <c r="E1212" s="30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29"/>
      <c r="X1212" s="29"/>
      <c r="Y1212" s="29"/>
      <c r="Z1212" s="29"/>
      <c r="AA1212" s="29"/>
      <c r="AB1212" s="29"/>
      <c r="AC1212" s="29"/>
      <c r="AD1212" s="29"/>
      <c r="AE1212" s="29"/>
      <c r="AF1212" s="29"/>
      <c r="AG1212" s="30"/>
      <c r="AH1212" s="29"/>
      <c r="AI1212" s="29"/>
      <c r="AJ1212" s="29"/>
      <c r="AK1212" s="30"/>
      <c r="AL1212" s="29"/>
      <c r="AM1212" s="29"/>
      <c r="AN1212" s="29"/>
      <c r="AO1212" s="29"/>
      <c r="AP1212" s="29"/>
      <c r="AQ1212" s="29"/>
      <c r="AR1212" s="29"/>
      <c r="AS1212" s="29"/>
      <c r="AT1212" s="29"/>
      <c r="AU1212" s="29"/>
      <c r="AV1212" s="29"/>
      <c r="AW1212" s="29"/>
      <c r="AX1212" s="29"/>
      <c r="AY1212" s="29"/>
      <c r="AZ1212" s="29"/>
      <c r="BA1212" s="29"/>
      <c r="BB1212" s="29"/>
      <c r="BC1212" s="29"/>
      <c r="BD1212" s="29"/>
      <c r="BE1212" s="29"/>
      <c r="BF1212" s="29"/>
      <c r="BG1212" s="29"/>
      <c r="BH1212" s="29"/>
      <c r="BI1212" s="29"/>
      <c r="BJ1212" s="29"/>
      <c r="BK1212" s="29"/>
      <c r="BL1212" s="29"/>
      <c r="BM1212" s="29"/>
      <c r="BN1212" s="20">
        <f t="shared" si="149"/>
        <v>0</v>
      </c>
      <c r="BO1212" s="20">
        <f t="shared" si="150"/>
        <v>0</v>
      </c>
      <c r="BP1212" s="20">
        <f t="shared" si="151"/>
        <v>1300</v>
      </c>
      <c r="BQ1212" s="51"/>
      <c r="BR1212" s="56"/>
      <c r="BS1212" s="111"/>
      <c r="BT1212" s="36"/>
      <c r="BU1212" s="112"/>
    </row>
    <row r="1213" s="1" customFormat="1" customHeight="1" spans="1:73">
      <c r="A1213" s="15" t="s">
        <v>1896</v>
      </c>
      <c r="B1213" s="15" t="s">
        <v>1894</v>
      </c>
      <c r="C1213" s="16">
        <v>488</v>
      </c>
      <c r="D1213" s="29"/>
      <c r="E1213" s="30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29"/>
      <c r="X1213" s="29"/>
      <c r="Y1213" s="29"/>
      <c r="Z1213" s="29"/>
      <c r="AA1213" s="29"/>
      <c r="AB1213" s="29"/>
      <c r="AC1213" s="29"/>
      <c r="AD1213" s="29"/>
      <c r="AE1213" s="29"/>
      <c r="AF1213" s="29"/>
      <c r="AG1213" s="30"/>
      <c r="AH1213" s="29"/>
      <c r="AI1213" s="29"/>
      <c r="AJ1213" s="29"/>
      <c r="AK1213" s="30"/>
      <c r="AL1213" s="29"/>
      <c r="AM1213" s="29"/>
      <c r="AN1213" s="29"/>
      <c r="AO1213" s="29"/>
      <c r="AP1213" s="29"/>
      <c r="AQ1213" s="29"/>
      <c r="AR1213" s="29"/>
      <c r="AS1213" s="29"/>
      <c r="AT1213" s="29"/>
      <c r="AU1213" s="29"/>
      <c r="AV1213" s="29"/>
      <c r="AW1213" s="29"/>
      <c r="AX1213" s="29"/>
      <c r="AY1213" s="29"/>
      <c r="AZ1213" s="29"/>
      <c r="BA1213" s="29"/>
      <c r="BB1213" s="29"/>
      <c r="BC1213" s="29"/>
      <c r="BD1213" s="29"/>
      <c r="BE1213" s="29"/>
      <c r="BF1213" s="29"/>
      <c r="BG1213" s="29"/>
      <c r="BH1213" s="29"/>
      <c r="BI1213" s="29"/>
      <c r="BJ1213" s="29"/>
      <c r="BK1213" s="29"/>
      <c r="BL1213" s="29"/>
      <c r="BM1213" s="29"/>
      <c r="BN1213" s="20">
        <f t="shared" si="149"/>
        <v>0</v>
      </c>
      <c r="BO1213" s="20">
        <f t="shared" si="150"/>
        <v>0</v>
      </c>
      <c r="BP1213" s="20">
        <f t="shared" si="151"/>
        <v>488</v>
      </c>
      <c r="BQ1213" s="51"/>
      <c r="BR1213" s="56"/>
      <c r="BS1213" s="111"/>
      <c r="BT1213" s="36"/>
      <c r="BU1213" s="112"/>
    </row>
    <row r="1214" s="1" customFormat="1" customHeight="1" spans="1:73">
      <c r="A1214" s="15" t="s">
        <v>1897</v>
      </c>
      <c r="B1214" s="15" t="s">
        <v>1894</v>
      </c>
      <c r="C1214" s="16">
        <v>42</v>
      </c>
      <c r="D1214" s="29"/>
      <c r="E1214" s="30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29"/>
      <c r="X1214" s="29"/>
      <c r="Y1214" s="29"/>
      <c r="Z1214" s="29"/>
      <c r="AA1214" s="29"/>
      <c r="AB1214" s="29"/>
      <c r="AC1214" s="29"/>
      <c r="AD1214" s="29"/>
      <c r="AE1214" s="29"/>
      <c r="AF1214" s="29"/>
      <c r="AG1214" s="30"/>
      <c r="AH1214" s="29"/>
      <c r="AI1214" s="29"/>
      <c r="AJ1214" s="29"/>
      <c r="AK1214" s="30"/>
      <c r="AL1214" s="29"/>
      <c r="AM1214" s="29"/>
      <c r="AN1214" s="29"/>
      <c r="AO1214" s="29"/>
      <c r="AP1214" s="29"/>
      <c r="AQ1214" s="29"/>
      <c r="AR1214" s="29"/>
      <c r="AS1214" s="29"/>
      <c r="AT1214" s="29"/>
      <c r="AU1214" s="29"/>
      <c r="AV1214" s="29"/>
      <c r="AW1214" s="29"/>
      <c r="AX1214" s="29"/>
      <c r="AY1214" s="29"/>
      <c r="AZ1214" s="29"/>
      <c r="BA1214" s="29"/>
      <c r="BB1214" s="29"/>
      <c r="BC1214" s="29"/>
      <c r="BD1214" s="29"/>
      <c r="BE1214" s="29"/>
      <c r="BF1214" s="29"/>
      <c r="BG1214" s="29"/>
      <c r="BH1214" s="29"/>
      <c r="BI1214" s="29"/>
      <c r="BJ1214" s="29"/>
      <c r="BK1214" s="29"/>
      <c r="BL1214" s="29"/>
      <c r="BM1214" s="29"/>
      <c r="BN1214" s="20">
        <f t="shared" si="149"/>
        <v>0</v>
      </c>
      <c r="BO1214" s="20">
        <f t="shared" si="150"/>
        <v>0</v>
      </c>
      <c r="BP1214" s="20">
        <f t="shared" si="151"/>
        <v>42</v>
      </c>
      <c r="BQ1214" s="51"/>
      <c r="BR1214" s="56"/>
      <c r="BS1214" s="111"/>
      <c r="BT1214" s="36"/>
      <c r="BU1214" s="112"/>
    </row>
    <row r="1215" s="1" customFormat="1" customHeight="1" spans="1:73">
      <c r="A1215" s="15" t="s">
        <v>1898</v>
      </c>
      <c r="B1215" s="15"/>
      <c r="C1215" s="16">
        <v>30</v>
      </c>
      <c r="D1215" s="29"/>
      <c r="E1215" s="30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29"/>
      <c r="X1215" s="29"/>
      <c r="Y1215" s="29"/>
      <c r="Z1215" s="29"/>
      <c r="AA1215" s="29"/>
      <c r="AB1215" s="29"/>
      <c r="AC1215" s="29"/>
      <c r="AD1215" s="29"/>
      <c r="AE1215" s="29"/>
      <c r="AF1215" s="29"/>
      <c r="AG1215" s="30"/>
      <c r="AH1215" s="29"/>
      <c r="AI1215" s="29"/>
      <c r="AJ1215" s="29"/>
      <c r="AK1215" s="30"/>
      <c r="AL1215" s="29"/>
      <c r="AM1215" s="29"/>
      <c r="AN1215" s="29"/>
      <c r="AO1215" s="29"/>
      <c r="AP1215" s="29"/>
      <c r="AQ1215" s="29"/>
      <c r="AR1215" s="29"/>
      <c r="AS1215" s="29"/>
      <c r="AT1215" s="29"/>
      <c r="AU1215" s="29"/>
      <c r="AV1215" s="29"/>
      <c r="AW1215" s="29"/>
      <c r="AX1215" s="29"/>
      <c r="AY1215" s="29"/>
      <c r="AZ1215" s="29"/>
      <c r="BA1215" s="29"/>
      <c r="BB1215" s="29"/>
      <c r="BC1215" s="29"/>
      <c r="BD1215" s="29"/>
      <c r="BE1215" s="29"/>
      <c r="BF1215" s="29"/>
      <c r="BG1215" s="29"/>
      <c r="BH1215" s="29"/>
      <c r="BI1215" s="29"/>
      <c r="BJ1215" s="29"/>
      <c r="BK1215" s="29"/>
      <c r="BL1215" s="29"/>
      <c r="BM1215" s="29"/>
      <c r="BN1215" s="20">
        <f t="shared" si="149"/>
        <v>0</v>
      </c>
      <c r="BO1215" s="20">
        <f t="shared" si="150"/>
        <v>0</v>
      </c>
      <c r="BP1215" s="20">
        <f t="shared" si="151"/>
        <v>30</v>
      </c>
      <c r="BQ1215" s="51"/>
      <c r="BR1215" s="56"/>
      <c r="BS1215" s="111"/>
      <c r="BT1215" s="36"/>
      <c r="BU1215" s="112"/>
    </row>
    <row r="1216" s="1" customFormat="1" customHeight="1" spans="1:73">
      <c r="A1216" s="15" t="s">
        <v>1899</v>
      </c>
      <c r="B1216" s="15" t="s">
        <v>1900</v>
      </c>
      <c r="C1216" s="16">
        <v>42</v>
      </c>
      <c r="D1216" s="29"/>
      <c r="E1216" s="30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29"/>
      <c r="X1216" s="29"/>
      <c r="Y1216" s="29"/>
      <c r="Z1216" s="29"/>
      <c r="AA1216" s="29"/>
      <c r="AB1216" s="29"/>
      <c r="AC1216" s="29"/>
      <c r="AD1216" s="29"/>
      <c r="AE1216" s="29"/>
      <c r="AF1216" s="29"/>
      <c r="AG1216" s="30"/>
      <c r="AH1216" s="29"/>
      <c r="AI1216" s="29"/>
      <c r="AJ1216" s="29"/>
      <c r="AK1216" s="30"/>
      <c r="AL1216" s="29"/>
      <c r="AM1216" s="29"/>
      <c r="AN1216" s="29"/>
      <c r="AO1216" s="29"/>
      <c r="AP1216" s="29"/>
      <c r="AQ1216" s="29"/>
      <c r="AR1216" s="29"/>
      <c r="AS1216" s="29"/>
      <c r="AT1216" s="29"/>
      <c r="AU1216" s="29"/>
      <c r="AV1216" s="29"/>
      <c r="AW1216" s="29"/>
      <c r="AX1216" s="29"/>
      <c r="AY1216" s="29"/>
      <c r="AZ1216" s="29"/>
      <c r="BA1216" s="29"/>
      <c r="BB1216" s="29"/>
      <c r="BC1216" s="29"/>
      <c r="BD1216" s="29"/>
      <c r="BE1216" s="29"/>
      <c r="BF1216" s="29"/>
      <c r="BG1216" s="29"/>
      <c r="BH1216" s="29"/>
      <c r="BI1216" s="29"/>
      <c r="BJ1216" s="29"/>
      <c r="BK1216" s="29"/>
      <c r="BL1216" s="29"/>
      <c r="BM1216" s="29"/>
      <c r="BN1216" s="20">
        <f t="shared" si="149"/>
        <v>0</v>
      </c>
      <c r="BO1216" s="20">
        <f t="shared" si="150"/>
        <v>0</v>
      </c>
      <c r="BP1216" s="20">
        <f t="shared" si="151"/>
        <v>42</v>
      </c>
      <c r="BQ1216" s="51"/>
      <c r="BR1216" s="56"/>
      <c r="BS1216" s="111"/>
      <c r="BT1216" s="36"/>
      <c r="BU1216" s="112"/>
    </row>
    <row r="1217" s="1" customFormat="1" customHeight="1" spans="1:73">
      <c r="A1217" s="15" t="s">
        <v>1901</v>
      </c>
      <c r="B1217" s="15"/>
      <c r="C1217" s="16">
        <v>1</v>
      </c>
      <c r="D1217" s="29"/>
      <c r="E1217" s="30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29"/>
      <c r="X1217" s="29"/>
      <c r="Y1217" s="29"/>
      <c r="Z1217" s="29"/>
      <c r="AA1217" s="29"/>
      <c r="AB1217" s="29"/>
      <c r="AC1217" s="29"/>
      <c r="AD1217" s="29"/>
      <c r="AE1217" s="29"/>
      <c r="AF1217" s="29"/>
      <c r="AG1217" s="30"/>
      <c r="AH1217" s="29"/>
      <c r="AI1217" s="29"/>
      <c r="AJ1217" s="29"/>
      <c r="AK1217" s="30"/>
      <c r="AL1217" s="29"/>
      <c r="AM1217" s="29"/>
      <c r="AN1217" s="29"/>
      <c r="AO1217" s="29"/>
      <c r="AP1217" s="29"/>
      <c r="AQ1217" s="29"/>
      <c r="AR1217" s="29"/>
      <c r="AS1217" s="29"/>
      <c r="AT1217" s="29"/>
      <c r="AU1217" s="29"/>
      <c r="AV1217" s="29"/>
      <c r="AW1217" s="29"/>
      <c r="AX1217" s="29"/>
      <c r="AY1217" s="29"/>
      <c r="AZ1217" s="29"/>
      <c r="BA1217" s="29"/>
      <c r="BB1217" s="29"/>
      <c r="BC1217" s="29"/>
      <c r="BD1217" s="29"/>
      <c r="BE1217" s="29"/>
      <c r="BF1217" s="29"/>
      <c r="BG1217" s="29"/>
      <c r="BH1217" s="29"/>
      <c r="BI1217" s="29"/>
      <c r="BJ1217" s="29"/>
      <c r="BK1217" s="29"/>
      <c r="BL1217" s="29"/>
      <c r="BM1217" s="29"/>
      <c r="BN1217" s="20">
        <f t="shared" si="149"/>
        <v>0</v>
      </c>
      <c r="BO1217" s="20">
        <f t="shared" si="150"/>
        <v>0</v>
      </c>
      <c r="BP1217" s="20">
        <f t="shared" si="151"/>
        <v>1</v>
      </c>
      <c r="BQ1217" s="51"/>
      <c r="BR1217" s="56"/>
      <c r="BS1217" s="111"/>
      <c r="BT1217" s="36"/>
      <c r="BU1217" s="112"/>
    </row>
    <row r="1218" s="1" customFormat="1" customHeight="1" spans="1:73">
      <c r="A1218" s="15" t="s">
        <v>1902</v>
      </c>
      <c r="B1218" s="15"/>
      <c r="C1218" s="16">
        <v>500</v>
      </c>
      <c r="D1218" s="29"/>
      <c r="E1218" s="30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29"/>
      <c r="AB1218" s="29"/>
      <c r="AC1218" s="29"/>
      <c r="AD1218" s="29"/>
      <c r="AE1218" s="29"/>
      <c r="AF1218" s="29"/>
      <c r="AG1218" s="30"/>
      <c r="AH1218" s="29"/>
      <c r="AI1218" s="29"/>
      <c r="AJ1218" s="29"/>
      <c r="AK1218" s="30"/>
      <c r="AL1218" s="29"/>
      <c r="AM1218" s="29"/>
      <c r="AN1218" s="29"/>
      <c r="AO1218" s="29"/>
      <c r="AP1218" s="29"/>
      <c r="AQ1218" s="29"/>
      <c r="AR1218" s="29"/>
      <c r="AS1218" s="29"/>
      <c r="AT1218" s="29"/>
      <c r="AU1218" s="29"/>
      <c r="AV1218" s="29"/>
      <c r="AW1218" s="29"/>
      <c r="AX1218" s="29"/>
      <c r="AY1218" s="29"/>
      <c r="AZ1218" s="29"/>
      <c r="BA1218" s="29"/>
      <c r="BB1218" s="29"/>
      <c r="BC1218" s="29"/>
      <c r="BD1218" s="29"/>
      <c r="BE1218" s="29"/>
      <c r="BF1218" s="29"/>
      <c r="BG1218" s="29"/>
      <c r="BH1218" s="29"/>
      <c r="BI1218" s="29"/>
      <c r="BJ1218" s="29"/>
      <c r="BK1218" s="29"/>
      <c r="BL1218" s="29"/>
      <c r="BM1218" s="29"/>
      <c r="BN1218" s="20">
        <f t="shared" si="149"/>
        <v>0</v>
      </c>
      <c r="BO1218" s="20">
        <f t="shared" si="150"/>
        <v>0</v>
      </c>
      <c r="BP1218" s="20">
        <f t="shared" si="151"/>
        <v>500</v>
      </c>
      <c r="BQ1218" s="51"/>
      <c r="BR1218" s="56"/>
      <c r="BS1218" s="111"/>
      <c r="BT1218" s="36"/>
      <c r="BU1218" s="112"/>
    </row>
    <row r="1219" s="1" customFormat="1" customHeight="1" spans="1:73">
      <c r="A1219" s="15" t="s">
        <v>1903</v>
      </c>
      <c r="B1219" s="15"/>
      <c r="C1219" s="16">
        <v>6</v>
      </c>
      <c r="D1219" s="29"/>
      <c r="E1219" s="30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29"/>
      <c r="AB1219" s="29"/>
      <c r="AC1219" s="29"/>
      <c r="AD1219" s="29"/>
      <c r="AE1219" s="29"/>
      <c r="AF1219" s="29"/>
      <c r="AG1219" s="30"/>
      <c r="AH1219" s="29"/>
      <c r="AI1219" s="29"/>
      <c r="AJ1219" s="29"/>
      <c r="AK1219" s="30"/>
      <c r="AL1219" s="29"/>
      <c r="AM1219" s="29"/>
      <c r="AN1219" s="29"/>
      <c r="AO1219" s="29"/>
      <c r="AP1219" s="29"/>
      <c r="AQ1219" s="29"/>
      <c r="AR1219" s="29"/>
      <c r="AS1219" s="29"/>
      <c r="AT1219" s="29"/>
      <c r="AU1219" s="29"/>
      <c r="AV1219" s="29"/>
      <c r="AW1219" s="29"/>
      <c r="AX1219" s="29"/>
      <c r="AY1219" s="29"/>
      <c r="AZ1219" s="29"/>
      <c r="BA1219" s="29"/>
      <c r="BB1219" s="29"/>
      <c r="BC1219" s="29"/>
      <c r="BD1219" s="29"/>
      <c r="BE1219" s="29"/>
      <c r="BF1219" s="29"/>
      <c r="BG1219" s="29"/>
      <c r="BH1219" s="29"/>
      <c r="BI1219" s="29"/>
      <c r="BJ1219" s="29"/>
      <c r="BK1219" s="29"/>
      <c r="BL1219" s="29"/>
      <c r="BM1219" s="29"/>
      <c r="BN1219" s="20">
        <f t="shared" si="149"/>
        <v>0</v>
      </c>
      <c r="BO1219" s="20">
        <f t="shared" si="150"/>
        <v>0</v>
      </c>
      <c r="BP1219" s="20">
        <f t="shared" si="151"/>
        <v>6</v>
      </c>
      <c r="BQ1219" s="51"/>
      <c r="BR1219" s="56"/>
      <c r="BS1219" s="111"/>
      <c r="BT1219" s="36"/>
      <c r="BU1219" s="112"/>
    </row>
    <row r="1220" s="1" customFormat="1" customHeight="1" spans="1:73">
      <c r="A1220" s="15" t="s">
        <v>1904</v>
      </c>
      <c r="B1220" s="15"/>
      <c r="C1220" s="16">
        <v>6</v>
      </c>
      <c r="D1220" s="29"/>
      <c r="E1220" s="30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29"/>
      <c r="AB1220" s="29"/>
      <c r="AC1220" s="29"/>
      <c r="AD1220" s="29"/>
      <c r="AE1220" s="29"/>
      <c r="AF1220" s="29"/>
      <c r="AG1220" s="30"/>
      <c r="AH1220" s="29"/>
      <c r="AI1220" s="29"/>
      <c r="AJ1220" s="29"/>
      <c r="AK1220" s="30"/>
      <c r="AL1220" s="29"/>
      <c r="AM1220" s="29"/>
      <c r="AN1220" s="29"/>
      <c r="AO1220" s="29"/>
      <c r="AP1220" s="29"/>
      <c r="AQ1220" s="29"/>
      <c r="AR1220" s="29"/>
      <c r="AS1220" s="29"/>
      <c r="AT1220" s="29"/>
      <c r="AU1220" s="29"/>
      <c r="AV1220" s="29"/>
      <c r="AW1220" s="29"/>
      <c r="AX1220" s="29"/>
      <c r="AY1220" s="29"/>
      <c r="AZ1220" s="29"/>
      <c r="BA1220" s="29"/>
      <c r="BB1220" s="29"/>
      <c r="BC1220" s="29"/>
      <c r="BD1220" s="29"/>
      <c r="BE1220" s="29"/>
      <c r="BF1220" s="29"/>
      <c r="BG1220" s="29"/>
      <c r="BH1220" s="29"/>
      <c r="BI1220" s="29"/>
      <c r="BJ1220" s="29"/>
      <c r="BK1220" s="29"/>
      <c r="BL1220" s="29"/>
      <c r="BM1220" s="29"/>
      <c r="BN1220" s="20">
        <f t="shared" si="149"/>
        <v>0</v>
      </c>
      <c r="BO1220" s="20">
        <f t="shared" si="150"/>
        <v>0</v>
      </c>
      <c r="BP1220" s="20">
        <f t="shared" si="151"/>
        <v>6</v>
      </c>
      <c r="BQ1220" s="51"/>
      <c r="BR1220" s="56"/>
      <c r="BS1220" s="111"/>
      <c r="BT1220" s="36"/>
      <c r="BU1220" s="112"/>
    </row>
    <row r="1221" s="1" customFormat="1" customHeight="1" spans="1:73">
      <c r="A1221" s="15" t="s">
        <v>1905</v>
      </c>
      <c r="B1221" s="15"/>
      <c r="C1221" s="16">
        <v>500</v>
      </c>
      <c r="D1221" s="29"/>
      <c r="E1221" s="30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29"/>
      <c r="AB1221" s="29"/>
      <c r="AC1221" s="29"/>
      <c r="AD1221" s="29"/>
      <c r="AE1221" s="29"/>
      <c r="AF1221" s="29"/>
      <c r="AG1221" s="30"/>
      <c r="AH1221" s="29"/>
      <c r="AI1221" s="29"/>
      <c r="AJ1221" s="29"/>
      <c r="AK1221" s="30"/>
      <c r="AL1221" s="29"/>
      <c r="AM1221" s="29"/>
      <c r="AN1221" s="29"/>
      <c r="AO1221" s="29"/>
      <c r="AP1221" s="29"/>
      <c r="AQ1221" s="29"/>
      <c r="AR1221" s="29"/>
      <c r="AS1221" s="29"/>
      <c r="AT1221" s="29"/>
      <c r="AU1221" s="29"/>
      <c r="AV1221" s="29"/>
      <c r="AW1221" s="29"/>
      <c r="AX1221" s="29"/>
      <c r="AY1221" s="29"/>
      <c r="AZ1221" s="29"/>
      <c r="BA1221" s="29"/>
      <c r="BB1221" s="29"/>
      <c r="BC1221" s="29"/>
      <c r="BD1221" s="29"/>
      <c r="BE1221" s="29"/>
      <c r="BF1221" s="29"/>
      <c r="BG1221" s="29"/>
      <c r="BH1221" s="29"/>
      <c r="BI1221" s="29"/>
      <c r="BJ1221" s="29"/>
      <c r="BK1221" s="29"/>
      <c r="BL1221" s="29"/>
      <c r="BM1221" s="29"/>
      <c r="BN1221" s="20">
        <f t="shared" si="149"/>
        <v>0</v>
      </c>
      <c r="BO1221" s="20">
        <f t="shared" si="150"/>
        <v>0</v>
      </c>
      <c r="BP1221" s="20">
        <f t="shared" si="151"/>
        <v>500</v>
      </c>
      <c r="BQ1221" s="51"/>
      <c r="BR1221" s="56"/>
      <c r="BS1221" s="111"/>
      <c r="BT1221" s="36"/>
      <c r="BU1221" s="112"/>
    </row>
    <row r="1222" s="1" customFormat="1" customHeight="1" spans="1:73">
      <c r="A1222" s="15" t="s">
        <v>1906</v>
      </c>
      <c r="B1222" s="15"/>
      <c r="C1222" s="16">
        <v>5</v>
      </c>
      <c r="D1222" s="29"/>
      <c r="E1222" s="30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29"/>
      <c r="AB1222" s="29"/>
      <c r="AC1222" s="29"/>
      <c r="AD1222" s="29"/>
      <c r="AE1222" s="29"/>
      <c r="AF1222" s="29"/>
      <c r="AG1222" s="30"/>
      <c r="AH1222" s="29"/>
      <c r="AI1222" s="29"/>
      <c r="AJ1222" s="29"/>
      <c r="AK1222" s="30"/>
      <c r="AL1222" s="29"/>
      <c r="AM1222" s="29"/>
      <c r="AN1222" s="29"/>
      <c r="AO1222" s="29"/>
      <c r="AP1222" s="29"/>
      <c r="AQ1222" s="29"/>
      <c r="AR1222" s="29"/>
      <c r="AS1222" s="29"/>
      <c r="AT1222" s="29"/>
      <c r="AU1222" s="29"/>
      <c r="AV1222" s="29"/>
      <c r="AW1222" s="29"/>
      <c r="AX1222" s="29"/>
      <c r="AY1222" s="29"/>
      <c r="AZ1222" s="29"/>
      <c r="BA1222" s="29"/>
      <c r="BB1222" s="29"/>
      <c r="BC1222" s="29"/>
      <c r="BD1222" s="29"/>
      <c r="BE1222" s="29"/>
      <c r="BF1222" s="29"/>
      <c r="BG1222" s="29"/>
      <c r="BH1222" s="29"/>
      <c r="BI1222" s="29"/>
      <c r="BJ1222" s="29"/>
      <c r="BK1222" s="29"/>
      <c r="BL1222" s="29"/>
      <c r="BM1222" s="29"/>
      <c r="BN1222" s="20">
        <f t="shared" si="149"/>
        <v>0</v>
      </c>
      <c r="BO1222" s="20">
        <f t="shared" si="150"/>
        <v>0</v>
      </c>
      <c r="BP1222" s="20">
        <f t="shared" si="151"/>
        <v>5</v>
      </c>
      <c r="BQ1222" s="51"/>
      <c r="BR1222" s="56"/>
      <c r="BS1222" s="111"/>
      <c r="BT1222" s="36"/>
      <c r="BU1222" s="112"/>
    </row>
    <row r="1223" s="1" customFormat="1" customHeight="1" spans="1:73">
      <c r="A1223" s="15" t="s">
        <v>1907</v>
      </c>
      <c r="B1223" s="15"/>
      <c r="C1223" s="16">
        <v>5</v>
      </c>
      <c r="D1223" s="29"/>
      <c r="E1223" s="30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29"/>
      <c r="AB1223" s="29"/>
      <c r="AC1223" s="29"/>
      <c r="AD1223" s="29"/>
      <c r="AE1223" s="29"/>
      <c r="AF1223" s="29"/>
      <c r="AG1223" s="30"/>
      <c r="AH1223" s="29"/>
      <c r="AI1223" s="29"/>
      <c r="AJ1223" s="29"/>
      <c r="AK1223" s="30"/>
      <c r="AL1223" s="29"/>
      <c r="AM1223" s="29"/>
      <c r="AN1223" s="29"/>
      <c r="AO1223" s="29"/>
      <c r="AP1223" s="29"/>
      <c r="AQ1223" s="29"/>
      <c r="AR1223" s="29"/>
      <c r="AS1223" s="29"/>
      <c r="AT1223" s="29"/>
      <c r="AU1223" s="29"/>
      <c r="AV1223" s="29"/>
      <c r="AW1223" s="29"/>
      <c r="AX1223" s="29"/>
      <c r="AY1223" s="29"/>
      <c r="AZ1223" s="29"/>
      <c r="BA1223" s="29"/>
      <c r="BB1223" s="29"/>
      <c r="BC1223" s="29"/>
      <c r="BD1223" s="29"/>
      <c r="BE1223" s="29"/>
      <c r="BF1223" s="29"/>
      <c r="BG1223" s="29"/>
      <c r="BH1223" s="29"/>
      <c r="BI1223" s="29"/>
      <c r="BJ1223" s="29"/>
      <c r="BK1223" s="29"/>
      <c r="BL1223" s="29"/>
      <c r="BM1223" s="29"/>
      <c r="BN1223" s="20">
        <f t="shared" si="149"/>
        <v>0</v>
      </c>
      <c r="BO1223" s="20">
        <f t="shared" si="150"/>
        <v>0</v>
      </c>
      <c r="BP1223" s="20">
        <f t="shared" si="151"/>
        <v>5</v>
      </c>
      <c r="BQ1223" s="51"/>
      <c r="BR1223" s="56"/>
      <c r="BS1223" s="111"/>
      <c r="BT1223" s="36"/>
      <c r="BU1223" s="112"/>
    </row>
    <row r="1224" s="1" customFormat="1" customHeight="1" spans="1:73">
      <c r="A1224" s="15" t="s">
        <v>1908</v>
      </c>
      <c r="B1224" s="15" t="s">
        <v>1909</v>
      </c>
      <c r="C1224" s="16">
        <v>17</v>
      </c>
      <c r="D1224" s="29"/>
      <c r="E1224" s="30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29"/>
      <c r="AB1224" s="29"/>
      <c r="AC1224" s="29"/>
      <c r="AD1224" s="29"/>
      <c r="AE1224" s="29"/>
      <c r="AF1224" s="29"/>
      <c r="AG1224" s="30"/>
      <c r="AH1224" s="29"/>
      <c r="AI1224" s="29"/>
      <c r="AJ1224" s="29"/>
      <c r="AK1224" s="30"/>
      <c r="AL1224" s="29"/>
      <c r="AM1224" s="29"/>
      <c r="AN1224" s="29"/>
      <c r="AO1224" s="29"/>
      <c r="AP1224" s="29"/>
      <c r="AQ1224" s="29"/>
      <c r="AR1224" s="29"/>
      <c r="AS1224" s="29"/>
      <c r="AT1224" s="29"/>
      <c r="AU1224" s="29"/>
      <c r="AV1224" s="29"/>
      <c r="AW1224" s="29"/>
      <c r="AX1224" s="29"/>
      <c r="AY1224" s="29"/>
      <c r="AZ1224" s="29"/>
      <c r="BA1224" s="29"/>
      <c r="BB1224" s="29"/>
      <c r="BC1224" s="29"/>
      <c r="BD1224" s="29"/>
      <c r="BE1224" s="29"/>
      <c r="BF1224" s="29"/>
      <c r="BG1224" s="29"/>
      <c r="BH1224" s="29"/>
      <c r="BI1224" s="29"/>
      <c r="BJ1224" s="29"/>
      <c r="BK1224" s="29"/>
      <c r="BL1224" s="29"/>
      <c r="BM1224" s="29"/>
      <c r="BN1224" s="20">
        <f t="shared" si="149"/>
        <v>0</v>
      </c>
      <c r="BO1224" s="20">
        <f t="shared" si="150"/>
        <v>0</v>
      </c>
      <c r="BP1224" s="20">
        <f t="shared" si="151"/>
        <v>17</v>
      </c>
      <c r="BQ1224" s="51"/>
      <c r="BR1224" s="56"/>
      <c r="BS1224" s="111"/>
      <c r="BT1224" s="36"/>
      <c r="BU1224" s="112"/>
    </row>
    <row r="1225" s="1" customFormat="1" customHeight="1" spans="1:73">
      <c r="A1225" s="15" t="s">
        <v>1910</v>
      </c>
      <c r="B1225" s="15" t="s">
        <v>1911</v>
      </c>
      <c r="C1225" s="16">
        <v>908</v>
      </c>
      <c r="D1225" s="29"/>
      <c r="E1225" s="30"/>
      <c r="F1225" s="29"/>
      <c r="G1225" s="29"/>
      <c r="H1225" s="29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29"/>
      <c r="AB1225" s="29"/>
      <c r="AC1225" s="29"/>
      <c r="AD1225" s="29"/>
      <c r="AE1225" s="29"/>
      <c r="AF1225" s="29"/>
      <c r="AG1225" s="30"/>
      <c r="AH1225" s="29"/>
      <c r="AI1225" s="29"/>
      <c r="AJ1225" s="29"/>
      <c r="AK1225" s="30"/>
      <c r="AL1225" s="29"/>
      <c r="AM1225" s="29"/>
      <c r="AN1225" s="29"/>
      <c r="AO1225" s="29"/>
      <c r="AP1225" s="29"/>
      <c r="AQ1225" s="29"/>
      <c r="AR1225" s="29"/>
      <c r="AS1225" s="29"/>
      <c r="AT1225" s="29"/>
      <c r="AU1225" s="29"/>
      <c r="AV1225" s="29"/>
      <c r="AW1225" s="29"/>
      <c r="AX1225" s="29"/>
      <c r="AY1225" s="29"/>
      <c r="AZ1225" s="29"/>
      <c r="BA1225" s="29"/>
      <c r="BB1225" s="29"/>
      <c r="BC1225" s="29"/>
      <c r="BD1225" s="29"/>
      <c r="BE1225" s="29"/>
      <c r="BF1225" s="29"/>
      <c r="BG1225" s="29"/>
      <c r="BH1225" s="29"/>
      <c r="BI1225" s="29"/>
      <c r="BJ1225" s="29"/>
      <c r="BK1225" s="29"/>
      <c r="BL1225" s="29"/>
      <c r="BM1225" s="29"/>
      <c r="BN1225" s="20">
        <f t="shared" si="149"/>
        <v>0</v>
      </c>
      <c r="BO1225" s="20">
        <f t="shared" si="150"/>
        <v>0</v>
      </c>
      <c r="BP1225" s="20">
        <f t="shared" si="151"/>
        <v>908</v>
      </c>
      <c r="BQ1225" s="51"/>
      <c r="BR1225" s="56"/>
      <c r="BS1225" s="111"/>
      <c r="BT1225" s="36"/>
      <c r="BU1225" s="112"/>
    </row>
    <row r="1226" s="1" customFormat="1" customHeight="1" spans="1:73">
      <c r="A1226" s="15" t="s">
        <v>1912</v>
      </c>
      <c r="B1226" s="15" t="s">
        <v>1913</v>
      </c>
      <c r="C1226" s="16">
        <v>540</v>
      </c>
      <c r="D1226" s="29"/>
      <c r="E1226" s="30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29"/>
      <c r="AB1226" s="29"/>
      <c r="AC1226" s="29"/>
      <c r="AD1226" s="29"/>
      <c r="AE1226" s="29"/>
      <c r="AF1226" s="29"/>
      <c r="AG1226" s="30"/>
      <c r="AH1226" s="29"/>
      <c r="AI1226" s="29"/>
      <c r="AJ1226" s="29"/>
      <c r="AK1226" s="30"/>
      <c r="AL1226" s="29"/>
      <c r="AM1226" s="29"/>
      <c r="AN1226" s="29"/>
      <c r="AO1226" s="29"/>
      <c r="AP1226" s="29"/>
      <c r="AQ1226" s="29"/>
      <c r="AR1226" s="29"/>
      <c r="AS1226" s="29"/>
      <c r="AT1226" s="29"/>
      <c r="AU1226" s="29"/>
      <c r="AV1226" s="29"/>
      <c r="AW1226" s="29"/>
      <c r="AX1226" s="29"/>
      <c r="AY1226" s="29"/>
      <c r="AZ1226" s="29"/>
      <c r="BA1226" s="29"/>
      <c r="BB1226" s="29"/>
      <c r="BC1226" s="29"/>
      <c r="BD1226" s="29"/>
      <c r="BE1226" s="29"/>
      <c r="BF1226" s="29"/>
      <c r="BG1226" s="29"/>
      <c r="BH1226" s="29"/>
      <c r="BI1226" s="29"/>
      <c r="BJ1226" s="29"/>
      <c r="BK1226" s="29"/>
      <c r="BL1226" s="29"/>
      <c r="BM1226" s="29"/>
      <c r="BN1226" s="20">
        <f t="shared" si="149"/>
        <v>0</v>
      </c>
      <c r="BO1226" s="20">
        <f t="shared" si="150"/>
        <v>0</v>
      </c>
      <c r="BP1226" s="20">
        <f t="shared" si="151"/>
        <v>540</v>
      </c>
      <c r="BQ1226" s="51"/>
      <c r="BR1226" s="56"/>
      <c r="BS1226" s="111"/>
      <c r="BT1226" s="36"/>
      <c r="BU1226" s="112"/>
    </row>
    <row r="1227" s="1" customFormat="1" customHeight="1" spans="1:73">
      <c r="A1227" s="15" t="s">
        <v>1912</v>
      </c>
      <c r="B1227" s="15" t="s">
        <v>1914</v>
      </c>
      <c r="C1227" s="16">
        <v>1000</v>
      </c>
      <c r="D1227" s="29"/>
      <c r="E1227" s="30"/>
      <c r="F1227" s="29"/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29"/>
      <c r="AB1227" s="29"/>
      <c r="AC1227" s="29"/>
      <c r="AD1227" s="29"/>
      <c r="AE1227" s="29"/>
      <c r="AF1227" s="29"/>
      <c r="AG1227" s="30"/>
      <c r="AH1227" s="29"/>
      <c r="AI1227" s="29"/>
      <c r="AJ1227" s="29"/>
      <c r="AK1227" s="30"/>
      <c r="AL1227" s="29"/>
      <c r="AM1227" s="29"/>
      <c r="AN1227" s="29"/>
      <c r="AO1227" s="29"/>
      <c r="AP1227" s="29"/>
      <c r="AQ1227" s="29"/>
      <c r="AR1227" s="29"/>
      <c r="AS1227" s="29"/>
      <c r="AT1227" s="29"/>
      <c r="AU1227" s="29"/>
      <c r="AV1227" s="29"/>
      <c r="AW1227" s="29"/>
      <c r="AX1227" s="29"/>
      <c r="AY1227" s="29"/>
      <c r="AZ1227" s="29"/>
      <c r="BA1227" s="29"/>
      <c r="BB1227" s="29"/>
      <c r="BC1227" s="29"/>
      <c r="BD1227" s="29"/>
      <c r="BE1227" s="29"/>
      <c r="BF1227" s="29"/>
      <c r="BG1227" s="29"/>
      <c r="BH1227" s="29"/>
      <c r="BI1227" s="29"/>
      <c r="BJ1227" s="29"/>
      <c r="BK1227" s="29"/>
      <c r="BL1227" s="29"/>
      <c r="BM1227" s="29"/>
      <c r="BN1227" s="20">
        <f t="shared" si="149"/>
        <v>0</v>
      </c>
      <c r="BO1227" s="20">
        <f t="shared" si="150"/>
        <v>0</v>
      </c>
      <c r="BP1227" s="20">
        <f t="shared" si="151"/>
        <v>1000</v>
      </c>
      <c r="BQ1227" s="51" t="s">
        <v>1915</v>
      </c>
      <c r="BR1227" s="56"/>
      <c r="BS1227" s="111"/>
      <c r="BT1227" s="36"/>
      <c r="BU1227" s="112"/>
    </row>
    <row r="1228" s="1" customFormat="1" customHeight="1" spans="1:73">
      <c r="A1228" s="15" t="s">
        <v>1916</v>
      </c>
      <c r="B1228" s="15" t="s">
        <v>1917</v>
      </c>
      <c r="C1228" s="16">
        <v>336</v>
      </c>
      <c r="D1228" s="29"/>
      <c r="E1228" s="30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29"/>
      <c r="AB1228" s="29"/>
      <c r="AC1228" s="29"/>
      <c r="AD1228" s="29"/>
      <c r="AE1228" s="29"/>
      <c r="AF1228" s="29"/>
      <c r="AG1228" s="30"/>
      <c r="AH1228" s="29"/>
      <c r="AI1228" s="29"/>
      <c r="AJ1228" s="29"/>
      <c r="AK1228" s="30"/>
      <c r="AL1228" s="29"/>
      <c r="AM1228" s="29"/>
      <c r="AN1228" s="29"/>
      <c r="AO1228" s="29"/>
      <c r="AP1228" s="29"/>
      <c r="AQ1228" s="29"/>
      <c r="AR1228" s="29"/>
      <c r="AS1228" s="29"/>
      <c r="AT1228" s="29"/>
      <c r="AU1228" s="29"/>
      <c r="AV1228" s="29"/>
      <c r="AW1228" s="29"/>
      <c r="AX1228" s="29"/>
      <c r="AY1228" s="29"/>
      <c r="AZ1228" s="29"/>
      <c r="BA1228" s="29"/>
      <c r="BB1228" s="29"/>
      <c r="BC1228" s="29"/>
      <c r="BD1228" s="29"/>
      <c r="BE1228" s="29"/>
      <c r="BF1228" s="29"/>
      <c r="BG1228" s="29"/>
      <c r="BH1228" s="29"/>
      <c r="BI1228" s="29"/>
      <c r="BJ1228" s="29"/>
      <c r="BK1228" s="29"/>
      <c r="BL1228" s="29"/>
      <c r="BM1228" s="29"/>
      <c r="BN1228" s="20">
        <f t="shared" si="149"/>
        <v>0</v>
      </c>
      <c r="BO1228" s="20">
        <f t="shared" si="150"/>
        <v>0</v>
      </c>
      <c r="BP1228" s="20">
        <f t="shared" si="151"/>
        <v>336</v>
      </c>
      <c r="BQ1228" s="51"/>
      <c r="BR1228" s="56"/>
      <c r="BS1228" s="111"/>
      <c r="BT1228" s="36"/>
      <c r="BU1228" s="112"/>
    </row>
    <row r="1229" s="1" customFormat="1" customHeight="1" spans="1:73">
      <c r="A1229" s="15" t="s">
        <v>1918</v>
      </c>
      <c r="B1229" s="15" t="s">
        <v>1919</v>
      </c>
      <c r="C1229" s="16">
        <v>375</v>
      </c>
      <c r="D1229" s="29"/>
      <c r="E1229" s="30"/>
      <c r="F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29"/>
      <c r="AB1229" s="29"/>
      <c r="AC1229" s="29"/>
      <c r="AD1229" s="29"/>
      <c r="AE1229" s="29"/>
      <c r="AF1229" s="29"/>
      <c r="AG1229" s="30"/>
      <c r="AH1229" s="29"/>
      <c r="AI1229" s="29"/>
      <c r="AJ1229" s="29"/>
      <c r="AK1229" s="30"/>
      <c r="AL1229" s="29"/>
      <c r="AM1229" s="29"/>
      <c r="AN1229" s="29"/>
      <c r="AO1229" s="29"/>
      <c r="AP1229" s="29"/>
      <c r="AQ1229" s="29"/>
      <c r="AR1229" s="29"/>
      <c r="AS1229" s="29"/>
      <c r="AT1229" s="29"/>
      <c r="AU1229" s="29"/>
      <c r="AV1229" s="29"/>
      <c r="AW1229" s="29"/>
      <c r="AX1229" s="29"/>
      <c r="AY1229" s="29"/>
      <c r="AZ1229" s="29"/>
      <c r="BA1229" s="29"/>
      <c r="BB1229" s="29"/>
      <c r="BC1229" s="29"/>
      <c r="BD1229" s="29"/>
      <c r="BE1229" s="29"/>
      <c r="BF1229" s="29"/>
      <c r="BG1229" s="29"/>
      <c r="BH1229" s="29"/>
      <c r="BI1229" s="29"/>
      <c r="BJ1229" s="29"/>
      <c r="BK1229" s="29"/>
      <c r="BL1229" s="29"/>
      <c r="BM1229" s="29"/>
      <c r="BN1229" s="20">
        <f t="shared" si="149"/>
        <v>0</v>
      </c>
      <c r="BO1229" s="20">
        <f t="shared" si="150"/>
        <v>0</v>
      </c>
      <c r="BP1229" s="20">
        <f t="shared" si="151"/>
        <v>375</v>
      </c>
      <c r="BQ1229" s="51" t="s">
        <v>1915</v>
      </c>
      <c r="BR1229" s="56"/>
      <c r="BS1229" s="111"/>
      <c r="BT1229" s="36"/>
      <c r="BU1229" s="112"/>
    </row>
    <row r="1230" s="1" customFormat="1" customHeight="1" spans="1:73">
      <c r="A1230" s="15" t="s">
        <v>1920</v>
      </c>
      <c r="B1230" s="15" t="s">
        <v>1921</v>
      </c>
      <c r="C1230" s="16">
        <v>864</v>
      </c>
      <c r="D1230" s="29"/>
      <c r="E1230" s="30"/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29"/>
      <c r="AB1230" s="29"/>
      <c r="AC1230" s="29"/>
      <c r="AD1230" s="29"/>
      <c r="AE1230" s="29"/>
      <c r="AF1230" s="29"/>
      <c r="AG1230" s="30"/>
      <c r="AH1230" s="29"/>
      <c r="AI1230" s="29"/>
      <c r="AJ1230" s="29"/>
      <c r="AK1230" s="30"/>
      <c r="AL1230" s="29"/>
      <c r="AM1230" s="29"/>
      <c r="AN1230" s="29"/>
      <c r="AO1230" s="29"/>
      <c r="AP1230" s="29"/>
      <c r="AQ1230" s="29"/>
      <c r="AR1230" s="29"/>
      <c r="AS1230" s="29"/>
      <c r="AT1230" s="29"/>
      <c r="AU1230" s="29"/>
      <c r="AV1230" s="29"/>
      <c r="AW1230" s="29"/>
      <c r="AX1230" s="29"/>
      <c r="AY1230" s="29"/>
      <c r="AZ1230" s="29"/>
      <c r="BA1230" s="29"/>
      <c r="BB1230" s="29"/>
      <c r="BC1230" s="29"/>
      <c r="BD1230" s="29"/>
      <c r="BE1230" s="29"/>
      <c r="BF1230" s="29"/>
      <c r="BG1230" s="29"/>
      <c r="BH1230" s="29"/>
      <c r="BI1230" s="29"/>
      <c r="BJ1230" s="29"/>
      <c r="BK1230" s="29"/>
      <c r="BL1230" s="29"/>
      <c r="BM1230" s="29"/>
      <c r="BN1230" s="20">
        <f t="shared" si="149"/>
        <v>0</v>
      </c>
      <c r="BO1230" s="20">
        <f t="shared" si="150"/>
        <v>0</v>
      </c>
      <c r="BP1230" s="20">
        <f t="shared" si="151"/>
        <v>864</v>
      </c>
      <c r="BQ1230" s="51" t="s">
        <v>1915</v>
      </c>
      <c r="BR1230" s="56"/>
      <c r="BS1230" s="111"/>
      <c r="BT1230" s="36"/>
      <c r="BU1230" s="112"/>
    </row>
    <row r="1231" s="1" customFormat="1" customHeight="1" spans="1:73">
      <c r="A1231" s="15" t="s">
        <v>1920</v>
      </c>
      <c r="B1231" s="15" t="s">
        <v>1921</v>
      </c>
      <c r="C1231" s="16">
        <v>450</v>
      </c>
      <c r="D1231" s="29"/>
      <c r="E1231" s="30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30"/>
      <c r="AH1231" s="29"/>
      <c r="AI1231" s="29"/>
      <c r="AJ1231" s="29"/>
      <c r="AK1231" s="30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0">
        <f t="shared" si="149"/>
        <v>0</v>
      </c>
      <c r="BO1231" s="20">
        <f t="shared" si="150"/>
        <v>0</v>
      </c>
      <c r="BP1231" s="20">
        <f t="shared" si="151"/>
        <v>450</v>
      </c>
      <c r="BQ1231" s="51" t="s">
        <v>1915</v>
      </c>
      <c r="BR1231" s="56"/>
      <c r="BS1231" s="111"/>
      <c r="BT1231" s="36"/>
      <c r="BU1231" s="112"/>
    </row>
    <row r="1232" s="1" customFormat="1" customHeight="1" spans="1:73">
      <c r="A1232" s="15" t="s">
        <v>1922</v>
      </c>
      <c r="B1232" s="15" t="s">
        <v>1923</v>
      </c>
      <c r="C1232" s="16">
        <v>177</v>
      </c>
      <c r="D1232" s="29"/>
      <c r="E1232" s="30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29"/>
      <c r="AB1232" s="29"/>
      <c r="AC1232" s="29"/>
      <c r="AD1232" s="29"/>
      <c r="AE1232" s="29"/>
      <c r="AF1232" s="29"/>
      <c r="AG1232" s="30"/>
      <c r="AH1232" s="29"/>
      <c r="AI1232" s="29"/>
      <c r="AJ1232" s="29"/>
      <c r="AK1232" s="30"/>
      <c r="AL1232" s="29"/>
      <c r="AM1232" s="29"/>
      <c r="AN1232" s="29"/>
      <c r="AO1232" s="29"/>
      <c r="AP1232" s="29"/>
      <c r="AQ1232" s="29"/>
      <c r="AR1232" s="29"/>
      <c r="AS1232" s="29"/>
      <c r="AT1232" s="29"/>
      <c r="AU1232" s="29"/>
      <c r="AV1232" s="29"/>
      <c r="AW1232" s="29"/>
      <c r="AX1232" s="29"/>
      <c r="AY1232" s="29"/>
      <c r="AZ1232" s="29"/>
      <c r="BA1232" s="29"/>
      <c r="BB1232" s="29"/>
      <c r="BC1232" s="29"/>
      <c r="BD1232" s="29"/>
      <c r="BE1232" s="29"/>
      <c r="BF1232" s="29"/>
      <c r="BG1232" s="29"/>
      <c r="BH1232" s="29"/>
      <c r="BI1232" s="29"/>
      <c r="BJ1232" s="29"/>
      <c r="BK1232" s="29"/>
      <c r="BL1232" s="29"/>
      <c r="BM1232" s="29"/>
      <c r="BN1232" s="20">
        <f t="shared" si="149"/>
        <v>0</v>
      </c>
      <c r="BO1232" s="20">
        <f t="shared" si="150"/>
        <v>0</v>
      </c>
      <c r="BP1232" s="20">
        <f t="shared" si="151"/>
        <v>177</v>
      </c>
      <c r="BQ1232" s="51"/>
      <c r="BR1232" s="56"/>
      <c r="BS1232" s="111"/>
      <c r="BT1232" s="36"/>
      <c r="BU1232" s="112"/>
    </row>
    <row r="1233" s="1" customFormat="1" customHeight="1" spans="1:73">
      <c r="A1233" s="15" t="s">
        <v>1924</v>
      </c>
      <c r="B1233" s="15" t="s">
        <v>1925</v>
      </c>
      <c r="C1233" s="16">
        <v>757</v>
      </c>
      <c r="D1233" s="29"/>
      <c r="E1233" s="30"/>
      <c r="F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29"/>
      <c r="AB1233" s="29"/>
      <c r="AC1233" s="29"/>
      <c r="AD1233" s="29"/>
      <c r="AE1233" s="29"/>
      <c r="AF1233" s="29"/>
      <c r="AG1233" s="30"/>
      <c r="AH1233" s="29"/>
      <c r="AI1233" s="29"/>
      <c r="AJ1233" s="29"/>
      <c r="AK1233" s="30"/>
      <c r="AL1233" s="29"/>
      <c r="AM1233" s="29"/>
      <c r="AN1233" s="29"/>
      <c r="AO1233" s="29"/>
      <c r="AP1233" s="29"/>
      <c r="AQ1233" s="29"/>
      <c r="AR1233" s="29"/>
      <c r="AS1233" s="29"/>
      <c r="AT1233" s="29"/>
      <c r="AU1233" s="29"/>
      <c r="AV1233" s="29"/>
      <c r="AW1233" s="29"/>
      <c r="AX1233" s="29"/>
      <c r="AY1233" s="29"/>
      <c r="AZ1233" s="29"/>
      <c r="BA1233" s="29"/>
      <c r="BB1233" s="29"/>
      <c r="BC1233" s="82"/>
      <c r="BD1233" s="29"/>
      <c r="BE1233" s="29"/>
      <c r="BF1233" s="29"/>
      <c r="BG1233" s="29"/>
      <c r="BH1233" s="29"/>
      <c r="BI1233" s="29"/>
      <c r="BJ1233" s="29"/>
      <c r="BK1233" s="29"/>
      <c r="BL1233" s="29"/>
      <c r="BM1233" s="29"/>
      <c r="BN1233" s="20">
        <f t="shared" si="149"/>
        <v>0</v>
      </c>
      <c r="BO1233" s="20">
        <f t="shared" si="150"/>
        <v>0</v>
      </c>
      <c r="BP1233" s="20">
        <f t="shared" si="151"/>
        <v>757</v>
      </c>
      <c r="BQ1233" s="51" t="s">
        <v>1915</v>
      </c>
      <c r="BR1233" s="56"/>
      <c r="BS1233" s="111"/>
      <c r="BT1233" s="36"/>
      <c r="BU1233" s="112"/>
    </row>
    <row r="1234" s="1" customFormat="1" customHeight="1" spans="1:73">
      <c r="A1234" s="15" t="s">
        <v>1926</v>
      </c>
      <c r="B1234" s="15" t="s">
        <v>1927</v>
      </c>
      <c r="C1234" s="16">
        <v>2</v>
      </c>
      <c r="D1234" s="29"/>
      <c r="E1234" s="30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29"/>
      <c r="AB1234" s="29"/>
      <c r="AC1234" s="29"/>
      <c r="AD1234" s="29"/>
      <c r="AE1234" s="29"/>
      <c r="AF1234" s="29"/>
      <c r="AG1234" s="30"/>
      <c r="AH1234" s="29"/>
      <c r="AI1234" s="29"/>
      <c r="AJ1234" s="29"/>
      <c r="AK1234" s="30"/>
      <c r="AL1234" s="29"/>
      <c r="AM1234" s="29"/>
      <c r="AN1234" s="29"/>
      <c r="AO1234" s="29"/>
      <c r="AP1234" s="29"/>
      <c r="AQ1234" s="29"/>
      <c r="AR1234" s="29"/>
      <c r="AS1234" s="29"/>
      <c r="AT1234" s="29"/>
      <c r="AU1234" s="29"/>
      <c r="AV1234" s="29"/>
      <c r="AW1234" s="29"/>
      <c r="AX1234" s="29"/>
      <c r="AY1234" s="29"/>
      <c r="AZ1234" s="29"/>
      <c r="BA1234" s="29"/>
      <c r="BB1234" s="29"/>
      <c r="BC1234" s="82"/>
      <c r="BD1234" s="29"/>
      <c r="BE1234" s="29"/>
      <c r="BF1234" s="29"/>
      <c r="BG1234" s="29"/>
      <c r="BH1234" s="29"/>
      <c r="BI1234" s="29"/>
      <c r="BJ1234" s="29"/>
      <c r="BK1234" s="29"/>
      <c r="BL1234" s="29"/>
      <c r="BM1234" s="29"/>
      <c r="BN1234" s="20">
        <f t="shared" si="149"/>
        <v>0</v>
      </c>
      <c r="BO1234" s="20">
        <f t="shared" si="150"/>
        <v>0</v>
      </c>
      <c r="BP1234" s="20">
        <f t="shared" si="151"/>
        <v>2</v>
      </c>
      <c r="BQ1234" s="51"/>
      <c r="BR1234" s="56"/>
      <c r="BS1234" s="111"/>
      <c r="BT1234" s="36"/>
      <c r="BU1234" s="112"/>
    </row>
    <row r="1235" s="1" customFormat="1" customHeight="1" spans="1:73">
      <c r="A1235" s="15" t="s">
        <v>1928</v>
      </c>
      <c r="B1235" s="15" t="s">
        <v>1929</v>
      </c>
      <c r="C1235" s="16">
        <v>171</v>
      </c>
      <c r="D1235" s="29"/>
      <c r="E1235" s="30"/>
      <c r="F1235" s="29"/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29"/>
      <c r="AB1235" s="29"/>
      <c r="AC1235" s="29"/>
      <c r="AD1235" s="29"/>
      <c r="AE1235" s="29"/>
      <c r="AF1235" s="29"/>
      <c r="AG1235" s="30"/>
      <c r="AH1235" s="29"/>
      <c r="AI1235" s="29"/>
      <c r="AJ1235" s="29"/>
      <c r="AK1235" s="30"/>
      <c r="AL1235" s="29"/>
      <c r="AM1235" s="29"/>
      <c r="AN1235" s="29"/>
      <c r="AO1235" s="29"/>
      <c r="AP1235" s="29"/>
      <c r="AQ1235" s="29"/>
      <c r="AR1235" s="29"/>
      <c r="AS1235" s="29"/>
      <c r="AT1235" s="29"/>
      <c r="AU1235" s="29"/>
      <c r="AV1235" s="29"/>
      <c r="AW1235" s="29"/>
      <c r="AX1235" s="29"/>
      <c r="AY1235" s="29"/>
      <c r="AZ1235" s="29"/>
      <c r="BA1235" s="29"/>
      <c r="BB1235" s="29"/>
      <c r="BC1235" s="29"/>
      <c r="BD1235" s="29"/>
      <c r="BE1235" s="29"/>
      <c r="BF1235" s="29"/>
      <c r="BG1235" s="29"/>
      <c r="BH1235" s="29"/>
      <c r="BI1235" s="29"/>
      <c r="BJ1235" s="29"/>
      <c r="BK1235" s="29"/>
      <c r="BL1235" s="29"/>
      <c r="BM1235" s="29"/>
      <c r="BN1235" s="20">
        <f t="shared" si="149"/>
        <v>0</v>
      </c>
      <c r="BO1235" s="20">
        <f t="shared" si="150"/>
        <v>0</v>
      </c>
      <c r="BP1235" s="20">
        <f t="shared" si="151"/>
        <v>171</v>
      </c>
      <c r="BQ1235" s="56" t="s">
        <v>1930</v>
      </c>
      <c r="BR1235" s="56"/>
      <c r="BS1235" s="111"/>
      <c r="BT1235" s="36"/>
      <c r="BU1235" s="112"/>
    </row>
    <row r="1236" s="1" customFormat="1" customHeight="1" spans="1:73">
      <c r="A1236" s="15" t="s">
        <v>1931</v>
      </c>
      <c r="B1236" s="15" t="s">
        <v>1932</v>
      </c>
      <c r="C1236" s="16">
        <v>653</v>
      </c>
      <c r="D1236" s="29"/>
      <c r="E1236" s="30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29"/>
      <c r="AB1236" s="29"/>
      <c r="AC1236" s="29"/>
      <c r="AD1236" s="29"/>
      <c r="AE1236" s="29"/>
      <c r="AF1236" s="29"/>
      <c r="AG1236" s="29"/>
      <c r="AH1236" s="29"/>
      <c r="AI1236" s="29"/>
      <c r="AJ1236" s="29"/>
      <c r="AK1236" s="30"/>
      <c r="AL1236" s="29"/>
      <c r="AM1236" s="29"/>
      <c r="AN1236" s="29"/>
      <c r="AO1236" s="29"/>
      <c r="AP1236" s="29"/>
      <c r="AQ1236" s="29"/>
      <c r="AR1236" s="29"/>
      <c r="AS1236" s="29"/>
      <c r="AT1236" s="29"/>
      <c r="AU1236" s="29"/>
      <c r="AV1236" s="29"/>
      <c r="AW1236" s="29"/>
      <c r="AX1236" s="29"/>
      <c r="AY1236" s="29"/>
      <c r="AZ1236" s="29"/>
      <c r="BA1236" s="29"/>
      <c r="BB1236" s="29"/>
      <c r="BC1236" s="29"/>
      <c r="BD1236" s="29"/>
      <c r="BE1236" s="29"/>
      <c r="BF1236" s="29"/>
      <c r="BG1236" s="29"/>
      <c r="BH1236" s="29"/>
      <c r="BI1236" s="29"/>
      <c r="BJ1236" s="29"/>
      <c r="BK1236" s="29"/>
      <c r="BL1236" s="29"/>
      <c r="BM1236" s="29"/>
      <c r="BN1236" s="20">
        <f t="shared" si="149"/>
        <v>0</v>
      </c>
      <c r="BO1236" s="20">
        <f t="shared" si="150"/>
        <v>0</v>
      </c>
      <c r="BP1236" s="20">
        <f t="shared" si="151"/>
        <v>653</v>
      </c>
      <c r="BQ1236" s="175" t="s">
        <v>1933</v>
      </c>
      <c r="BR1236" s="56"/>
      <c r="BS1236" s="111" t="s">
        <v>1934</v>
      </c>
      <c r="BT1236" s="36"/>
      <c r="BU1236" s="112"/>
    </row>
    <row r="1237" s="1" customFormat="1" customHeight="1" spans="1:73">
      <c r="A1237" s="15" t="s">
        <v>1935</v>
      </c>
      <c r="B1237" s="15" t="s">
        <v>1936</v>
      </c>
      <c r="C1237" s="16">
        <v>85</v>
      </c>
      <c r="D1237" s="29"/>
      <c r="E1237" s="30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29"/>
      <c r="AB1237" s="29"/>
      <c r="AC1237" s="29"/>
      <c r="AD1237" s="29"/>
      <c r="AE1237" s="29"/>
      <c r="AF1237" s="29"/>
      <c r="AG1237" s="30"/>
      <c r="AH1237" s="29"/>
      <c r="AI1237" s="29"/>
      <c r="AJ1237" s="29"/>
      <c r="AK1237" s="30"/>
      <c r="AL1237" s="29"/>
      <c r="AM1237" s="29"/>
      <c r="AN1237" s="29"/>
      <c r="AO1237" s="29"/>
      <c r="AP1237" s="29"/>
      <c r="AQ1237" s="29"/>
      <c r="AR1237" s="29"/>
      <c r="AS1237" s="29"/>
      <c r="AT1237" s="29"/>
      <c r="AU1237" s="29"/>
      <c r="AV1237" s="29"/>
      <c r="AW1237" s="29"/>
      <c r="AX1237" s="29"/>
      <c r="AY1237" s="29"/>
      <c r="AZ1237" s="29"/>
      <c r="BA1237" s="29"/>
      <c r="BB1237" s="29"/>
      <c r="BC1237" s="29"/>
      <c r="BD1237" s="29"/>
      <c r="BE1237" s="29"/>
      <c r="BF1237" s="29"/>
      <c r="BG1237" s="29"/>
      <c r="BH1237" s="29"/>
      <c r="BI1237" s="29"/>
      <c r="BJ1237" s="29"/>
      <c r="BK1237" s="29"/>
      <c r="BL1237" s="29"/>
      <c r="BM1237" s="29"/>
      <c r="BN1237" s="20">
        <f t="shared" si="149"/>
        <v>0</v>
      </c>
      <c r="BO1237" s="20">
        <f t="shared" si="150"/>
        <v>0</v>
      </c>
      <c r="BP1237" s="20">
        <f t="shared" si="151"/>
        <v>85</v>
      </c>
      <c r="BQ1237" s="51"/>
      <c r="BR1237" s="56"/>
      <c r="BS1237" s="111"/>
      <c r="BT1237" s="36"/>
      <c r="BU1237" s="112"/>
    </row>
    <row r="1238" s="1" customFormat="1" customHeight="1" spans="1:73">
      <c r="A1238" s="15" t="s">
        <v>1937</v>
      </c>
      <c r="B1238" s="15" t="s">
        <v>1938</v>
      </c>
      <c r="C1238" s="16">
        <v>-2413</v>
      </c>
      <c r="D1238" s="29"/>
      <c r="E1238" s="30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29"/>
      <c r="AB1238" s="29"/>
      <c r="AC1238" s="29"/>
      <c r="AD1238" s="29"/>
      <c r="AE1238" s="29"/>
      <c r="AF1238" s="29"/>
      <c r="AG1238" s="30"/>
      <c r="AH1238" s="29"/>
      <c r="AI1238" s="29"/>
      <c r="AJ1238" s="29"/>
      <c r="AK1238" s="30"/>
      <c r="AL1238" s="29"/>
      <c r="AM1238" s="29"/>
      <c r="AN1238" s="29"/>
      <c r="AO1238" s="29"/>
      <c r="AP1238" s="29"/>
      <c r="AQ1238" s="29"/>
      <c r="AR1238" s="29"/>
      <c r="AS1238" s="29"/>
      <c r="AT1238" s="29"/>
      <c r="AU1238" s="29"/>
      <c r="AV1238" s="29"/>
      <c r="AW1238" s="29"/>
      <c r="AX1238" s="54"/>
      <c r="AY1238" s="29"/>
      <c r="AZ1238" s="29"/>
      <c r="BA1238" s="29"/>
      <c r="BB1238" s="29"/>
      <c r="BC1238" s="29"/>
      <c r="BD1238" s="29"/>
      <c r="BE1238" s="29"/>
      <c r="BF1238" s="29"/>
      <c r="BG1238" s="29"/>
      <c r="BH1238" s="29"/>
      <c r="BI1238" s="29"/>
      <c r="BJ1238" s="29"/>
      <c r="BK1238" s="29"/>
      <c r="BL1238" s="29"/>
      <c r="BM1238" s="29"/>
      <c r="BN1238" s="20">
        <f t="shared" si="149"/>
        <v>0</v>
      </c>
      <c r="BO1238" s="20">
        <f t="shared" si="150"/>
        <v>0</v>
      </c>
      <c r="BP1238" s="20">
        <f t="shared" si="151"/>
        <v>-2413</v>
      </c>
      <c r="BQ1238" s="51"/>
      <c r="BR1238" s="56"/>
      <c r="BS1238" s="111" t="s">
        <v>1939</v>
      </c>
      <c r="BT1238" s="36"/>
      <c r="BU1238" s="112"/>
    </row>
    <row r="1239" s="1" customFormat="1" customHeight="1" spans="1:73">
      <c r="A1239" s="15" t="s">
        <v>1940</v>
      </c>
      <c r="B1239" s="15" t="s">
        <v>1941</v>
      </c>
      <c r="C1239" s="16">
        <v>43</v>
      </c>
      <c r="D1239" s="29"/>
      <c r="E1239" s="30"/>
      <c r="F1239" s="29"/>
      <c r="G1239" s="30"/>
      <c r="H1239" s="29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30"/>
      <c r="AH1239" s="29"/>
      <c r="AI1239" s="29"/>
      <c r="AJ1239" s="29"/>
      <c r="AK1239" s="30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  <c r="AZ1239" s="29"/>
      <c r="BA1239" s="29"/>
      <c r="BB1239" s="29"/>
      <c r="BC1239" s="29"/>
      <c r="BD1239" s="29"/>
      <c r="BE1239" s="29"/>
      <c r="BF1239" s="29"/>
      <c r="BG1239" s="29"/>
      <c r="BH1239" s="29"/>
      <c r="BI1239" s="29"/>
      <c r="BJ1239" s="29"/>
      <c r="BK1239" s="29"/>
      <c r="BL1239" s="29"/>
      <c r="BM1239" s="29"/>
      <c r="BN1239" s="20">
        <f t="shared" si="149"/>
        <v>0</v>
      </c>
      <c r="BO1239" s="20">
        <f t="shared" si="150"/>
        <v>0</v>
      </c>
      <c r="BP1239" s="20">
        <f t="shared" si="151"/>
        <v>43</v>
      </c>
      <c r="BQ1239" s="51" t="s">
        <v>1942</v>
      </c>
      <c r="BR1239" s="56"/>
      <c r="BS1239" s="111"/>
      <c r="BT1239" s="36"/>
      <c r="BU1239" s="112"/>
    </row>
    <row r="1240" s="1" customFormat="1" customHeight="1" spans="1:73">
      <c r="A1240" s="15" t="s">
        <v>1943</v>
      </c>
      <c r="B1240" s="15" t="s">
        <v>1944</v>
      </c>
      <c r="C1240" s="16">
        <v>1846</v>
      </c>
      <c r="D1240" s="29"/>
      <c r="E1240" s="30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30"/>
      <c r="R1240" s="29"/>
      <c r="S1240" s="29"/>
      <c r="T1240" s="29"/>
      <c r="U1240" s="29"/>
      <c r="V1240" s="29"/>
      <c r="W1240" s="29"/>
      <c r="X1240" s="29"/>
      <c r="Y1240" s="29"/>
      <c r="Z1240" s="29"/>
      <c r="AA1240" s="30"/>
      <c r="AB1240" s="29"/>
      <c r="AC1240" s="29"/>
      <c r="AD1240" s="29"/>
      <c r="AE1240" s="30"/>
      <c r="AF1240" s="29"/>
      <c r="AG1240" s="30"/>
      <c r="AH1240" s="29"/>
      <c r="AI1240" s="29"/>
      <c r="AJ1240" s="29"/>
      <c r="AK1240" s="30"/>
      <c r="AL1240" s="29"/>
      <c r="AM1240" s="29"/>
      <c r="AN1240" s="29"/>
      <c r="AO1240" s="29"/>
      <c r="AP1240" s="29"/>
      <c r="AQ1240" s="29"/>
      <c r="AR1240" s="29"/>
      <c r="AS1240" s="29"/>
      <c r="AT1240" s="29"/>
      <c r="AU1240" s="29"/>
      <c r="AV1240" s="29"/>
      <c r="AW1240" s="29"/>
      <c r="AX1240" s="54"/>
      <c r="AY1240" s="29"/>
      <c r="AZ1240" s="29"/>
      <c r="BA1240" s="29"/>
      <c r="BB1240" s="29"/>
      <c r="BC1240" s="29"/>
      <c r="BD1240" s="29"/>
      <c r="BE1240" s="30"/>
      <c r="BF1240" s="29"/>
      <c r="BG1240" s="29"/>
      <c r="BH1240" s="29"/>
      <c r="BI1240" s="29"/>
      <c r="BJ1240" s="29"/>
      <c r="BK1240" s="29"/>
      <c r="BL1240" s="29"/>
      <c r="BM1240" s="29"/>
      <c r="BN1240" s="20">
        <f t="shared" si="149"/>
        <v>0</v>
      </c>
      <c r="BO1240" s="20">
        <f t="shared" si="150"/>
        <v>0</v>
      </c>
      <c r="BP1240" s="20">
        <f t="shared" si="151"/>
        <v>1846</v>
      </c>
      <c r="BQ1240" s="51"/>
      <c r="BR1240" s="56"/>
      <c r="BS1240" s="111"/>
      <c r="BT1240" s="36"/>
      <c r="BU1240" s="112"/>
    </row>
    <row r="1241" s="1" customFormat="1" customHeight="1" spans="1:73">
      <c r="A1241" s="15" t="s">
        <v>1943</v>
      </c>
      <c r="B1241" s="15" t="s">
        <v>1945</v>
      </c>
      <c r="C1241" s="16">
        <v>8</v>
      </c>
      <c r="D1241" s="29"/>
      <c r="E1241" s="30"/>
      <c r="F1241" s="29"/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29"/>
      <c r="X1241" s="29"/>
      <c r="Y1241" s="29"/>
      <c r="Z1241" s="29"/>
      <c r="AA1241" s="29"/>
      <c r="AB1241" s="29"/>
      <c r="AC1241" s="29"/>
      <c r="AD1241" s="29"/>
      <c r="AE1241" s="29"/>
      <c r="AF1241" s="29"/>
      <c r="AG1241" s="30"/>
      <c r="AH1241" s="29"/>
      <c r="AI1241" s="29"/>
      <c r="AJ1241" s="29"/>
      <c r="AK1241" s="30"/>
      <c r="AL1241" s="29"/>
      <c r="AM1241" s="29"/>
      <c r="AN1241" s="29"/>
      <c r="AO1241" s="29"/>
      <c r="AP1241" s="29"/>
      <c r="AQ1241" s="29"/>
      <c r="AR1241" s="29"/>
      <c r="AS1241" s="29"/>
      <c r="AT1241" s="29"/>
      <c r="AU1241" s="29"/>
      <c r="AV1241" s="29"/>
      <c r="AW1241" s="29"/>
      <c r="AX1241" s="29"/>
      <c r="AY1241" s="29"/>
      <c r="AZ1241" s="29"/>
      <c r="BA1241" s="29"/>
      <c r="BB1241" s="29"/>
      <c r="BC1241" s="29"/>
      <c r="BD1241" s="29"/>
      <c r="BE1241" s="30"/>
      <c r="BF1241" s="29"/>
      <c r="BG1241" s="29"/>
      <c r="BH1241" s="29"/>
      <c r="BI1241" s="29"/>
      <c r="BJ1241" s="29"/>
      <c r="BK1241" s="29"/>
      <c r="BL1241" s="29"/>
      <c r="BM1241" s="29"/>
      <c r="BN1241" s="20">
        <f t="shared" si="149"/>
        <v>0</v>
      </c>
      <c r="BO1241" s="20">
        <f t="shared" si="150"/>
        <v>0</v>
      </c>
      <c r="BP1241" s="20">
        <f t="shared" si="151"/>
        <v>8</v>
      </c>
      <c r="BQ1241" s="51"/>
      <c r="BR1241" s="56"/>
      <c r="BS1241" s="111"/>
      <c r="BT1241" s="36"/>
      <c r="BU1241" s="112"/>
    </row>
    <row r="1242" s="1" customFormat="1" customHeight="1" spans="1:73">
      <c r="A1242" s="15" t="s">
        <v>1946</v>
      </c>
      <c r="B1242" s="15" t="s">
        <v>1947</v>
      </c>
      <c r="C1242" s="16">
        <v>1401</v>
      </c>
      <c r="D1242" s="29"/>
      <c r="E1242" s="30"/>
      <c r="F1242" s="29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29"/>
      <c r="X1242" s="29"/>
      <c r="Y1242" s="29"/>
      <c r="Z1242" s="29"/>
      <c r="AA1242" s="29"/>
      <c r="AB1242" s="29"/>
      <c r="AC1242" s="29"/>
      <c r="AD1242" s="29"/>
      <c r="AE1242" s="29"/>
      <c r="AF1242" s="29"/>
      <c r="AG1242" s="30"/>
      <c r="AH1242" s="29"/>
      <c r="AI1242" s="29"/>
      <c r="AJ1242" s="29"/>
      <c r="AK1242" s="30"/>
      <c r="AL1242" s="29"/>
      <c r="AM1242" s="29"/>
      <c r="AN1242" s="29"/>
      <c r="AO1242" s="29"/>
      <c r="AP1242" s="29"/>
      <c r="AQ1242" s="29"/>
      <c r="AR1242" s="29"/>
      <c r="AS1242" s="29"/>
      <c r="AT1242" s="29"/>
      <c r="AU1242" s="29"/>
      <c r="AV1242" s="29"/>
      <c r="AW1242" s="29"/>
      <c r="AX1242" s="29"/>
      <c r="AY1242" s="29"/>
      <c r="AZ1242" s="29"/>
      <c r="BA1242" s="29"/>
      <c r="BB1242" s="29"/>
      <c r="BC1242" s="29"/>
      <c r="BD1242" s="29"/>
      <c r="BE1242" s="30"/>
      <c r="BF1242" s="29"/>
      <c r="BG1242" s="29"/>
      <c r="BH1242" s="29"/>
      <c r="BI1242" s="29"/>
      <c r="BJ1242" s="29"/>
      <c r="BK1242" s="29"/>
      <c r="BL1242" s="29"/>
      <c r="BM1242" s="29"/>
      <c r="BN1242" s="20">
        <f t="shared" si="149"/>
        <v>0</v>
      </c>
      <c r="BO1242" s="20">
        <f t="shared" si="150"/>
        <v>0</v>
      </c>
      <c r="BP1242" s="20">
        <f t="shared" si="151"/>
        <v>1401</v>
      </c>
      <c r="BQ1242" s="51"/>
      <c r="BR1242" s="56"/>
      <c r="BS1242" s="111"/>
      <c r="BT1242" s="36"/>
      <c r="BU1242" s="112"/>
    </row>
    <row r="1243" s="1" customFormat="1" ht="23.25" customHeight="1" spans="1:73">
      <c r="A1243" s="15" t="s">
        <v>1948</v>
      </c>
      <c r="B1243" s="15" t="s">
        <v>1949</v>
      </c>
      <c r="C1243" s="16">
        <v>619</v>
      </c>
      <c r="D1243" s="29"/>
      <c r="E1243" s="30"/>
      <c r="F1243" s="29"/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29"/>
      <c r="X1243" s="29"/>
      <c r="Y1243" s="29"/>
      <c r="Z1243" s="29"/>
      <c r="AA1243" s="29"/>
      <c r="AB1243" s="29"/>
      <c r="AC1243" s="29"/>
      <c r="AD1243" s="29"/>
      <c r="AE1243" s="29"/>
      <c r="AF1243" s="29"/>
      <c r="AG1243" s="30"/>
      <c r="AH1243" s="29"/>
      <c r="AI1243" s="29"/>
      <c r="AJ1243" s="29"/>
      <c r="AK1243" s="30"/>
      <c r="AL1243" s="29"/>
      <c r="AM1243" s="29"/>
      <c r="AN1243" s="29"/>
      <c r="AO1243" s="29"/>
      <c r="AP1243" s="29"/>
      <c r="AQ1243" s="29"/>
      <c r="AR1243" s="29"/>
      <c r="AS1243" s="29"/>
      <c r="AT1243" s="29"/>
      <c r="AU1243" s="29"/>
      <c r="AV1243" s="29"/>
      <c r="AW1243" s="29"/>
      <c r="AX1243" s="29"/>
      <c r="AY1243" s="29"/>
      <c r="AZ1243" s="29"/>
      <c r="BA1243" s="29"/>
      <c r="BB1243" s="29"/>
      <c r="BC1243" s="29"/>
      <c r="BD1243" s="29"/>
      <c r="BE1243" s="30"/>
      <c r="BF1243" s="29"/>
      <c r="BG1243" s="29"/>
      <c r="BH1243" s="29"/>
      <c r="BI1243" s="29"/>
      <c r="BJ1243" s="29"/>
      <c r="BK1243" s="29"/>
      <c r="BL1243" s="29"/>
      <c r="BM1243" s="29"/>
      <c r="BN1243" s="20">
        <f t="shared" si="149"/>
        <v>0</v>
      </c>
      <c r="BO1243" s="20">
        <f t="shared" si="150"/>
        <v>0</v>
      </c>
      <c r="BP1243" s="20">
        <f t="shared" si="151"/>
        <v>619</v>
      </c>
      <c r="BQ1243" s="51"/>
      <c r="BR1243" s="56"/>
      <c r="BS1243" s="111"/>
      <c r="BT1243" s="36"/>
      <c r="BU1243" s="112"/>
    </row>
    <row r="1244" s="1" customFormat="1" customHeight="1" spans="1:73">
      <c r="A1244" s="15" t="s">
        <v>1950</v>
      </c>
      <c r="B1244" s="15" t="s">
        <v>1951</v>
      </c>
      <c r="C1244" s="16">
        <v>800</v>
      </c>
      <c r="D1244" s="29"/>
      <c r="E1244" s="30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29"/>
      <c r="AB1244" s="29"/>
      <c r="AC1244" s="29"/>
      <c r="AD1244" s="29"/>
      <c r="AE1244" s="29"/>
      <c r="AF1244" s="29"/>
      <c r="AG1244" s="30"/>
      <c r="AH1244" s="29"/>
      <c r="AI1244" s="29"/>
      <c r="AJ1244" s="29"/>
      <c r="AK1244" s="30"/>
      <c r="AL1244" s="29"/>
      <c r="AM1244" s="29"/>
      <c r="AN1244" s="29"/>
      <c r="AO1244" s="29"/>
      <c r="AP1244" s="29"/>
      <c r="AQ1244" s="29"/>
      <c r="AR1244" s="29"/>
      <c r="AS1244" s="29"/>
      <c r="AT1244" s="29"/>
      <c r="AU1244" s="29"/>
      <c r="AV1244" s="29"/>
      <c r="AW1244" s="29"/>
      <c r="AX1244" s="29"/>
      <c r="AY1244" s="29"/>
      <c r="AZ1244" s="29"/>
      <c r="BA1244" s="29"/>
      <c r="BB1244" s="29"/>
      <c r="BC1244" s="29"/>
      <c r="BD1244" s="29"/>
      <c r="BE1244" s="30"/>
      <c r="BF1244" s="29"/>
      <c r="BG1244" s="29"/>
      <c r="BH1244" s="29"/>
      <c r="BI1244" s="29"/>
      <c r="BJ1244" s="29"/>
      <c r="BK1244" s="29"/>
      <c r="BL1244" s="29"/>
      <c r="BM1244" s="29"/>
      <c r="BN1244" s="20">
        <f t="shared" si="149"/>
        <v>0</v>
      </c>
      <c r="BO1244" s="20">
        <f t="shared" si="150"/>
        <v>0</v>
      </c>
      <c r="BP1244" s="20">
        <f t="shared" si="151"/>
        <v>800</v>
      </c>
      <c r="BQ1244" s="51"/>
      <c r="BR1244" s="56"/>
      <c r="BS1244" s="111"/>
      <c r="BT1244" s="36"/>
      <c r="BU1244" s="112"/>
    </row>
    <row r="1245" s="1" customFormat="1" customHeight="1" spans="1:73">
      <c r="A1245" s="15" t="s">
        <v>1952</v>
      </c>
      <c r="B1245" s="15" t="s">
        <v>1953</v>
      </c>
      <c r="C1245" s="16">
        <v>2807</v>
      </c>
      <c r="D1245" s="29"/>
      <c r="E1245" s="30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29"/>
      <c r="AB1245" s="29"/>
      <c r="AC1245" s="29"/>
      <c r="AD1245" s="29"/>
      <c r="AE1245" s="29"/>
      <c r="AF1245" s="29"/>
      <c r="AG1245" s="30"/>
      <c r="AH1245" s="29"/>
      <c r="AI1245" s="29"/>
      <c r="AJ1245" s="29"/>
      <c r="AK1245" s="30"/>
      <c r="AL1245" s="29"/>
      <c r="AM1245" s="29"/>
      <c r="AN1245" s="29"/>
      <c r="AO1245" s="29"/>
      <c r="AP1245" s="29"/>
      <c r="AQ1245" s="29"/>
      <c r="AR1245" s="29"/>
      <c r="AS1245" s="29"/>
      <c r="AT1245" s="29"/>
      <c r="AU1245" s="29"/>
      <c r="AV1245" s="29"/>
      <c r="AW1245" s="29"/>
      <c r="AX1245" s="29"/>
      <c r="AY1245" s="29"/>
      <c r="AZ1245" s="29"/>
      <c r="BA1245" s="29"/>
      <c r="BB1245" s="29"/>
      <c r="BC1245" s="29"/>
      <c r="BD1245" s="29"/>
      <c r="BE1245" s="29"/>
      <c r="BF1245" s="29"/>
      <c r="BG1245" s="29"/>
      <c r="BH1245" s="29"/>
      <c r="BI1245" s="29"/>
      <c r="BJ1245" s="29"/>
      <c r="BK1245" s="29"/>
      <c r="BL1245" s="29"/>
      <c r="BM1245" s="29"/>
      <c r="BN1245" s="20">
        <f t="shared" si="149"/>
        <v>0</v>
      </c>
      <c r="BO1245" s="20">
        <f t="shared" si="150"/>
        <v>0</v>
      </c>
      <c r="BP1245" s="20">
        <f t="shared" si="151"/>
        <v>2807</v>
      </c>
      <c r="BQ1245" s="51"/>
      <c r="BR1245" s="56"/>
      <c r="BS1245" s="111" t="s">
        <v>1954</v>
      </c>
      <c r="BT1245" s="36"/>
      <c r="BU1245" s="112"/>
    </row>
    <row r="1246" s="1" customFormat="1" customHeight="1" spans="1:73">
      <c r="A1246" s="15" t="s">
        <v>1955</v>
      </c>
      <c r="B1246" s="15" t="s">
        <v>1956</v>
      </c>
      <c r="C1246" s="16">
        <v>1000</v>
      </c>
      <c r="D1246" s="29"/>
      <c r="E1246" s="30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29"/>
      <c r="AB1246" s="29"/>
      <c r="AC1246" s="29"/>
      <c r="AD1246" s="29"/>
      <c r="AE1246" s="29"/>
      <c r="AF1246" s="29"/>
      <c r="AG1246" s="30"/>
      <c r="AH1246" s="29"/>
      <c r="AI1246" s="29"/>
      <c r="AJ1246" s="29"/>
      <c r="AK1246" s="30"/>
      <c r="AL1246" s="29"/>
      <c r="AM1246" s="29"/>
      <c r="AN1246" s="29"/>
      <c r="AO1246" s="29"/>
      <c r="AP1246" s="29"/>
      <c r="AQ1246" s="29"/>
      <c r="AR1246" s="29"/>
      <c r="AS1246" s="29"/>
      <c r="AT1246" s="29"/>
      <c r="AU1246" s="29"/>
      <c r="AV1246" s="29"/>
      <c r="AW1246" s="29"/>
      <c r="AX1246" s="29"/>
      <c r="AY1246" s="29"/>
      <c r="AZ1246" s="29"/>
      <c r="BA1246" s="29"/>
      <c r="BB1246" s="29"/>
      <c r="BC1246" s="29"/>
      <c r="BD1246" s="29"/>
      <c r="BE1246" s="30"/>
      <c r="BF1246" s="29"/>
      <c r="BG1246" s="29"/>
      <c r="BH1246" s="29"/>
      <c r="BI1246" s="29"/>
      <c r="BJ1246" s="29"/>
      <c r="BK1246" s="29"/>
      <c r="BL1246" s="29"/>
      <c r="BM1246" s="29"/>
      <c r="BN1246" s="20">
        <f t="shared" si="149"/>
        <v>0</v>
      </c>
      <c r="BO1246" s="20">
        <f t="shared" si="150"/>
        <v>0</v>
      </c>
      <c r="BP1246" s="20">
        <f t="shared" si="151"/>
        <v>1000</v>
      </c>
      <c r="BQ1246" s="51"/>
      <c r="BR1246" s="56"/>
      <c r="BS1246" s="111"/>
      <c r="BT1246" s="36"/>
      <c r="BU1246" s="112"/>
    </row>
    <row r="1247" s="1" customFormat="1" customHeight="1" spans="1:73">
      <c r="A1247" s="15" t="s">
        <v>1957</v>
      </c>
      <c r="B1247" s="15" t="s">
        <v>1958</v>
      </c>
      <c r="C1247" s="16">
        <v>361</v>
      </c>
      <c r="D1247" s="29"/>
      <c r="E1247" s="29"/>
      <c r="F1247" s="29"/>
      <c r="G1247" s="29"/>
      <c r="H1247" s="29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29"/>
      <c r="AB1247" s="29"/>
      <c r="AC1247" s="29"/>
      <c r="AD1247" s="29"/>
      <c r="AE1247" s="29"/>
      <c r="AF1247" s="29"/>
      <c r="AG1247" s="30"/>
      <c r="AH1247" s="29"/>
      <c r="AI1247" s="29"/>
      <c r="AJ1247" s="29"/>
      <c r="AK1247" s="30"/>
      <c r="AL1247" s="29"/>
      <c r="AM1247" s="29"/>
      <c r="AN1247" s="29"/>
      <c r="AO1247" s="29"/>
      <c r="AP1247" s="29"/>
      <c r="AQ1247" s="29"/>
      <c r="AR1247" s="29"/>
      <c r="AS1247" s="29"/>
      <c r="AT1247" s="29"/>
      <c r="AU1247" s="29"/>
      <c r="AV1247" s="29"/>
      <c r="AW1247" s="29"/>
      <c r="AX1247" s="54"/>
      <c r="AY1247" s="29"/>
      <c r="AZ1247" s="29"/>
      <c r="BA1247" s="29"/>
      <c r="BB1247" s="29"/>
      <c r="BC1247" s="29"/>
      <c r="BD1247" s="29"/>
      <c r="BE1247" s="29"/>
      <c r="BF1247" s="29"/>
      <c r="BG1247" s="29"/>
      <c r="BH1247" s="29"/>
      <c r="BI1247" s="29"/>
      <c r="BJ1247" s="29"/>
      <c r="BK1247" s="29"/>
      <c r="BL1247" s="29"/>
      <c r="BM1247" s="29"/>
      <c r="BN1247" s="20">
        <f t="shared" si="149"/>
        <v>0</v>
      </c>
      <c r="BO1247" s="20">
        <f t="shared" si="150"/>
        <v>0</v>
      </c>
      <c r="BP1247" s="20">
        <f t="shared" si="151"/>
        <v>361</v>
      </c>
      <c r="BQ1247" s="51"/>
      <c r="BR1247" s="56"/>
      <c r="BS1247" s="111"/>
      <c r="BT1247" s="36"/>
      <c r="BU1247" s="112"/>
    </row>
    <row r="1248" s="1" customFormat="1" customHeight="1" spans="1:73">
      <c r="A1248" s="15" t="s">
        <v>1957</v>
      </c>
      <c r="B1248" s="15" t="s">
        <v>1959</v>
      </c>
      <c r="C1248" s="16">
        <v>-167</v>
      </c>
      <c r="D1248" s="29"/>
      <c r="E1248" s="30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29"/>
      <c r="AB1248" s="29"/>
      <c r="AC1248" s="29"/>
      <c r="AD1248" s="29"/>
      <c r="AE1248" s="29"/>
      <c r="AF1248" s="29"/>
      <c r="AG1248" s="30"/>
      <c r="AH1248" s="29"/>
      <c r="AI1248" s="29"/>
      <c r="AJ1248" s="29"/>
      <c r="AK1248" s="30"/>
      <c r="AL1248" s="29"/>
      <c r="AM1248" s="29"/>
      <c r="AN1248" s="29"/>
      <c r="AO1248" s="29"/>
      <c r="AP1248" s="29"/>
      <c r="AQ1248" s="29"/>
      <c r="AR1248" s="29"/>
      <c r="AS1248" s="29"/>
      <c r="AT1248" s="29"/>
      <c r="AU1248" s="29"/>
      <c r="AV1248" s="29"/>
      <c r="AW1248" s="29"/>
      <c r="AX1248" s="29"/>
      <c r="AY1248" s="29"/>
      <c r="AZ1248" s="29"/>
      <c r="BA1248" s="29"/>
      <c r="BB1248" s="29"/>
      <c r="BC1248" s="29"/>
      <c r="BD1248" s="29"/>
      <c r="BE1248" s="30"/>
      <c r="BF1248" s="29"/>
      <c r="BG1248" s="29"/>
      <c r="BH1248" s="29"/>
      <c r="BI1248" s="29"/>
      <c r="BJ1248" s="29"/>
      <c r="BK1248" s="29"/>
      <c r="BL1248" s="29"/>
      <c r="BM1248" s="29"/>
      <c r="BN1248" s="20">
        <f t="shared" si="149"/>
        <v>0</v>
      </c>
      <c r="BO1248" s="20">
        <f t="shared" si="150"/>
        <v>0</v>
      </c>
      <c r="BP1248" s="20">
        <f t="shared" si="151"/>
        <v>-167</v>
      </c>
      <c r="BQ1248" s="51"/>
      <c r="BR1248" s="56"/>
      <c r="BS1248" s="111"/>
      <c r="BT1248" s="36"/>
      <c r="BU1248" s="112"/>
    </row>
    <row r="1249" s="1" customFormat="1" customHeight="1" spans="1:73">
      <c r="A1249" s="15" t="s">
        <v>1960</v>
      </c>
      <c r="B1249" s="15" t="s">
        <v>1961</v>
      </c>
      <c r="C1249" s="16">
        <v>900</v>
      </c>
      <c r="D1249" s="29"/>
      <c r="E1249" s="30"/>
      <c r="F1249" s="29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29"/>
      <c r="AB1249" s="29"/>
      <c r="AC1249" s="29"/>
      <c r="AD1249" s="29"/>
      <c r="AE1249" s="29"/>
      <c r="AF1249" s="29"/>
      <c r="AG1249" s="30"/>
      <c r="AH1249" s="29"/>
      <c r="AI1249" s="29"/>
      <c r="AJ1249" s="29"/>
      <c r="AK1249" s="30"/>
      <c r="AL1249" s="29"/>
      <c r="AM1249" s="29"/>
      <c r="AN1249" s="29"/>
      <c r="AO1249" s="29"/>
      <c r="AP1249" s="29"/>
      <c r="AQ1249" s="29"/>
      <c r="AR1249" s="29"/>
      <c r="AS1249" s="29"/>
      <c r="AT1249" s="29"/>
      <c r="AU1249" s="29"/>
      <c r="AV1249" s="29"/>
      <c r="AW1249" s="29"/>
      <c r="AX1249" s="29"/>
      <c r="AY1249" s="29"/>
      <c r="AZ1249" s="29"/>
      <c r="BA1249" s="29"/>
      <c r="BB1249" s="29"/>
      <c r="BC1249" s="29"/>
      <c r="BD1249" s="29"/>
      <c r="BE1249" s="30"/>
      <c r="BF1249" s="29"/>
      <c r="BG1249" s="29"/>
      <c r="BH1249" s="29"/>
      <c r="BI1249" s="29"/>
      <c r="BJ1249" s="29"/>
      <c r="BK1249" s="29"/>
      <c r="BL1249" s="29"/>
      <c r="BM1249" s="29"/>
      <c r="BN1249" s="20">
        <f t="shared" si="149"/>
        <v>0</v>
      </c>
      <c r="BO1249" s="20">
        <f t="shared" si="150"/>
        <v>0</v>
      </c>
      <c r="BP1249" s="20">
        <f t="shared" si="151"/>
        <v>900</v>
      </c>
      <c r="BQ1249" s="51"/>
      <c r="BR1249" s="56"/>
      <c r="BS1249" s="111"/>
      <c r="BT1249" s="36"/>
      <c r="BU1249" s="112"/>
    </row>
    <row r="1250" s="1" customFormat="1" customHeight="1" spans="1:73">
      <c r="A1250" s="15" t="s">
        <v>1962</v>
      </c>
      <c r="B1250" s="15" t="s">
        <v>1963</v>
      </c>
      <c r="C1250" s="16">
        <v>122</v>
      </c>
      <c r="D1250" s="29"/>
      <c r="E1250" s="30"/>
      <c r="F1250" s="29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29"/>
      <c r="AB1250" s="29"/>
      <c r="AC1250" s="29"/>
      <c r="AD1250" s="29"/>
      <c r="AE1250" s="29"/>
      <c r="AF1250" s="29"/>
      <c r="AG1250" s="30"/>
      <c r="AH1250" s="29"/>
      <c r="AI1250" s="29"/>
      <c r="AJ1250" s="29"/>
      <c r="AK1250" s="30"/>
      <c r="AL1250" s="29"/>
      <c r="AM1250" s="29"/>
      <c r="AN1250" s="29"/>
      <c r="AO1250" s="29"/>
      <c r="AP1250" s="29"/>
      <c r="AQ1250" s="29"/>
      <c r="AR1250" s="29"/>
      <c r="AS1250" s="29"/>
      <c r="AT1250" s="29"/>
      <c r="AU1250" s="29"/>
      <c r="AV1250" s="29"/>
      <c r="AW1250" s="29"/>
      <c r="AX1250" s="29"/>
      <c r="AY1250" s="29"/>
      <c r="AZ1250" s="29"/>
      <c r="BA1250" s="29"/>
      <c r="BB1250" s="29"/>
      <c r="BC1250" s="29"/>
      <c r="BD1250" s="29"/>
      <c r="BE1250" s="30"/>
      <c r="BF1250" s="29"/>
      <c r="BG1250" s="29"/>
      <c r="BH1250" s="29"/>
      <c r="BI1250" s="29"/>
      <c r="BJ1250" s="29"/>
      <c r="BK1250" s="29"/>
      <c r="BL1250" s="29"/>
      <c r="BM1250" s="29"/>
      <c r="BN1250" s="20">
        <f t="shared" si="149"/>
        <v>0</v>
      </c>
      <c r="BO1250" s="20">
        <f t="shared" si="150"/>
        <v>0</v>
      </c>
      <c r="BP1250" s="20">
        <f t="shared" si="151"/>
        <v>122</v>
      </c>
      <c r="BQ1250" s="51"/>
      <c r="BR1250" s="56"/>
      <c r="BS1250" s="111"/>
      <c r="BT1250" s="36"/>
      <c r="BU1250" s="112"/>
    </row>
    <row r="1251" s="1" customFormat="1" customHeight="1" spans="1:73">
      <c r="A1251" s="15" t="s">
        <v>1964</v>
      </c>
      <c r="B1251" s="15" t="s">
        <v>1965</v>
      </c>
      <c r="C1251" s="16">
        <v>1000</v>
      </c>
      <c r="D1251" s="29"/>
      <c r="E1251" s="30"/>
      <c r="F1251" s="29"/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29"/>
      <c r="AB1251" s="29"/>
      <c r="AC1251" s="29"/>
      <c r="AD1251" s="29"/>
      <c r="AE1251" s="29"/>
      <c r="AF1251" s="29"/>
      <c r="AG1251" s="30"/>
      <c r="AH1251" s="29"/>
      <c r="AI1251" s="29"/>
      <c r="AJ1251" s="29"/>
      <c r="AK1251" s="30"/>
      <c r="AL1251" s="29"/>
      <c r="AM1251" s="29"/>
      <c r="AN1251" s="29"/>
      <c r="AO1251" s="29"/>
      <c r="AP1251" s="29"/>
      <c r="AQ1251" s="29"/>
      <c r="AR1251" s="29"/>
      <c r="AS1251" s="29"/>
      <c r="AT1251" s="29"/>
      <c r="AU1251" s="29"/>
      <c r="AV1251" s="29"/>
      <c r="AW1251" s="29"/>
      <c r="AX1251" s="29"/>
      <c r="AY1251" s="29"/>
      <c r="AZ1251" s="29"/>
      <c r="BA1251" s="29"/>
      <c r="BB1251" s="29"/>
      <c r="BC1251" s="29"/>
      <c r="BD1251" s="29"/>
      <c r="BE1251" s="30"/>
      <c r="BF1251" s="29"/>
      <c r="BG1251" s="29"/>
      <c r="BH1251" s="29"/>
      <c r="BI1251" s="29"/>
      <c r="BJ1251" s="29"/>
      <c r="BK1251" s="29"/>
      <c r="BL1251" s="29"/>
      <c r="BM1251" s="29"/>
      <c r="BN1251" s="20">
        <f t="shared" si="149"/>
        <v>0</v>
      </c>
      <c r="BO1251" s="20">
        <f t="shared" si="150"/>
        <v>0</v>
      </c>
      <c r="BP1251" s="20">
        <f t="shared" si="151"/>
        <v>1000</v>
      </c>
      <c r="BQ1251" s="51"/>
      <c r="BR1251" s="56"/>
      <c r="BS1251" s="110"/>
      <c r="BT1251" s="167" t="s">
        <v>1966</v>
      </c>
      <c r="BU1251" s="112"/>
    </row>
    <row r="1252" s="1" customFormat="1" customHeight="1" spans="1:73">
      <c r="A1252" s="15" t="s">
        <v>1967</v>
      </c>
      <c r="B1252" s="15" t="s">
        <v>1968</v>
      </c>
      <c r="C1252" s="16">
        <v>700</v>
      </c>
      <c r="D1252" s="29"/>
      <c r="E1252" s="30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29"/>
      <c r="AB1252" s="29"/>
      <c r="AC1252" s="29"/>
      <c r="AD1252" s="29"/>
      <c r="AE1252" s="29"/>
      <c r="AF1252" s="29"/>
      <c r="AG1252" s="30"/>
      <c r="AH1252" s="29"/>
      <c r="AI1252" s="29"/>
      <c r="AJ1252" s="29"/>
      <c r="AK1252" s="30"/>
      <c r="AL1252" s="29"/>
      <c r="AM1252" s="29"/>
      <c r="AN1252" s="29"/>
      <c r="AO1252" s="29"/>
      <c r="AP1252" s="29"/>
      <c r="AQ1252" s="29"/>
      <c r="AR1252" s="29"/>
      <c r="AS1252" s="29"/>
      <c r="AT1252" s="29"/>
      <c r="AU1252" s="29"/>
      <c r="AV1252" s="29"/>
      <c r="AW1252" s="29"/>
      <c r="AX1252" s="29"/>
      <c r="AY1252" s="29"/>
      <c r="AZ1252" s="29"/>
      <c r="BA1252" s="29"/>
      <c r="BB1252" s="29"/>
      <c r="BC1252" s="29"/>
      <c r="BD1252" s="29"/>
      <c r="BE1252" s="30"/>
      <c r="BF1252" s="29"/>
      <c r="BG1252" s="29"/>
      <c r="BH1252" s="29"/>
      <c r="BI1252" s="29"/>
      <c r="BJ1252" s="29"/>
      <c r="BK1252" s="29"/>
      <c r="BL1252" s="29"/>
      <c r="BM1252" s="29"/>
      <c r="BN1252" s="20">
        <f t="shared" si="149"/>
        <v>0</v>
      </c>
      <c r="BO1252" s="20">
        <f t="shared" si="150"/>
        <v>0</v>
      </c>
      <c r="BP1252" s="20">
        <f t="shared" si="151"/>
        <v>700</v>
      </c>
      <c r="BQ1252" s="51"/>
      <c r="BR1252" s="56"/>
      <c r="BS1252" s="110"/>
      <c r="BT1252" s="167" t="s">
        <v>1969</v>
      </c>
      <c r="BU1252" s="112"/>
    </row>
    <row r="1253" s="1" customFormat="1" customHeight="1" spans="1:73">
      <c r="A1253" s="15" t="s">
        <v>1970</v>
      </c>
      <c r="B1253" s="15" t="s">
        <v>1971</v>
      </c>
      <c r="C1253" s="16">
        <v>9</v>
      </c>
      <c r="D1253" s="29"/>
      <c r="E1253" s="30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29"/>
      <c r="AB1253" s="29"/>
      <c r="AC1253" s="29"/>
      <c r="AD1253" s="29"/>
      <c r="AE1253" s="29"/>
      <c r="AF1253" s="29"/>
      <c r="AG1253" s="30"/>
      <c r="AH1253" s="29"/>
      <c r="AI1253" s="29"/>
      <c r="AJ1253" s="29"/>
      <c r="AK1253" s="30"/>
      <c r="AL1253" s="29"/>
      <c r="AM1253" s="29"/>
      <c r="AN1253" s="29"/>
      <c r="AO1253" s="29"/>
      <c r="AP1253" s="29"/>
      <c r="AQ1253" s="29"/>
      <c r="AR1253" s="29"/>
      <c r="AS1253" s="29"/>
      <c r="AT1253" s="29"/>
      <c r="AU1253" s="29"/>
      <c r="AV1253" s="29"/>
      <c r="AW1253" s="29"/>
      <c r="AX1253" s="29"/>
      <c r="AY1253" s="29"/>
      <c r="AZ1253" s="29"/>
      <c r="BA1253" s="29"/>
      <c r="BB1253" s="29"/>
      <c r="BC1253" s="29"/>
      <c r="BD1253" s="29"/>
      <c r="BE1253" s="30"/>
      <c r="BF1253" s="29"/>
      <c r="BG1253" s="29"/>
      <c r="BH1253" s="29"/>
      <c r="BI1253" s="29"/>
      <c r="BJ1253" s="29"/>
      <c r="BK1253" s="29"/>
      <c r="BL1253" s="29"/>
      <c r="BM1253" s="29"/>
      <c r="BN1253" s="20">
        <f t="shared" si="149"/>
        <v>0</v>
      </c>
      <c r="BO1253" s="20">
        <f t="shared" si="150"/>
        <v>0</v>
      </c>
      <c r="BP1253" s="20">
        <f t="shared" si="151"/>
        <v>9</v>
      </c>
      <c r="BQ1253" s="51"/>
      <c r="BR1253" s="56"/>
      <c r="BS1253" s="111"/>
      <c r="BT1253" s="36"/>
      <c r="BU1253" s="112"/>
    </row>
    <row r="1254" s="1" customFormat="1" customHeight="1" spans="1:73">
      <c r="A1254" s="28" t="s">
        <v>1972</v>
      </c>
      <c r="B1254" s="15" t="s">
        <v>1973</v>
      </c>
      <c r="C1254" s="16">
        <v>200</v>
      </c>
      <c r="D1254" s="29"/>
      <c r="E1254" s="30"/>
      <c r="F1254" s="29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29"/>
      <c r="AB1254" s="29"/>
      <c r="AC1254" s="29"/>
      <c r="AD1254" s="29"/>
      <c r="AE1254" s="29"/>
      <c r="AF1254" s="29"/>
      <c r="AG1254" s="30"/>
      <c r="AH1254" s="29"/>
      <c r="AI1254" s="29"/>
      <c r="AJ1254" s="29"/>
      <c r="AK1254" s="30"/>
      <c r="AL1254" s="29"/>
      <c r="AM1254" s="29"/>
      <c r="AN1254" s="29"/>
      <c r="AO1254" s="29"/>
      <c r="AP1254" s="29"/>
      <c r="AQ1254" s="29"/>
      <c r="AR1254" s="29"/>
      <c r="AS1254" s="29"/>
      <c r="AT1254" s="29"/>
      <c r="AU1254" s="29"/>
      <c r="AV1254" s="29"/>
      <c r="AW1254" s="29"/>
      <c r="AX1254" s="29"/>
      <c r="AY1254" s="29"/>
      <c r="AZ1254" s="29"/>
      <c r="BA1254" s="29"/>
      <c r="BB1254" s="29"/>
      <c r="BC1254" s="29"/>
      <c r="BD1254" s="29"/>
      <c r="BE1254" s="30"/>
      <c r="BF1254" s="29"/>
      <c r="BG1254" s="29"/>
      <c r="BH1254" s="29"/>
      <c r="BI1254" s="29"/>
      <c r="BJ1254" s="29"/>
      <c r="BK1254" s="29"/>
      <c r="BL1254" s="29"/>
      <c r="BM1254" s="29"/>
      <c r="BN1254" s="20">
        <f t="shared" si="149"/>
        <v>0</v>
      </c>
      <c r="BO1254" s="20">
        <f t="shared" si="150"/>
        <v>0</v>
      </c>
      <c r="BP1254" s="20">
        <f t="shared" si="151"/>
        <v>200</v>
      </c>
      <c r="BQ1254" s="51"/>
      <c r="BR1254" s="56"/>
      <c r="BS1254" s="111"/>
      <c r="BT1254" s="36"/>
      <c r="BU1254" s="112"/>
    </row>
    <row r="1255" s="1" customFormat="1" customHeight="1" spans="1:73">
      <c r="A1255" s="28" t="s">
        <v>1974</v>
      </c>
      <c r="B1255" s="15" t="s">
        <v>1973</v>
      </c>
      <c r="C1255" s="16">
        <v>510</v>
      </c>
      <c r="D1255" s="29"/>
      <c r="E1255" s="30"/>
      <c r="F1255" s="29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29"/>
      <c r="AB1255" s="29"/>
      <c r="AC1255" s="29"/>
      <c r="AD1255" s="29"/>
      <c r="AE1255" s="29"/>
      <c r="AF1255" s="29"/>
      <c r="AG1255" s="30"/>
      <c r="AH1255" s="29"/>
      <c r="AI1255" s="29"/>
      <c r="AJ1255" s="29"/>
      <c r="AK1255" s="30"/>
      <c r="AL1255" s="29"/>
      <c r="AM1255" s="29"/>
      <c r="AN1255" s="29"/>
      <c r="AO1255" s="29"/>
      <c r="AP1255" s="29"/>
      <c r="AQ1255" s="29"/>
      <c r="AR1255" s="29"/>
      <c r="AS1255" s="29"/>
      <c r="AT1255" s="29"/>
      <c r="AU1255" s="29"/>
      <c r="AV1255" s="29"/>
      <c r="AW1255" s="29"/>
      <c r="AX1255" s="29"/>
      <c r="AY1255" s="29"/>
      <c r="AZ1255" s="29"/>
      <c r="BA1255" s="29"/>
      <c r="BB1255" s="29"/>
      <c r="BC1255" s="29"/>
      <c r="BD1255" s="29"/>
      <c r="BE1255" s="30"/>
      <c r="BF1255" s="29"/>
      <c r="BG1255" s="29"/>
      <c r="BH1255" s="29"/>
      <c r="BI1255" s="29"/>
      <c r="BJ1255" s="29"/>
      <c r="BK1255" s="29"/>
      <c r="BL1255" s="29"/>
      <c r="BM1255" s="29"/>
      <c r="BN1255" s="20">
        <f t="shared" si="149"/>
        <v>0</v>
      </c>
      <c r="BO1255" s="20">
        <f t="shared" si="150"/>
        <v>0</v>
      </c>
      <c r="BP1255" s="20">
        <f t="shared" si="151"/>
        <v>510</v>
      </c>
      <c r="BQ1255" s="51"/>
      <c r="BR1255" s="56"/>
      <c r="BS1255" s="111"/>
      <c r="BT1255" s="36"/>
      <c r="BU1255" s="112"/>
    </row>
    <row r="1256" s="1" customFormat="1" customHeight="1" spans="1:73">
      <c r="A1256" s="28" t="s">
        <v>1975</v>
      </c>
      <c r="B1256" s="15" t="s">
        <v>1976</v>
      </c>
      <c r="C1256" s="16">
        <v>286</v>
      </c>
      <c r="D1256" s="29"/>
      <c r="E1256" s="30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29"/>
      <c r="AB1256" s="29"/>
      <c r="AC1256" s="29"/>
      <c r="AD1256" s="29"/>
      <c r="AE1256" s="29"/>
      <c r="AF1256" s="29"/>
      <c r="AG1256" s="30"/>
      <c r="AH1256" s="29"/>
      <c r="AI1256" s="29"/>
      <c r="AJ1256" s="29"/>
      <c r="AK1256" s="30"/>
      <c r="AL1256" s="29"/>
      <c r="AM1256" s="29"/>
      <c r="AN1256" s="29"/>
      <c r="AO1256" s="29"/>
      <c r="AP1256" s="29"/>
      <c r="AQ1256" s="29"/>
      <c r="AR1256" s="29"/>
      <c r="AS1256" s="29"/>
      <c r="AT1256" s="29"/>
      <c r="AU1256" s="29"/>
      <c r="AV1256" s="29"/>
      <c r="AW1256" s="29"/>
      <c r="AX1256" s="29"/>
      <c r="AY1256" s="29"/>
      <c r="AZ1256" s="29"/>
      <c r="BA1256" s="29"/>
      <c r="BB1256" s="29"/>
      <c r="BC1256" s="29"/>
      <c r="BD1256" s="29"/>
      <c r="BE1256" s="30"/>
      <c r="BF1256" s="29"/>
      <c r="BG1256" s="29"/>
      <c r="BH1256" s="29"/>
      <c r="BI1256" s="29"/>
      <c r="BJ1256" s="29"/>
      <c r="BK1256" s="29"/>
      <c r="BL1256" s="29"/>
      <c r="BM1256" s="29"/>
      <c r="BN1256" s="20">
        <f t="shared" si="149"/>
        <v>0</v>
      </c>
      <c r="BO1256" s="20">
        <f t="shared" si="150"/>
        <v>0</v>
      </c>
      <c r="BP1256" s="20">
        <f t="shared" si="151"/>
        <v>286</v>
      </c>
      <c r="BQ1256" s="51"/>
      <c r="BR1256" s="56"/>
      <c r="BS1256" s="111" t="s">
        <v>1977</v>
      </c>
      <c r="BT1256" s="36"/>
      <c r="BU1256" s="112"/>
    </row>
    <row r="1257" s="1" customFormat="1" customHeight="1" spans="1:73">
      <c r="A1257" s="28" t="s">
        <v>1978</v>
      </c>
      <c r="B1257" s="15" t="s">
        <v>1979</v>
      </c>
      <c r="C1257" s="16">
        <v>712</v>
      </c>
      <c r="D1257" s="29"/>
      <c r="E1257" s="30"/>
      <c r="F1257" s="29"/>
      <c r="G1257" s="29"/>
      <c r="H1257" s="29"/>
      <c r="I1257" s="29">
        <v>101</v>
      </c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29"/>
      <c r="AB1257" s="29"/>
      <c r="AC1257" s="29"/>
      <c r="AD1257" s="29"/>
      <c r="AE1257" s="29"/>
      <c r="AF1257" s="29"/>
      <c r="AG1257" s="30"/>
      <c r="AH1257" s="29"/>
      <c r="AI1257" s="29"/>
      <c r="AJ1257" s="29"/>
      <c r="AK1257" s="30"/>
      <c r="AL1257" s="29"/>
      <c r="AM1257" s="29"/>
      <c r="AN1257" s="29"/>
      <c r="AO1257" s="29"/>
      <c r="AP1257" s="29"/>
      <c r="AQ1257" s="29"/>
      <c r="AR1257" s="29"/>
      <c r="AS1257" s="29"/>
      <c r="AT1257" s="29"/>
      <c r="AU1257" s="29"/>
      <c r="AV1257" s="29"/>
      <c r="AW1257" s="29"/>
      <c r="AX1257" s="29"/>
      <c r="AY1257" s="29"/>
      <c r="AZ1257" s="29"/>
      <c r="BA1257" s="29"/>
      <c r="BB1257" s="29"/>
      <c r="BC1257" s="29"/>
      <c r="BD1257" s="29"/>
      <c r="BE1257" s="30"/>
      <c r="BF1257" s="29"/>
      <c r="BG1257" s="29"/>
      <c r="BH1257" s="29"/>
      <c r="BI1257" s="29"/>
      <c r="BJ1257" s="29"/>
      <c r="BK1257" s="29"/>
      <c r="BL1257" s="29"/>
      <c r="BM1257" s="29"/>
      <c r="BN1257" s="20">
        <f t="shared" ref="BN1257:BN1320" si="152">D1257+F1257+H1257+J1257+L1257+N1257+P1257+R1257+T1257+V1257+X1257+Z1257+AB1257+AD1257+AF1257+AH1257+AJ1257+AL1257+AN1257+AP1257+AR1257+AT1257+AV1257+AX1257+AZ1257+BB1257+BD1257+BF1257+BH1257+BJ1257+BL1257</f>
        <v>0</v>
      </c>
      <c r="BO1257" s="20">
        <f t="shared" ref="BO1257:BO1320" si="153">E1257+G1257+I1257+K1257+M1257+O1257+Q1257+S1257+U1257+W1257+Y1257+AA1257+AC1257+AE1257+AG1257+AI1257+AK1257+AM1257+AO1257+AQ1257+AS1257+AU1257+AW1257+AY1257+BA1257+BC1257+BE1257+BG1257+BI1257+BK1257+BM1257</f>
        <v>101</v>
      </c>
      <c r="BP1257" s="20">
        <f t="shared" ref="BP1257:BP1320" si="154">C1257+BN1257-BO1257</f>
        <v>611</v>
      </c>
      <c r="BQ1257" s="51"/>
      <c r="BR1257" s="56"/>
      <c r="BS1257" s="111"/>
      <c r="BT1257" s="167" t="s">
        <v>1969</v>
      </c>
      <c r="BU1257" s="112"/>
    </row>
    <row r="1258" s="1" customFormat="1" customHeight="1" spans="1:73">
      <c r="A1258" s="28" t="s">
        <v>1980</v>
      </c>
      <c r="B1258" s="15" t="s">
        <v>1981</v>
      </c>
      <c r="C1258" s="16">
        <v>15</v>
      </c>
      <c r="D1258" s="29"/>
      <c r="E1258" s="30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29"/>
      <c r="AB1258" s="29"/>
      <c r="AC1258" s="29"/>
      <c r="AD1258" s="29"/>
      <c r="AE1258" s="29"/>
      <c r="AF1258" s="29"/>
      <c r="AG1258" s="30"/>
      <c r="AH1258" s="29"/>
      <c r="AI1258" s="29"/>
      <c r="AJ1258" s="29"/>
      <c r="AK1258" s="30"/>
      <c r="AL1258" s="29"/>
      <c r="AM1258" s="29"/>
      <c r="AN1258" s="29"/>
      <c r="AO1258" s="29"/>
      <c r="AP1258" s="29"/>
      <c r="AQ1258" s="29"/>
      <c r="AR1258" s="29"/>
      <c r="AS1258" s="29"/>
      <c r="AT1258" s="29"/>
      <c r="AU1258" s="29"/>
      <c r="AV1258" s="29"/>
      <c r="AW1258" s="29"/>
      <c r="AX1258" s="29"/>
      <c r="AY1258" s="29"/>
      <c r="AZ1258" s="29"/>
      <c r="BA1258" s="29"/>
      <c r="BB1258" s="29"/>
      <c r="BC1258" s="29"/>
      <c r="BD1258" s="29"/>
      <c r="BE1258" s="30"/>
      <c r="BF1258" s="29"/>
      <c r="BG1258" s="29"/>
      <c r="BH1258" s="29"/>
      <c r="BI1258" s="29"/>
      <c r="BJ1258" s="29"/>
      <c r="BK1258" s="29"/>
      <c r="BL1258" s="29"/>
      <c r="BM1258" s="29"/>
      <c r="BN1258" s="20">
        <f t="shared" si="152"/>
        <v>0</v>
      </c>
      <c r="BO1258" s="20">
        <f t="shared" si="153"/>
        <v>0</v>
      </c>
      <c r="BP1258" s="20">
        <f t="shared" si="154"/>
        <v>15</v>
      </c>
      <c r="BQ1258" s="51"/>
      <c r="BR1258" s="56"/>
      <c r="BS1258" s="111"/>
      <c r="BT1258" s="36"/>
      <c r="BU1258" s="112"/>
    </row>
    <row r="1259" s="1" customFormat="1" customHeight="1" spans="1:73">
      <c r="A1259" s="15" t="s">
        <v>1982</v>
      </c>
      <c r="B1259" s="15" t="s">
        <v>1983</v>
      </c>
      <c r="C1259" s="16">
        <v>790</v>
      </c>
      <c r="D1259" s="29"/>
      <c r="E1259" s="30"/>
      <c r="F1259" s="29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29"/>
      <c r="AB1259" s="29"/>
      <c r="AC1259" s="29"/>
      <c r="AD1259" s="29"/>
      <c r="AE1259" s="29"/>
      <c r="AF1259" s="29"/>
      <c r="AG1259" s="30"/>
      <c r="AH1259" s="29"/>
      <c r="AI1259" s="29"/>
      <c r="AJ1259" s="29"/>
      <c r="AK1259" s="30"/>
      <c r="AL1259" s="29"/>
      <c r="AM1259" s="29"/>
      <c r="AN1259" s="29"/>
      <c r="AO1259" s="29"/>
      <c r="AP1259" s="29"/>
      <c r="AQ1259" s="29"/>
      <c r="AR1259" s="29"/>
      <c r="AS1259" s="29"/>
      <c r="AT1259" s="29"/>
      <c r="AU1259" s="29"/>
      <c r="AV1259" s="29"/>
      <c r="AW1259" s="29"/>
      <c r="AX1259" s="29"/>
      <c r="AY1259" s="29"/>
      <c r="AZ1259" s="29"/>
      <c r="BA1259" s="29"/>
      <c r="BB1259" s="29"/>
      <c r="BC1259" s="29"/>
      <c r="BD1259" s="29"/>
      <c r="BE1259" s="29"/>
      <c r="BF1259" s="29"/>
      <c r="BG1259" s="29"/>
      <c r="BH1259" s="29"/>
      <c r="BI1259" s="29"/>
      <c r="BJ1259" s="29"/>
      <c r="BK1259" s="29"/>
      <c r="BL1259" s="29"/>
      <c r="BM1259" s="29"/>
      <c r="BN1259" s="20">
        <f t="shared" si="152"/>
        <v>0</v>
      </c>
      <c r="BO1259" s="20">
        <f t="shared" si="153"/>
        <v>0</v>
      </c>
      <c r="BP1259" s="20">
        <f t="shared" si="154"/>
        <v>790</v>
      </c>
      <c r="BQ1259" s="51"/>
      <c r="BR1259" s="56"/>
      <c r="BS1259" s="111"/>
      <c r="BT1259" s="36"/>
      <c r="BU1259" s="112"/>
    </row>
    <row r="1260" s="1" customFormat="1" customHeight="1" spans="1:73">
      <c r="A1260" s="15" t="s">
        <v>1984</v>
      </c>
      <c r="B1260" s="15" t="s">
        <v>1985</v>
      </c>
      <c r="C1260" s="16">
        <v>550</v>
      </c>
      <c r="D1260" s="29"/>
      <c r="E1260" s="30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29"/>
      <c r="AB1260" s="29"/>
      <c r="AC1260" s="29"/>
      <c r="AD1260" s="29"/>
      <c r="AE1260" s="29"/>
      <c r="AF1260" s="29"/>
      <c r="AG1260" s="30"/>
      <c r="AH1260" s="29"/>
      <c r="AI1260" s="29"/>
      <c r="AJ1260" s="29"/>
      <c r="AK1260" s="30"/>
      <c r="AL1260" s="29"/>
      <c r="AM1260" s="29"/>
      <c r="AN1260" s="29"/>
      <c r="AO1260" s="29"/>
      <c r="AP1260" s="29"/>
      <c r="AQ1260" s="29"/>
      <c r="AR1260" s="29"/>
      <c r="AS1260" s="29"/>
      <c r="AT1260" s="29"/>
      <c r="AU1260" s="29"/>
      <c r="AV1260" s="29"/>
      <c r="AW1260" s="29"/>
      <c r="AX1260" s="29"/>
      <c r="AY1260" s="29"/>
      <c r="AZ1260" s="29"/>
      <c r="BA1260" s="29"/>
      <c r="BB1260" s="29"/>
      <c r="BC1260" s="29"/>
      <c r="BD1260" s="29"/>
      <c r="BE1260" s="29"/>
      <c r="BF1260" s="29"/>
      <c r="BG1260" s="29"/>
      <c r="BH1260" s="29"/>
      <c r="BI1260" s="29"/>
      <c r="BJ1260" s="29"/>
      <c r="BK1260" s="29"/>
      <c r="BL1260" s="29"/>
      <c r="BM1260" s="29"/>
      <c r="BN1260" s="20">
        <f t="shared" si="152"/>
        <v>0</v>
      </c>
      <c r="BO1260" s="20">
        <f t="shared" si="153"/>
        <v>0</v>
      </c>
      <c r="BP1260" s="20">
        <f t="shared" si="154"/>
        <v>550</v>
      </c>
      <c r="BQ1260" s="51"/>
      <c r="BR1260" s="56"/>
      <c r="BS1260" s="111" t="s">
        <v>1977</v>
      </c>
      <c r="BT1260" s="36"/>
      <c r="BU1260" s="112"/>
    </row>
    <row r="1261" s="1" customFormat="1" customHeight="1" spans="1:73">
      <c r="A1261" s="15" t="s">
        <v>1986</v>
      </c>
      <c r="B1261" s="15" t="s">
        <v>1987</v>
      </c>
      <c r="C1261" s="16">
        <v>713</v>
      </c>
      <c r="D1261" s="29"/>
      <c r="E1261" s="30"/>
      <c r="F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29"/>
      <c r="AB1261" s="29"/>
      <c r="AC1261" s="29"/>
      <c r="AD1261" s="29"/>
      <c r="AE1261" s="29"/>
      <c r="AF1261" s="29"/>
      <c r="AG1261" s="30"/>
      <c r="AH1261" s="29"/>
      <c r="AI1261" s="29"/>
      <c r="AJ1261" s="29"/>
      <c r="AK1261" s="30"/>
      <c r="AL1261" s="29"/>
      <c r="AM1261" s="29"/>
      <c r="AN1261" s="29"/>
      <c r="AO1261" s="29"/>
      <c r="AP1261" s="29"/>
      <c r="AQ1261" s="29"/>
      <c r="AR1261" s="29"/>
      <c r="AS1261" s="29"/>
      <c r="AT1261" s="29"/>
      <c r="AU1261" s="29"/>
      <c r="AV1261" s="29"/>
      <c r="AW1261" s="29"/>
      <c r="AX1261" s="29"/>
      <c r="AY1261" s="29"/>
      <c r="AZ1261" s="29"/>
      <c r="BA1261" s="29"/>
      <c r="BB1261" s="29"/>
      <c r="BC1261" s="29"/>
      <c r="BD1261" s="29"/>
      <c r="BE1261" s="29"/>
      <c r="BF1261" s="29"/>
      <c r="BG1261" s="29"/>
      <c r="BH1261" s="29"/>
      <c r="BI1261" s="29"/>
      <c r="BJ1261" s="29"/>
      <c r="BK1261" s="29"/>
      <c r="BL1261" s="29"/>
      <c r="BM1261" s="29"/>
      <c r="BN1261" s="20">
        <f t="shared" si="152"/>
        <v>0</v>
      </c>
      <c r="BO1261" s="20">
        <f t="shared" si="153"/>
        <v>0</v>
      </c>
      <c r="BP1261" s="20">
        <f t="shared" si="154"/>
        <v>713</v>
      </c>
      <c r="BQ1261" s="51"/>
      <c r="BR1261" s="56" t="s">
        <v>484</v>
      </c>
      <c r="BS1261" s="111" t="s">
        <v>1988</v>
      </c>
      <c r="BT1261" s="36"/>
      <c r="BU1261" s="112"/>
    </row>
    <row r="1262" s="1" customFormat="1" customHeight="1" spans="1:73">
      <c r="A1262" s="15" t="s">
        <v>1989</v>
      </c>
      <c r="B1262" s="15" t="s">
        <v>1990</v>
      </c>
      <c r="C1262" s="16">
        <v>1088</v>
      </c>
      <c r="D1262" s="29"/>
      <c r="E1262" s="30"/>
      <c r="F1262" s="29"/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29"/>
      <c r="X1262" s="29"/>
      <c r="Y1262" s="29"/>
      <c r="Z1262" s="29"/>
      <c r="AA1262" s="29"/>
      <c r="AB1262" s="29"/>
      <c r="AC1262" s="29"/>
      <c r="AD1262" s="29"/>
      <c r="AE1262" s="29"/>
      <c r="AF1262" s="29"/>
      <c r="AG1262" s="30"/>
      <c r="AH1262" s="29"/>
      <c r="AI1262" s="29"/>
      <c r="AJ1262" s="29"/>
      <c r="AK1262" s="30"/>
      <c r="AL1262" s="29"/>
      <c r="AM1262" s="29"/>
      <c r="AN1262" s="29"/>
      <c r="AO1262" s="29"/>
      <c r="AP1262" s="29"/>
      <c r="AQ1262" s="29"/>
      <c r="AR1262" s="29"/>
      <c r="AS1262" s="29"/>
      <c r="AT1262" s="29"/>
      <c r="AU1262" s="29"/>
      <c r="AV1262" s="29"/>
      <c r="AW1262" s="29"/>
      <c r="AX1262" s="29"/>
      <c r="AY1262" s="29"/>
      <c r="AZ1262" s="29"/>
      <c r="BA1262" s="29"/>
      <c r="BB1262" s="29"/>
      <c r="BC1262" s="29"/>
      <c r="BD1262" s="29"/>
      <c r="BE1262" s="29"/>
      <c r="BF1262" s="29"/>
      <c r="BG1262" s="29"/>
      <c r="BH1262" s="29"/>
      <c r="BI1262" s="29"/>
      <c r="BJ1262" s="29"/>
      <c r="BK1262" s="29"/>
      <c r="BL1262" s="29"/>
      <c r="BM1262" s="29"/>
      <c r="BN1262" s="20">
        <f t="shared" si="152"/>
        <v>0</v>
      </c>
      <c r="BO1262" s="20">
        <f t="shared" si="153"/>
        <v>0</v>
      </c>
      <c r="BP1262" s="20">
        <f t="shared" si="154"/>
        <v>1088</v>
      </c>
      <c r="BQ1262" s="51"/>
      <c r="BR1262" s="56"/>
      <c r="BS1262" s="111" t="s">
        <v>1991</v>
      </c>
      <c r="BT1262" s="36"/>
      <c r="BU1262" s="112"/>
    </row>
    <row r="1263" s="1" customFormat="1" customHeight="1" spans="1:73">
      <c r="A1263" s="15" t="s">
        <v>1992</v>
      </c>
      <c r="B1263" s="15" t="s">
        <v>1993</v>
      </c>
      <c r="C1263" s="16">
        <v>735</v>
      </c>
      <c r="D1263" s="29"/>
      <c r="E1263" s="30"/>
      <c r="F1263" s="29"/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30"/>
      <c r="T1263" s="29"/>
      <c r="U1263" s="29"/>
      <c r="V1263" s="29"/>
      <c r="W1263" s="29"/>
      <c r="X1263" s="29"/>
      <c r="Y1263" s="29"/>
      <c r="Z1263" s="29"/>
      <c r="AA1263" s="29"/>
      <c r="AB1263" s="29"/>
      <c r="AC1263" s="29"/>
      <c r="AD1263" s="29"/>
      <c r="AE1263" s="29"/>
      <c r="AF1263" s="29"/>
      <c r="AG1263" s="30"/>
      <c r="AH1263" s="29"/>
      <c r="AI1263" s="29"/>
      <c r="AJ1263" s="29"/>
      <c r="AK1263" s="187"/>
      <c r="AL1263" s="29"/>
      <c r="AM1263" s="18"/>
      <c r="AN1263" s="29"/>
      <c r="AO1263" s="29"/>
      <c r="AP1263" s="29"/>
      <c r="AQ1263" s="29"/>
      <c r="AR1263" s="29"/>
      <c r="AS1263" s="29"/>
      <c r="AT1263" s="29"/>
      <c r="AU1263" s="29"/>
      <c r="AV1263" s="29"/>
      <c r="AW1263" s="29"/>
      <c r="AX1263" s="29"/>
      <c r="AY1263" s="29"/>
      <c r="AZ1263" s="29"/>
      <c r="BA1263" s="29"/>
      <c r="BB1263" s="29"/>
      <c r="BC1263" s="29"/>
      <c r="BD1263" s="29"/>
      <c r="BE1263" s="29"/>
      <c r="BF1263" s="29"/>
      <c r="BG1263" s="29"/>
      <c r="BH1263" s="29"/>
      <c r="BI1263" s="29"/>
      <c r="BJ1263" s="29"/>
      <c r="BK1263" s="29"/>
      <c r="BL1263" s="29"/>
      <c r="BM1263" s="29"/>
      <c r="BN1263" s="20">
        <f t="shared" si="152"/>
        <v>0</v>
      </c>
      <c r="BO1263" s="20">
        <f t="shared" si="153"/>
        <v>0</v>
      </c>
      <c r="BP1263" s="20">
        <f t="shared" si="154"/>
        <v>735</v>
      </c>
      <c r="BQ1263" s="51"/>
      <c r="BR1263" s="56"/>
      <c r="BS1263" s="111" t="s">
        <v>1994</v>
      </c>
      <c r="BT1263" s="36"/>
      <c r="BU1263" s="112"/>
    </row>
    <row r="1264" s="1" customFormat="1" customHeight="1" spans="1:73">
      <c r="A1264" s="15" t="s">
        <v>1995</v>
      </c>
      <c r="B1264" s="15" t="s">
        <v>1996</v>
      </c>
      <c r="C1264" s="16">
        <v>536</v>
      </c>
      <c r="D1264" s="29"/>
      <c r="E1264" s="30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29"/>
      <c r="X1264" s="29"/>
      <c r="Y1264" s="29"/>
      <c r="Z1264" s="29"/>
      <c r="AA1264" s="29"/>
      <c r="AB1264" s="29"/>
      <c r="AC1264" s="29"/>
      <c r="AD1264" s="29"/>
      <c r="AE1264" s="29"/>
      <c r="AF1264" s="29"/>
      <c r="AG1264" s="29"/>
      <c r="AH1264" s="29"/>
      <c r="AI1264" s="29"/>
      <c r="AJ1264" s="29"/>
      <c r="AK1264" s="30"/>
      <c r="AL1264" s="29"/>
      <c r="AM1264" s="29"/>
      <c r="AN1264" s="29"/>
      <c r="AO1264" s="29"/>
      <c r="AP1264" s="29"/>
      <c r="AQ1264" s="29"/>
      <c r="AR1264" s="29"/>
      <c r="AS1264" s="29"/>
      <c r="AT1264" s="29"/>
      <c r="AU1264" s="29"/>
      <c r="AV1264" s="29"/>
      <c r="AW1264" s="29"/>
      <c r="AX1264" s="29"/>
      <c r="AY1264" s="29"/>
      <c r="AZ1264" s="29"/>
      <c r="BA1264" s="29"/>
      <c r="BB1264" s="29"/>
      <c r="BC1264" s="29"/>
      <c r="BD1264" s="29"/>
      <c r="BE1264" s="29"/>
      <c r="BF1264" s="29"/>
      <c r="BG1264" s="29"/>
      <c r="BH1264" s="29"/>
      <c r="BI1264" s="29"/>
      <c r="BJ1264" s="29"/>
      <c r="BK1264" s="29"/>
      <c r="BL1264" s="29"/>
      <c r="BM1264" s="29"/>
      <c r="BN1264" s="20">
        <f t="shared" si="152"/>
        <v>0</v>
      </c>
      <c r="BO1264" s="20">
        <f t="shared" si="153"/>
        <v>0</v>
      </c>
      <c r="BP1264" s="20">
        <f t="shared" si="154"/>
        <v>536</v>
      </c>
      <c r="BQ1264" s="51"/>
      <c r="BR1264" s="56"/>
      <c r="BS1264" s="111" t="s">
        <v>1997</v>
      </c>
      <c r="BT1264" s="36"/>
      <c r="BU1264" s="112"/>
    </row>
    <row r="1265" s="1" customFormat="1" customHeight="1" spans="1:73">
      <c r="A1265" s="15" t="s">
        <v>1998</v>
      </c>
      <c r="B1265" s="15" t="s">
        <v>1999</v>
      </c>
      <c r="C1265" s="16">
        <v>1546</v>
      </c>
      <c r="D1265" s="29"/>
      <c r="E1265" s="30"/>
      <c r="F1265" s="29"/>
      <c r="G1265" s="29"/>
      <c r="H1265" s="29"/>
      <c r="I1265" s="29"/>
      <c r="J1265" s="29"/>
      <c r="K1265" s="29">
        <v>22</v>
      </c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29"/>
      <c r="X1265" s="29"/>
      <c r="Y1265" s="29"/>
      <c r="Z1265" s="29"/>
      <c r="AA1265" s="29"/>
      <c r="AB1265" s="29"/>
      <c r="AC1265" s="29"/>
      <c r="AD1265" s="29"/>
      <c r="AE1265" s="29"/>
      <c r="AF1265" s="29"/>
      <c r="AG1265" s="30"/>
      <c r="AH1265" s="29"/>
      <c r="AI1265" s="30"/>
      <c r="AJ1265" s="29"/>
      <c r="AK1265" s="30"/>
      <c r="AL1265" s="29"/>
      <c r="AM1265" s="29"/>
      <c r="AN1265" s="29"/>
      <c r="AO1265" s="29"/>
      <c r="AP1265" s="29"/>
      <c r="AQ1265" s="29"/>
      <c r="AR1265" s="29"/>
      <c r="AS1265" s="29"/>
      <c r="AT1265" s="29"/>
      <c r="AU1265" s="29"/>
      <c r="AV1265" s="29"/>
      <c r="AW1265" s="29"/>
      <c r="AX1265" s="29"/>
      <c r="AY1265" s="29"/>
      <c r="AZ1265" s="29"/>
      <c r="BA1265" s="29"/>
      <c r="BB1265" s="29"/>
      <c r="BC1265" s="29"/>
      <c r="BD1265" s="29"/>
      <c r="BE1265" s="29"/>
      <c r="BF1265" s="29"/>
      <c r="BG1265" s="29"/>
      <c r="BH1265" s="29"/>
      <c r="BI1265" s="29"/>
      <c r="BJ1265" s="29"/>
      <c r="BK1265" s="29"/>
      <c r="BL1265" s="29"/>
      <c r="BM1265" s="29"/>
      <c r="BN1265" s="20">
        <f t="shared" si="152"/>
        <v>0</v>
      </c>
      <c r="BO1265" s="20">
        <f t="shared" si="153"/>
        <v>22</v>
      </c>
      <c r="BP1265" s="20">
        <f t="shared" si="154"/>
        <v>1524</v>
      </c>
      <c r="BQ1265" s="51"/>
      <c r="BR1265" s="56"/>
      <c r="BS1265" s="111" t="s">
        <v>2000</v>
      </c>
      <c r="BT1265" s="36"/>
      <c r="BU1265" s="112"/>
    </row>
    <row r="1266" s="1" customFormat="1" customHeight="1" spans="1:73">
      <c r="A1266" s="15" t="s">
        <v>2001</v>
      </c>
      <c r="B1266" s="15" t="s">
        <v>2002</v>
      </c>
      <c r="C1266" s="16">
        <v>896</v>
      </c>
      <c r="D1266" s="29"/>
      <c r="E1266" s="30"/>
      <c r="F1266" s="29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29"/>
      <c r="AB1266" s="29"/>
      <c r="AC1266" s="29"/>
      <c r="AD1266" s="29"/>
      <c r="AE1266" s="18"/>
      <c r="AF1266" s="29"/>
      <c r="AG1266" s="30"/>
      <c r="AH1266" s="29"/>
      <c r="AI1266" s="29"/>
      <c r="AJ1266" s="29"/>
      <c r="AK1266" s="30"/>
      <c r="AL1266" s="29"/>
      <c r="AM1266" s="18"/>
      <c r="AN1266" s="29"/>
      <c r="AO1266" s="29"/>
      <c r="AP1266" s="29"/>
      <c r="AQ1266" s="29"/>
      <c r="AR1266" s="29"/>
      <c r="AS1266" s="29"/>
      <c r="AT1266" s="29"/>
      <c r="AU1266" s="29"/>
      <c r="AV1266" s="29"/>
      <c r="AW1266" s="29"/>
      <c r="AX1266" s="29"/>
      <c r="AY1266" s="29"/>
      <c r="AZ1266" s="29"/>
      <c r="BA1266" s="29"/>
      <c r="BB1266" s="29"/>
      <c r="BC1266" s="29"/>
      <c r="BD1266" s="29"/>
      <c r="BE1266" s="29"/>
      <c r="BF1266" s="29"/>
      <c r="BG1266" s="29"/>
      <c r="BH1266" s="29"/>
      <c r="BI1266" s="29"/>
      <c r="BJ1266" s="18"/>
      <c r="BK1266" s="18"/>
      <c r="BL1266" s="29"/>
      <c r="BM1266" s="29"/>
      <c r="BN1266" s="20">
        <f t="shared" si="152"/>
        <v>0</v>
      </c>
      <c r="BO1266" s="20">
        <f t="shared" si="153"/>
        <v>0</v>
      </c>
      <c r="BP1266" s="20">
        <f t="shared" si="154"/>
        <v>896</v>
      </c>
      <c r="BQ1266" s="51"/>
      <c r="BR1266" s="56"/>
      <c r="BS1266" s="111" t="s">
        <v>2003</v>
      </c>
      <c r="BT1266" s="36"/>
      <c r="BU1266" s="112"/>
    </row>
    <row r="1267" s="1" customFormat="1" customHeight="1" spans="1:73">
      <c r="A1267" s="15" t="s">
        <v>2004</v>
      </c>
      <c r="B1267" s="15" t="s">
        <v>2005</v>
      </c>
      <c r="C1267" s="16">
        <v>294</v>
      </c>
      <c r="D1267" s="29"/>
      <c r="E1267" s="30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29"/>
      <c r="AB1267" s="29"/>
      <c r="AC1267" s="29"/>
      <c r="AD1267" s="29"/>
      <c r="AE1267" s="29"/>
      <c r="AF1267" s="29"/>
      <c r="AG1267" s="30"/>
      <c r="AH1267" s="29"/>
      <c r="AI1267" s="29"/>
      <c r="AJ1267" s="29"/>
      <c r="AK1267" s="30"/>
      <c r="AL1267" s="29"/>
      <c r="AM1267" s="29"/>
      <c r="AN1267" s="29"/>
      <c r="AO1267" s="29"/>
      <c r="AP1267" s="29"/>
      <c r="AQ1267" s="29"/>
      <c r="AR1267" s="29"/>
      <c r="AS1267" s="29"/>
      <c r="AT1267" s="29"/>
      <c r="AU1267" s="29"/>
      <c r="AV1267" s="29"/>
      <c r="AW1267" s="29"/>
      <c r="AX1267" s="29"/>
      <c r="AY1267" s="29"/>
      <c r="AZ1267" s="29"/>
      <c r="BA1267" s="29"/>
      <c r="BB1267" s="29"/>
      <c r="BC1267" s="29"/>
      <c r="BD1267" s="29"/>
      <c r="BE1267" s="29"/>
      <c r="BF1267" s="29"/>
      <c r="BG1267" s="29"/>
      <c r="BH1267" s="29"/>
      <c r="BI1267" s="29"/>
      <c r="BJ1267" s="29"/>
      <c r="BK1267" s="29"/>
      <c r="BL1267" s="29"/>
      <c r="BM1267" s="29"/>
      <c r="BN1267" s="20">
        <f t="shared" si="152"/>
        <v>0</v>
      </c>
      <c r="BO1267" s="20">
        <f t="shared" si="153"/>
        <v>0</v>
      </c>
      <c r="BP1267" s="20">
        <f t="shared" si="154"/>
        <v>294</v>
      </c>
      <c r="BQ1267" s="51"/>
      <c r="BR1267" s="56"/>
      <c r="BS1267" s="111" t="s">
        <v>2006</v>
      </c>
      <c r="BT1267" s="36"/>
      <c r="BU1267" s="112"/>
    </row>
    <row r="1268" s="1" customFormat="1" customHeight="1" spans="1:73">
      <c r="A1268" s="28" t="s">
        <v>2007</v>
      </c>
      <c r="B1268" s="15" t="s">
        <v>2008</v>
      </c>
      <c r="C1268" s="16">
        <v>1430</v>
      </c>
      <c r="D1268" s="29"/>
      <c r="E1268" s="30"/>
      <c r="F1268" s="29"/>
      <c r="G1268" s="29"/>
      <c r="H1268" s="29"/>
      <c r="I1268" s="29"/>
      <c r="J1268" s="29"/>
      <c r="K1268" s="29">
        <v>106</v>
      </c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29"/>
      <c r="AB1268" s="29"/>
      <c r="AC1268" s="29"/>
      <c r="AD1268" s="29"/>
      <c r="AE1268" s="29"/>
      <c r="AF1268" s="29"/>
      <c r="AG1268" s="30"/>
      <c r="AH1268" s="29"/>
      <c r="AI1268" s="29"/>
      <c r="AJ1268" s="29"/>
      <c r="AK1268" s="30"/>
      <c r="AL1268" s="29"/>
      <c r="AM1268" s="29"/>
      <c r="AN1268" s="29"/>
      <c r="AO1268" s="29"/>
      <c r="AP1268" s="29"/>
      <c r="AQ1268" s="29"/>
      <c r="AR1268" s="29"/>
      <c r="AS1268" s="29"/>
      <c r="AT1268" s="29"/>
      <c r="AU1268" s="29"/>
      <c r="AV1268" s="29"/>
      <c r="AW1268" s="29"/>
      <c r="AX1268" s="29"/>
      <c r="AY1268" s="29"/>
      <c r="AZ1268" s="29"/>
      <c r="BA1268" s="29"/>
      <c r="BB1268" s="29"/>
      <c r="BC1268" s="29"/>
      <c r="BD1268" s="29"/>
      <c r="BE1268" s="29"/>
      <c r="BF1268" s="29"/>
      <c r="BG1268" s="29"/>
      <c r="BH1268" s="29"/>
      <c r="BI1268" s="29"/>
      <c r="BJ1268" s="29"/>
      <c r="BK1268" s="29"/>
      <c r="BL1268" s="29"/>
      <c r="BM1268" s="29"/>
      <c r="BN1268" s="20">
        <f t="shared" si="152"/>
        <v>0</v>
      </c>
      <c r="BO1268" s="20">
        <f t="shared" si="153"/>
        <v>106</v>
      </c>
      <c r="BP1268" s="20">
        <f t="shared" si="154"/>
        <v>1324</v>
      </c>
      <c r="BQ1268" s="51"/>
      <c r="BR1268" s="56"/>
      <c r="BS1268" s="111" t="s">
        <v>2009</v>
      </c>
      <c r="BT1268" s="36"/>
      <c r="BU1268" s="112"/>
    </row>
    <row r="1269" s="1" customFormat="1" customHeight="1" spans="1:73">
      <c r="A1269" s="15" t="s">
        <v>2010</v>
      </c>
      <c r="B1269" s="15" t="s">
        <v>2011</v>
      </c>
      <c r="C1269" s="16">
        <v>2443</v>
      </c>
      <c r="D1269" s="29"/>
      <c r="E1269" s="30"/>
      <c r="F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29"/>
      <c r="AB1269" s="29"/>
      <c r="AC1269" s="29"/>
      <c r="AD1269" s="29"/>
      <c r="AE1269" s="29"/>
      <c r="AF1269" s="29"/>
      <c r="AG1269" s="30"/>
      <c r="AH1269" s="29"/>
      <c r="AI1269" s="29"/>
      <c r="AJ1269" s="29"/>
      <c r="AK1269" s="30"/>
      <c r="AL1269" s="29"/>
      <c r="AM1269" s="29"/>
      <c r="AN1269" s="29"/>
      <c r="AO1269" s="29"/>
      <c r="AP1269" s="29"/>
      <c r="AQ1269" s="29"/>
      <c r="AR1269" s="29"/>
      <c r="AS1269" s="29"/>
      <c r="AT1269" s="29"/>
      <c r="AU1269" s="29"/>
      <c r="AV1269" s="29"/>
      <c r="AW1269" s="29"/>
      <c r="AX1269" s="29"/>
      <c r="AY1269" s="29"/>
      <c r="AZ1269" s="29"/>
      <c r="BA1269" s="29"/>
      <c r="BB1269" s="29"/>
      <c r="BC1269" s="29"/>
      <c r="BD1269" s="29"/>
      <c r="BE1269" s="29"/>
      <c r="BF1269" s="29"/>
      <c r="BG1269" s="29"/>
      <c r="BH1269" s="29"/>
      <c r="BI1269" s="29"/>
      <c r="BJ1269" s="29"/>
      <c r="BK1269" s="29"/>
      <c r="BL1269" s="29"/>
      <c r="BM1269" s="29"/>
      <c r="BN1269" s="20">
        <f t="shared" si="152"/>
        <v>0</v>
      </c>
      <c r="BO1269" s="20">
        <f t="shared" si="153"/>
        <v>0</v>
      </c>
      <c r="BP1269" s="20">
        <f t="shared" si="154"/>
        <v>2443</v>
      </c>
      <c r="BQ1269" s="51"/>
      <c r="BR1269" s="56"/>
      <c r="BS1269" s="111" t="s">
        <v>2012</v>
      </c>
      <c r="BT1269" s="36"/>
      <c r="BU1269" s="112"/>
    </row>
    <row r="1270" s="1" customFormat="1" customHeight="1" spans="1:73">
      <c r="A1270" s="15" t="s">
        <v>2013</v>
      </c>
      <c r="B1270" s="15" t="s">
        <v>2014</v>
      </c>
      <c r="C1270" s="16">
        <v>283</v>
      </c>
      <c r="D1270" s="29"/>
      <c r="E1270" s="30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29"/>
      <c r="AB1270" s="29"/>
      <c r="AC1270" s="29"/>
      <c r="AD1270" s="29"/>
      <c r="AE1270" s="29"/>
      <c r="AF1270" s="29"/>
      <c r="AG1270" s="30"/>
      <c r="AH1270" s="29"/>
      <c r="AI1270" s="29"/>
      <c r="AJ1270" s="29"/>
      <c r="AK1270" s="30"/>
      <c r="AL1270" s="29"/>
      <c r="AM1270" s="29"/>
      <c r="AN1270" s="29"/>
      <c r="AO1270" s="29"/>
      <c r="AP1270" s="29"/>
      <c r="AQ1270" s="29"/>
      <c r="AR1270" s="29"/>
      <c r="AS1270" s="29"/>
      <c r="AT1270" s="29"/>
      <c r="AU1270" s="29"/>
      <c r="AV1270" s="29"/>
      <c r="AW1270" s="29"/>
      <c r="AX1270" s="29"/>
      <c r="AY1270" s="29"/>
      <c r="AZ1270" s="29"/>
      <c r="BA1270" s="29"/>
      <c r="BB1270" s="29"/>
      <c r="BC1270" s="29"/>
      <c r="BD1270" s="29"/>
      <c r="BE1270" s="29"/>
      <c r="BF1270" s="29"/>
      <c r="BG1270" s="29"/>
      <c r="BH1270" s="29"/>
      <c r="BI1270" s="29"/>
      <c r="BJ1270" s="18"/>
      <c r="BK1270" s="18"/>
      <c r="BL1270" s="29"/>
      <c r="BM1270" s="29"/>
      <c r="BN1270" s="20">
        <f t="shared" si="152"/>
        <v>0</v>
      </c>
      <c r="BO1270" s="20">
        <f t="shared" si="153"/>
        <v>0</v>
      </c>
      <c r="BP1270" s="20">
        <f t="shared" si="154"/>
        <v>283</v>
      </c>
      <c r="BQ1270" s="51"/>
      <c r="BR1270" s="56"/>
      <c r="BS1270" s="111"/>
      <c r="BT1270" s="36"/>
      <c r="BU1270" s="112"/>
    </row>
    <row r="1271" s="1" customFormat="1" customHeight="1" spans="1:73">
      <c r="A1271" s="15" t="s">
        <v>2015</v>
      </c>
      <c r="B1271" s="15" t="s">
        <v>2016</v>
      </c>
      <c r="C1271" s="16">
        <v>2265</v>
      </c>
      <c r="D1271" s="29"/>
      <c r="E1271" s="30"/>
      <c r="F1271" s="29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29"/>
      <c r="AB1271" s="29"/>
      <c r="AC1271" s="29"/>
      <c r="AD1271" s="29"/>
      <c r="AE1271" s="29"/>
      <c r="AF1271" s="29"/>
      <c r="AG1271" s="30"/>
      <c r="AH1271" s="29"/>
      <c r="AI1271" s="29"/>
      <c r="AJ1271" s="29"/>
      <c r="AK1271" s="30"/>
      <c r="AL1271" s="29"/>
      <c r="AM1271" s="29"/>
      <c r="AN1271" s="29"/>
      <c r="AO1271" s="29"/>
      <c r="AP1271" s="29"/>
      <c r="AQ1271" s="29"/>
      <c r="AR1271" s="29"/>
      <c r="AS1271" s="29"/>
      <c r="AT1271" s="29"/>
      <c r="AU1271" s="29"/>
      <c r="AV1271" s="29"/>
      <c r="AW1271" s="29"/>
      <c r="AX1271" s="29"/>
      <c r="AY1271" s="29"/>
      <c r="AZ1271" s="29"/>
      <c r="BA1271" s="29"/>
      <c r="BB1271" s="29"/>
      <c r="BC1271" s="29"/>
      <c r="BD1271" s="29"/>
      <c r="BE1271" s="29"/>
      <c r="BF1271" s="29"/>
      <c r="BG1271" s="29"/>
      <c r="BH1271" s="29"/>
      <c r="BI1271" s="29"/>
      <c r="BJ1271" s="29"/>
      <c r="BK1271" s="29"/>
      <c r="BL1271" s="29"/>
      <c r="BM1271" s="29"/>
      <c r="BN1271" s="20">
        <f t="shared" si="152"/>
        <v>0</v>
      </c>
      <c r="BO1271" s="20">
        <f t="shared" si="153"/>
        <v>0</v>
      </c>
      <c r="BP1271" s="20">
        <f t="shared" si="154"/>
        <v>2265</v>
      </c>
      <c r="BQ1271" s="51"/>
      <c r="BR1271" s="56"/>
      <c r="BS1271" s="111"/>
      <c r="BT1271" s="36"/>
      <c r="BU1271" s="112"/>
    </row>
    <row r="1272" s="1" customFormat="1" customHeight="1" spans="1:73">
      <c r="A1272" s="15" t="s">
        <v>2017</v>
      </c>
      <c r="B1272" s="15" t="s">
        <v>2018</v>
      </c>
      <c r="C1272" s="16">
        <v>880</v>
      </c>
      <c r="D1272" s="29"/>
      <c r="E1272" s="30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29"/>
      <c r="AB1272" s="29"/>
      <c r="AC1272" s="29"/>
      <c r="AD1272" s="29"/>
      <c r="AE1272" s="29"/>
      <c r="AF1272" s="29"/>
      <c r="AG1272" s="30"/>
      <c r="AH1272" s="29"/>
      <c r="AI1272" s="29"/>
      <c r="AJ1272" s="29"/>
      <c r="AK1272" s="30"/>
      <c r="AL1272" s="29"/>
      <c r="AM1272" s="29"/>
      <c r="AN1272" s="29"/>
      <c r="AO1272" s="29"/>
      <c r="AP1272" s="29"/>
      <c r="AQ1272" s="29"/>
      <c r="AR1272" s="29"/>
      <c r="AS1272" s="29"/>
      <c r="AT1272" s="29"/>
      <c r="AU1272" s="29"/>
      <c r="AV1272" s="29"/>
      <c r="AW1272" s="29"/>
      <c r="AX1272" s="29"/>
      <c r="AY1272" s="29"/>
      <c r="AZ1272" s="29"/>
      <c r="BA1272" s="29"/>
      <c r="BB1272" s="29"/>
      <c r="BC1272" s="29"/>
      <c r="BD1272" s="29"/>
      <c r="BE1272" s="29"/>
      <c r="BF1272" s="29"/>
      <c r="BG1272" s="29"/>
      <c r="BH1272" s="29"/>
      <c r="BI1272" s="29"/>
      <c r="BJ1272" s="29"/>
      <c r="BK1272" s="29"/>
      <c r="BL1272" s="29"/>
      <c r="BM1272" s="29"/>
      <c r="BN1272" s="20">
        <f t="shared" si="152"/>
        <v>0</v>
      </c>
      <c r="BO1272" s="20">
        <f t="shared" si="153"/>
        <v>0</v>
      </c>
      <c r="BP1272" s="20">
        <f t="shared" si="154"/>
        <v>880</v>
      </c>
      <c r="BQ1272" s="51"/>
      <c r="BR1272" s="56"/>
      <c r="BS1272" s="111"/>
      <c r="BT1272" s="36"/>
      <c r="BU1272" s="112"/>
    </row>
    <row r="1273" s="1" customFormat="1" customHeight="1" spans="1:73">
      <c r="A1273" s="15" t="s">
        <v>2019</v>
      </c>
      <c r="B1273" s="15" t="s">
        <v>2020</v>
      </c>
      <c r="C1273" s="16">
        <v>373</v>
      </c>
      <c r="D1273" s="29"/>
      <c r="E1273" s="30"/>
      <c r="F1273" s="29"/>
      <c r="G1273" s="29"/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29"/>
      <c r="AB1273" s="29"/>
      <c r="AC1273" s="29"/>
      <c r="AD1273" s="29"/>
      <c r="AE1273" s="29"/>
      <c r="AF1273" s="29"/>
      <c r="AG1273" s="30"/>
      <c r="AH1273" s="29"/>
      <c r="AI1273" s="29"/>
      <c r="AJ1273" s="29"/>
      <c r="AK1273" s="30"/>
      <c r="AL1273" s="29"/>
      <c r="AM1273" s="29"/>
      <c r="AN1273" s="29"/>
      <c r="AO1273" s="29"/>
      <c r="AP1273" s="29"/>
      <c r="AQ1273" s="29"/>
      <c r="AR1273" s="29"/>
      <c r="AS1273" s="29"/>
      <c r="AT1273" s="29"/>
      <c r="AU1273" s="29"/>
      <c r="AV1273" s="29"/>
      <c r="AW1273" s="29"/>
      <c r="AX1273" s="29"/>
      <c r="AY1273" s="29"/>
      <c r="AZ1273" s="29"/>
      <c r="BA1273" s="29"/>
      <c r="BB1273" s="29"/>
      <c r="BC1273" s="29"/>
      <c r="BD1273" s="29"/>
      <c r="BE1273" s="29"/>
      <c r="BF1273" s="29"/>
      <c r="BG1273" s="29"/>
      <c r="BH1273" s="29"/>
      <c r="BI1273" s="29"/>
      <c r="BJ1273" s="29"/>
      <c r="BK1273" s="29"/>
      <c r="BL1273" s="29"/>
      <c r="BM1273" s="29"/>
      <c r="BN1273" s="20">
        <f t="shared" si="152"/>
        <v>0</v>
      </c>
      <c r="BO1273" s="20">
        <f t="shared" si="153"/>
        <v>0</v>
      </c>
      <c r="BP1273" s="20">
        <f t="shared" si="154"/>
        <v>373</v>
      </c>
      <c r="BQ1273" s="51"/>
      <c r="BR1273" s="56"/>
      <c r="BS1273" s="111"/>
      <c r="BT1273" s="36"/>
      <c r="BU1273" s="112"/>
    </row>
    <row r="1274" s="1" customFormat="1" customHeight="1" spans="1:73">
      <c r="A1274" s="15" t="s">
        <v>2021</v>
      </c>
      <c r="B1274" s="15" t="s">
        <v>2022</v>
      </c>
      <c r="C1274" s="16">
        <v>280</v>
      </c>
      <c r="D1274" s="29"/>
      <c r="E1274" s="30"/>
      <c r="F1274" s="29"/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29"/>
      <c r="X1274" s="29"/>
      <c r="Y1274" s="29"/>
      <c r="Z1274" s="29"/>
      <c r="AA1274" s="29"/>
      <c r="AB1274" s="29"/>
      <c r="AC1274" s="29"/>
      <c r="AD1274" s="29"/>
      <c r="AE1274" s="29"/>
      <c r="AF1274" s="29"/>
      <c r="AG1274" s="30"/>
      <c r="AH1274" s="29"/>
      <c r="AI1274" s="29"/>
      <c r="AJ1274" s="29"/>
      <c r="AK1274" s="30"/>
      <c r="AL1274" s="29"/>
      <c r="AM1274" s="29"/>
      <c r="AN1274" s="29"/>
      <c r="AO1274" s="29"/>
      <c r="AP1274" s="29"/>
      <c r="AQ1274" s="29"/>
      <c r="AR1274" s="29"/>
      <c r="AS1274" s="29"/>
      <c r="AT1274" s="29"/>
      <c r="AU1274" s="29"/>
      <c r="AV1274" s="29"/>
      <c r="AW1274" s="29"/>
      <c r="AX1274" s="29"/>
      <c r="AY1274" s="29"/>
      <c r="AZ1274" s="29"/>
      <c r="BA1274" s="29"/>
      <c r="BB1274" s="29"/>
      <c r="BC1274" s="29"/>
      <c r="BD1274" s="29"/>
      <c r="BE1274" s="29"/>
      <c r="BF1274" s="29"/>
      <c r="BG1274" s="29"/>
      <c r="BH1274" s="29"/>
      <c r="BI1274" s="29"/>
      <c r="BJ1274" s="29"/>
      <c r="BK1274" s="29"/>
      <c r="BL1274" s="29"/>
      <c r="BM1274" s="29"/>
      <c r="BN1274" s="20">
        <f t="shared" si="152"/>
        <v>0</v>
      </c>
      <c r="BO1274" s="20">
        <f t="shared" si="153"/>
        <v>0</v>
      </c>
      <c r="BP1274" s="20">
        <f t="shared" si="154"/>
        <v>280</v>
      </c>
      <c r="BQ1274" s="188"/>
      <c r="BR1274" s="189"/>
      <c r="BS1274" s="110"/>
      <c r="BT1274" s="36"/>
      <c r="BU1274" s="112"/>
    </row>
    <row r="1275" s="1" customFormat="1" customHeight="1" spans="1:73">
      <c r="A1275" s="15" t="s">
        <v>2023</v>
      </c>
      <c r="B1275" s="15" t="s">
        <v>2024</v>
      </c>
      <c r="C1275" s="16">
        <v>725</v>
      </c>
      <c r="D1275" s="29"/>
      <c r="E1275" s="30"/>
      <c r="F1275" s="29"/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29"/>
      <c r="AB1275" s="29"/>
      <c r="AC1275" s="29"/>
      <c r="AD1275" s="29"/>
      <c r="AE1275" s="29"/>
      <c r="AF1275" s="29"/>
      <c r="AG1275" s="30"/>
      <c r="AH1275" s="29"/>
      <c r="AI1275" s="29"/>
      <c r="AJ1275" s="29"/>
      <c r="AK1275" s="30"/>
      <c r="AL1275" s="29"/>
      <c r="AM1275" s="29"/>
      <c r="AN1275" s="29"/>
      <c r="AO1275" s="29"/>
      <c r="AP1275" s="29"/>
      <c r="AQ1275" s="29"/>
      <c r="AR1275" s="29"/>
      <c r="AS1275" s="29"/>
      <c r="AT1275" s="29"/>
      <c r="AU1275" s="29"/>
      <c r="AV1275" s="29"/>
      <c r="AW1275" s="29"/>
      <c r="AX1275" s="29"/>
      <c r="AY1275" s="29"/>
      <c r="AZ1275" s="29"/>
      <c r="BA1275" s="29"/>
      <c r="BB1275" s="29"/>
      <c r="BC1275" s="29"/>
      <c r="BD1275" s="29"/>
      <c r="BE1275" s="29"/>
      <c r="BF1275" s="29"/>
      <c r="BG1275" s="29"/>
      <c r="BH1275" s="29"/>
      <c r="BI1275" s="29"/>
      <c r="BJ1275" s="29"/>
      <c r="BK1275" s="29"/>
      <c r="BL1275" s="29"/>
      <c r="BM1275" s="29"/>
      <c r="BN1275" s="20">
        <f t="shared" si="152"/>
        <v>0</v>
      </c>
      <c r="BO1275" s="20">
        <f t="shared" si="153"/>
        <v>0</v>
      </c>
      <c r="BP1275" s="20">
        <f t="shared" si="154"/>
        <v>725</v>
      </c>
      <c r="BQ1275" s="51"/>
      <c r="BR1275" s="56"/>
      <c r="BS1275" s="110"/>
      <c r="BT1275" s="36"/>
      <c r="BU1275" s="112"/>
    </row>
    <row r="1276" s="1" customFormat="1" customHeight="1" spans="1:73">
      <c r="A1276" s="15" t="s">
        <v>2025</v>
      </c>
      <c r="B1276" s="15" t="s">
        <v>2026</v>
      </c>
      <c r="C1276" s="16">
        <v>84</v>
      </c>
      <c r="D1276" s="29"/>
      <c r="E1276" s="30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29"/>
      <c r="AB1276" s="29"/>
      <c r="AC1276" s="29"/>
      <c r="AD1276" s="29"/>
      <c r="AE1276" s="18"/>
      <c r="AF1276" s="29"/>
      <c r="AG1276" s="30"/>
      <c r="AH1276" s="29"/>
      <c r="AI1276" s="29"/>
      <c r="AJ1276" s="29"/>
      <c r="AK1276" s="30"/>
      <c r="AL1276" s="29"/>
      <c r="AM1276" s="18"/>
      <c r="AN1276" s="29"/>
      <c r="AO1276" s="29"/>
      <c r="AP1276" s="29"/>
      <c r="AQ1276" s="29"/>
      <c r="AR1276" s="29"/>
      <c r="AS1276" s="29"/>
      <c r="AT1276" s="29"/>
      <c r="AU1276" s="29"/>
      <c r="AV1276" s="29"/>
      <c r="AW1276" s="29"/>
      <c r="AX1276" s="29"/>
      <c r="AY1276" s="29"/>
      <c r="AZ1276" s="29"/>
      <c r="BA1276" s="29"/>
      <c r="BB1276" s="29"/>
      <c r="BC1276" s="29"/>
      <c r="BD1276" s="29"/>
      <c r="BE1276" s="29"/>
      <c r="BF1276" s="29"/>
      <c r="BG1276" s="29"/>
      <c r="BH1276" s="29"/>
      <c r="BI1276" s="29"/>
      <c r="BJ1276" s="29"/>
      <c r="BK1276" s="29"/>
      <c r="BL1276" s="29"/>
      <c r="BM1276" s="29"/>
      <c r="BN1276" s="20">
        <f t="shared" si="152"/>
        <v>0</v>
      </c>
      <c r="BO1276" s="20">
        <f t="shared" si="153"/>
        <v>0</v>
      </c>
      <c r="BP1276" s="20">
        <f t="shared" si="154"/>
        <v>84</v>
      </c>
      <c r="BQ1276" s="51"/>
      <c r="BR1276" s="56"/>
      <c r="BS1276" s="110" t="s">
        <v>2027</v>
      </c>
      <c r="BT1276" s="36"/>
      <c r="BU1276" s="112"/>
    </row>
    <row r="1277" s="1" customFormat="1" customHeight="1" spans="1:73">
      <c r="A1277" s="15" t="s">
        <v>2028</v>
      </c>
      <c r="B1277" s="15" t="s">
        <v>2029</v>
      </c>
      <c r="C1277" s="16">
        <v>123</v>
      </c>
      <c r="D1277" s="29"/>
      <c r="E1277" s="30"/>
      <c r="F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30"/>
      <c r="T1277" s="29"/>
      <c r="U1277" s="29"/>
      <c r="V1277" s="29"/>
      <c r="W1277" s="29"/>
      <c r="X1277" s="29"/>
      <c r="Y1277" s="29"/>
      <c r="Z1277" s="29"/>
      <c r="AA1277" s="29"/>
      <c r="AB1277" s="29"/>
      <c r="AC1277" s="29"/>
      <c r="AD1277" s="29"/>
      <c r="AE1277" s="29"/>
      <c r="AF1277" s="29"/>
      <c r="AG1277" s="30"/>
      <c r="AH1277" s="29"/>
      <c r="AI1277" s="29"/>
      <c r="AJ1277" s="29"/>
      <c r="AK1277" s="187"/>
      <c r="AL1277" s="29"/>
      <c r="AM1277" s="29"/>
      <c r="AN1277" s="29"/>
      <c r="AO1277" s="29"/>
      <c r="AP1277" s="29"/>
      <c r="AQ1277" s="29"/>
      <c r="AR1277" s="29"/>
      <c r="AS1277" s="29"/>
      <c r="AT1277" s="29"/>
      <c r="AU1277" s="29"/>
      <c r="AV1277" s="29"/>
      <c r="AW1277" s="29"/>
      <c r="AX1277" s="29"/>
      <c r="AY1277" s="29"/>
      <c r="AZ1277" s="29"/>
      <c r="BA1277" s="29"/>
      <c r="BB1277" s="29"/>
      <c r="BC1277" s="29"/>
      <c r="BD1277" s="29"/>
      <c r="BE1277" s="29"/>
      <c r="BF1277" s="29"/>
      <c r="BG1277" s="29"/>
      <c r="BH1277" s="29"/>
      <c r="BI1277" s="29"/>
      <c r="BJ1277" s="29"/>
      <c r="BK1277" s="29"/>
      <c r="BL1277" s="29"/>
      <c r="BM1277" s="29"/>
      <c r="BN1277" s="20">
        <f t="shared" si="152"/>
        <v>0</v>
      </c>
      <c r="BO1277" s="20">
        <f t="shared" si="153"/>
        <v>0</v>
      </c>
      <c r="BP1277" s="20">
        <f t="shared" si="154"/>
        <v>123</v>
      </c>
      <c r="BQ1277" s="51"/>
      <c r="BR1277" s="56"/>
      <c r="BS1277" s="110"/>
      <c r="BT1277" s="36"/>
      <c r="BU1277" s="112"/>
    </row>
    <row r="1278" s="1" customFormat="1" customHeight="1" spans="1:73">
      <c r="A1278" s="15" t="s">
        <v>2030</v>
      </c>
      <c r="B1278" s="15" t="s">
        <v>2031</v>
      </c>
      <c r="C1278" s="16">
        <v>0</v>
      </c>
      <c r="D1278" s="29"/>
      <c r="E1278" s="30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30"/>
      <c r="T1278" s="29"/>
      <c r="U1278" s="29"/>
      <c r="V1278" s="29"/>
      <c r="W1278" s="29"/>
      <c r="X1278" s="29"/>
      <c r="Y1278" s="29"/>
      <c r="Z1278" s="29"/>
      <c r="AA1278" s="29"/>
      <c r="AB1278" s="29"/>
      <c r="AC1278" s="29"/>
      <c r="AD1278" s="29"/>
      <c r="AE1278" s="29"/>
      <c r="AF1278" s="29"/>
      <c r="AG1278" s="30"/>
      <c r="AH1278" s="29"/>
      <c r="AI1278" s="29"/>
      <c r="AJ1278" s="29"/>
      <c r="AK1278" s="187"/>
      <c r="AL1278" s="29"/>
      <c r="AM1278" s="29"/>
      <c r="AN1278" s="29"/>
      <c r="AO1278" s="29"/>
      <c r="AP1278" s="29"/>
      <c r="AQ1278" s="29"/>
      <c r="AR1278" s="29"/>
      <c r="AS1278" s="29"/>
      <c r="AT1278" s="29"/>
      <c r="AU1278" s="29"/>
      <c r="AV1278" s="29"/>
      <c r="AW1278" s="29"/>
      <c r="AX1278" s="29"/>
      <c r="AY1278" s="29"/>
      <c r="AZ1278" s="29"/>
      <c r="BA1278" s="29"/>
      <c r="BB1278" s="29"/>
      <c r="BC1278" s="29"/>
      <c r="BD1278" s="29"/>
      <c r="BE1278" s="29"/>
      <c r="BF1278" s="29"/>
      <c r="BG1278" s="29"/>
      <c r="BH1278" s="29"/>
      <c r="BI1278" s="29"/>
      <c r="BJ1278" s="29"/>
      <c r="BK1278" s="29"/>
      <c r="BL1278" s="29"/>
      <c r="BM1278" s="29"/>
      <c r="BN1278" s="20">
        <f t="shared" si="152"/>
        <v>0</v>
      </c>
      <c r="BO1278" s="20">
        <f t="shared" si="153"/>
        <v>0</v>
      </c>
      <c r="BP1278" s="20">
        <f t="shared" si="154"/>
        <v>0</v>
      </c>
      <c r="BQ1278" s="51"/>
      <c r="BR1278" s="56"/>
      <c r="BS1278" s="110"/>
      <c r="BT1278" s="36"/>
      <c r="BU1278" s="112"/>
    </row>
    <row r="1279" s="1" customFormat="1" customHeight="1" spans="1:73">
      <c r="A1279" s="15" t="s">
        <v>2032</v>
      </c>
      <c r="B1279" s="15" t="s">
        <v>2031</v>
      </c>
      <c r="C1279" s="16">
        <v>123</v>
      </c>
      <c r="D1279" s="29"/>
      <c r="E1279" s="30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30"/>
      <c r="T1279" s="29"/>
      <c r="U1279" s="29"/>
      <c r="V1279" s="29"/>
      <c r="W1279" s="29"/>
      <c r="X1279" s="29"/>
      <c r="Y1279" s="29"/>
      <c r="Z1279" s="29"/>
      <c r="AA1279" s="29"/>
      <c r="AB1279" s="29"/>
      <c r="AC1279" s="29"/>
      <c r="AD1279" s="29"/>
      <c r="AE1279" s="29"/>
      <c r="AF1279" s="29"/>
      <c r="AG1279" s="30"/>
      <c r="AH1279" s="29"/>
      <c r="AI1279" s="29"/>
      <c r="AJ1279" s="29"/>
      <c r="AK1279" s="187"/>
      <c r="AL1279" s="29"/>
      <c r="AM1279" s="29"/>
      <c r="AN1279" s="29"/>
      <c r="AO1279" s="29"/>
      <c r="AP1279" s="29"/>
      <c r="AQ1279" s="29"/>
      <c r="AR1279" s="29"/>
      <c r="AS1279" s="29"/>
      <c r="AT1279" s="29"/>
      <c r="AU1279" s="29"/>
      <c r="AV1279" s="29"/>
      <c r="AW1279" s="29"/>
      <c r="AX1279" s="29"/>
      <c r="AY1279" s="29"/>
      <c r="AZ1279" s="29"/>
      <c r="BA1279" s="29"/>
      <c r="BB1279" s="29"/>
      <c r="BC1279" s="29"/>
      <c r="BD1279" s="29"/>
      <c r="BE1279" s="29"/>
      <c r="BF1279" s="29"/>
      <c r="BG1279" s="29"/>
      <c r="BH1279" s="29"/>
      <c r="BI1279" s="29"/>
      <c r="BJ1279" s="29"/>
      <c r="BK1279" s="29"/>
      <c r="BL1279" s="29"/>
      <c r="BM1279" s="29"/>
      <c r="BN1279" s="20">
        <f t="shared" si="152"/>
        <v>0</v>
      </c>
      <c r="BO1279" s="20">
        <f t="shared" si="153"/>
        <v>0</v>
      </c>
      <c r="BP1279" s="20">
        <f t="shared" si="154"/>
        <v>123</v>
      </c>
      <c r="BQ1279" s="51"/>
      <c r="BR1279" s="56"/>
      <c r="BS1279" s="110"/>
      <c r="BT1279" s="36"/>
      <c r="BU1279" s="112"/>
    </row>
    <row r="1280" s="1" customFormat="1" customHeight="1" spans="1:73">
      <c r="A1280" s="15" t="s">
        <v>2033</v>
      </c>
      <c r="B1280" s="15" t="s">
        <v>2034</v>
      </c>
      <c r="C1280" s="16">
        <v>0</v>
      </c>
      <c r="D1280" s="18"/>
      <c r="E1280" s="30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30"/>
      <c r="AH1280" s="29"/>
      <c r="AI1280" s="29"/>
      <c r="AJ1280" s="29"/>
      <c r="AK1280" s="30"/>
      <c r="AL1280" s="29"/>
      <c r="AM1280" s="29"/>
      <c r="AN1280" s="29"/>
      <c r="AO1280" s="29"/>
      <c r="AP1280" s="29"/>
      <c r="AQ1280" s="29"/>
      <c r="AR1280" s="29"/>
      <c r="AS1280" s="29"/>
      <c r="AT1280" s="29"/>
      <c r="AU1280" s="29"/>
      <c r="AV1280" s="29"/>
      <c r="AW1280" s="18"/>
      <c r="AX1280" s="29"/>
      <c r="AY1280" s="29"/>
      <c r="AZ1280" s="29"/>
      <c r="BA1280" s="29"/>
      <c r="BB1280" s="29"/>
      <c r="BC1280" s="29"/>
      <c r="BD1280" s="29"/>
      <c r="BE1280" s="29"/>
      <c r="BF1280" s="29"/>
      <c r="BG1280" s="29"/>
      <c r="BH1280" s="29"/>
      <c r="BI1280" s="29"/>
      <c r="BJ1280" s="29"/>
      <c r="BK1280" s="29"/>
      <c r="BL1280" s="29"/>
      <c r="BM1280" s="29"/>
      <c r="BN1280" s="20">
        <f t="shared" si="152"/>
        <v>0</v>
      </c>
      <c r="BO1280" s="20">
        <f t="shared" si="153"/>
        <v>0</v>
      </c>
      <c r="BP1280" s="20">
        <f t="shared" si="154"/>
        <v>0</v>
      </c>
      <c r="BQ1280" s="51"/>
      <c r="BR1280" s="56"/>
      <c r="BS1280" s="111"/>
      <c r="BT1280" s="36"/>
      <c r="BU1280" s="112"/>
    </row>
    <row r="1281" s="1" customFormat="1" customHeight="1" spans="1:73">
      <c r="A1281" s="15" t="s">
        <v>2035</v>
      </c>
      <c r="B1281" s="15" t="s">
        <v>2036</v>
      </c>
      <c r="C1281" s="16">
        <v>0</v>
      </c>
      <c r="D1281" s="18"/>
      <c r="E1281" s="30"/>
      <c r="F1281" s="29"/>
      <c r="G1281" s="29"/>
      <c r="H1281" s="29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29"/>
      <c r="AB1281" s="29"/>
      <c r="AC1281" s="29"/>
      <c r="AD1281" s="29"/>
      <c r="AE1281" s="29"/>
      <c r="AF1281" s="29"/>
      <c r="AG1281" s="30"/>
      <c r="AH1281" s="29"/>
      <c r="AI1281" s="29"/>
      <c r="AJ1281" s="29"/>
      <c r="AK1281" s="30"/>
      <c r="AL1281" s="29"/>
      <c r="AM1281" s="29"/>
      <c r="AN1281" s="29"/>
      <c r="AO1281" s="29"/>
      <c r="AP1281" s="29"/>
      <c r="AQ1281" s="29"/>
      <c r="AR1281" s="29"/>
      <c r="AS1281" s="29"/>
      <c r="AT1281" s="29"/>
      <c r="AU1281" s="29"/>
      <c r="AV1281" s="29"/>
      <c r="AW1281" s="18"/>
      <c r="AX1281" s="29"/>
      <c r="AY1281" s="29"/>
      <c r="AZ1281" s="29"/>
      <c r="BA1281" s="29"/>
      <c r="BB1281" s="29"/>
      <c r="BC1281" s="29"/>
      <c r="BD1281" s="29"/>
      <c r="BE1281" s="29"/>
      <c r="BF1281" s="29"/>
      <c r="BG1281" s="29"/>
      <c r="BH1281" s="29"/>
      <c r="BI1281" s="29"/>
      <c r="BJ1281" s="29"/>
      <c r="BK1281" s="29"/>
      <c r="BL1281" s="29"/>
      <c r="BM1281" s="29"/>
      <c r="BN1281" s="20">
        <f t="shared" si="152"/>
        <v>0</v>
      </c>
      <c r="BO1281" s="20">
        <f t="shared" si="153"/>
        <v>0</v>
      </c>
      <c r="BP1281" s="20">
        <f t="shared" si="154"/>
        <v>0</v>
      </c>
      <c r="BQ1281" s="51"/>
      <c r="BR1281" s="56"/>
      <c r="BS1281" s="111"/>
      <c r="BT1281" s="36"/>
      <c r="BU1281" s="112"/>
    </row>
    <row r="1282" s="1" customFormat="1" customHeight="1" spans="1:73">
      <c r="A1282" s="15" t="s">
        <v>2037</v>
      </c>
      <c r="B1282" s="15"/>
      <c r="C1282" s="16">
        <v>795</v>
      </c>
      <c r="D1282" s="29"/>
      <c r="E1282" s="30"/>
      <c r="F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29"/>
      <c r="AB1282" s="29"/>
      <c r="AC1282" s="29"/>
      <c r="AD1282" s="29"/>
      <c r="AE1282" s="29"/>
      <c r="AF1282" s="29"/>
      <c r="AG1282" s="30"/>
      <c r="AH1282" s="29"/>
      <c r="AI1282" s="29"/>
      <c r="AJ1282" s="29"/>
      <c r="AK1282" s="30"/>
      <c r="AL1282" s="29"/>
      <c r="AM1282" s="29"/>
      <c r="AN1282" s="29"/>
      <c r="AO1282" s="29"/>
      <c r="AP1282" s="29"/>
      <c r="AQ1282" s="29"/>
      <c r="AR1282" s="29"/>
      <c r="AS1282" s="29"/>
      <c r="AT1282" s="29"/>
      <c r="AU1282" s="29"/>
      <c r="AV1282" s="29"/>
      <c r="AW1282" s="29"/>
      <c r="AX1282" s="29"/>
      <c r="AY1282" s="29"/>
      <c r="AZ1282" s="29"/>
      <c r="BA1282" s="29"/>
      <c r="BB1282" s="29"/>
      <c r="BC1282" s="29"/>
      <c r="BD1282" s="29"/>
      <c r="BE1282" s="29"/>
      <c r="BF1282" s="29"/>
      <c r="BG1282" s="29"/>
      <c r="BH1282" s="29"/>
      <c r="BI1282" s="29"/>
      <c r="BJ1282" s="29"/>
      <c r="BK1282" s="29"/>
      <c r="BL1282" s="29"/>
      <c r="BM1282" s="29"/>
      <c r="BN1282" s="20">
        <f t="shared" si="152"/>
        <v>0</v>
      </c>
      <c r="BO1282" s="20">
        <f t="shared" si="153"/>
        <v>0</v>
      </c>
      <c r="BP1282" s="20">
        <f t="shared" si="154"/>
        <v>795</v>
      </c>
      <c r="BQ1282" s="51"/>
      <c r="BR1282" s="56"/>
      <c r="BS1282" s="111"/>
      <c r="BT1282" s="36"/>
      <c r="BU1282" s="112"/>
    </row>
    <row r="1283" s="1" customFormat="1" customHeight="1" spans="1:73">
      <c r="A1283" s="15" t="s">
        <v>2038</v>
      </c>
      <c r="B1283" s="15"/>
      <c r="C1283" s="16">
        <v>777</v>
      </c>
      <c r="D1283" s="29"/>
      <c r="E1283" s="30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29"/>
      <c r="AB1283" s="29"/>
      <c r="AC1283" s="29"/>
      <c r="AD1283" s="29"/>
      <c r="AE1283" s="29"/>
      <c r="AF1283" s="29"/>
      <c r="AG1283" s="30"/>
      <c r="AH1283" s="29"/>
      <c r="AI1283" s="29"/>
      <c r="AJ1283" s="29"/>
      <c r="AK1283" s="30"/>
      <c r="AL1283" s="29"/>
      <c r="AM1283" s="29"/>
      <c r="AN1283" s="29"/>
      <c r="AO1283" s="29"/>
      <c r="AP1283" s="29"/>
      <c r="AQ1283" s="29"/>
      <c r="AR1283" s="29"/>
      <c r="AS1283" s="29"/>
      <c r="AT1283" s="29"/>
      <c r="AU1283" s="29"/>
      <c r="AV1283" s="29"/>
      <c r="AW1283" s="29"/>
      <c r="AX1283" s="29"/>
      <c r="AY1283" s="29"/>
      <c r="AZ1283" s="29"/>
      <c r="BA1283" s="29"/>
      <c r="BB1283" s="29"/>
      <c r="BC1283" s="29"/>
      <c r="BD1283" s="29"/>
      <c r="BE1283" s="29"/>
      <c r="BF1283" s="29"/>
      <c r="BG1283" s="29"/>
      <c r="BH1283" s="29"/>
      <c r="BI1283" s="29"/>
      <c r="BJ1283" s="29"/>
      <c r="BK1283" s="29"/>
      <c r="BL1283" s="29"/>
      <c r="BM1283" s="29"/>
      <c r="BN1283" s="20">
        <f t="shared" si="152"/>
        <v>0</v>
      </c>
      <c r="BO1283" s="20">
        <f t="shared" si="153"/>
        <v>0</v>
      </c>
      <c r="BP1283" s="20">
        <f t="shared" si="154"/>
        <v>777</v>
      </c>
      <c r="BQ1283" s="51"/>
      <c r="BR1283" s="56"/>
      <c r="BS1283" s="111"/>
      <c r="BT1283" s="36"/>
      <c r="BU1283" s="112"/>
    </row>
    <row r="1284" s="1" customFormat="1" customHeight="1" spans="1:73">
      <c r="A1284" s="15" t="s">
        <v>2039</v>
      </c>
      <c r="B1284" s="15"/>
      <c r="C1284" s="16">
        <v>7</v>
      </c>
      <c r="D1284" s="29"/>
      <c r="E1284" s="30"/>
      <c r="F1284" s="29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29"/>
      <c r="AB1284" s="29"/>
      <c r="AC1284" s="29"/>
      <c r="AD1284" s="29"/>
      <c r="AE1284" s="29"/>
      <c r="AF1284" s="29"/>
      <c r="AG1284" s="30"/>
      <c r="AH1284" s="29"/>
      <c r="AI1284" s="29"/>
      <c r="AJ1284" s="29"/>
      <c r="AK1284" s="30"/>
      <c r="AL1284" s="29"/>
      <c r="AM1284" s="29"/>
      <c r="AN1284" s="29"/>
      <c r="AO1284" s="29"/>
      <c r="AP1284" s="29"/>
      <c r="AQ1284" s="29"/>
      <c r="AR1284" s="29"/>
      <c r="AS1284" s="29"/>
      <c r="AT1284" s="29"/>
      <c r="AU1284" s="29"/>
      <c r="AV1284" s="29"/>
      <c r="AW1284" s="29"/>
      <c r="AX1284" s="29"/>
      <c r="AY1284" s="29"/>
      <c r="AZ1284" s="29"/>
      <c r="BA1284" s="29"/>
      <c r="BB1284" s="29"/>
      <c r="BC1284" s="29"/>
      <c r="BD1284" s="29"/>
      <c r="BE1284" s="29"/>
      <c r="BF1284" s="29"/>
      <c r="BG1284" s="29"/>
      <c r="BH1284" s="29"/>
      <c r="BI1284" s="29"/>
      <c r="BJ1284" s="29"/>
      <c r="BK1284" s="29"/>
      <c r="BL1284" s="29"/>
      <c r="BM1284" s="29"/>
      <c r="BN1284" s="20">
        <f t="shared" si="152"/>
        <v>0</v>
      </c>
      <c r="BO1284" s="20">
        <f t="shared" si="153"/>
        <v>0</v>
      </c>
      <c r="BP1284" s="20">
        <f t="shared" si="154"/>
        <v>7</v>
      </c>
      <c r="BQ1284" s="51"/>
      <c r="BR1284" s="56"/>
      <c r="BS1284" s="111"/>
      <c r="BT1284" s="36"/>
      <c r="BU1284" s="112"/>
    </row>
    <row r="1285" s="1" customFormat="1" customHeight="1" spans="1:73">
      <c r="A1285" s="15" t="s">
        <v>2040</v>
      </c>
      <c r="B1285" s="15"/>
      <c r="C1285" s="16">
        <v>9</v>
      </c>
      <c r="D1285" s="29"/>
      <c r="E1285" s="30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29"/>
      <c r="AB1285" s="29"/>
      <c r="AC1285" s="29"/>
      <c r="AD1285" s="29"/>
      <c r="AE1285" s="29"/>
      <c r="AF1285" s="29"/>
      <c r="AG1285" s="30"/>
      <c r="AH1285" s="29"/>
      <c r="AI1285" s="29"/>
      <c r="AJ1285" s="29"/>
      <c r="AK1285" s="30"/>
      <c r="AL1285" s="29"/>
      <c r="AM1285" s="29"/>
      <c r="AN1285" s="29"/>
      <c r="AO1285" s="29"/>
      <c r="AP1285" s="29"/>
      <c r="AQ1285" s="29"/>
      <c r="AR1285" s="29"/>
      <c r="AS1285" s="29"/>
      <c r="AT1285" s="29"/>
      <c r="AU1285" s="29"/>
      <c r="AV1285" s="29"/>
      <c r="AW1285" s="29"/>
      <c r="AX1285" s="29"/>
      <c r="AY1285" s="29"/>
      <c r="AZ1285" s="29"/>
      <c r="BA1285" s="29"/>
      <c r="BB1285" s="29"/>
      <c r="BC1285" s="29"/>
      <c r="BD1285" s="29"/>
      <c r="BE1285" s="29"/>
      <c r="BF1285" s="29"/>
      <c r="BG1285" s="29"/>
      <c r="BH1285" s="29"/>
      <c r="BI1285" s="29"/>
      <c r="BJ1285" s="29"/>
      <c r="BK1285" s="29"/>
      <c r="BL1285" s="29"/>
      <c r="BM1285" s="29"/>
      <c r="BN1285" s="20">
        <f t="shared" si="152"/>
        <v>0</v>
      </c>
      <c r="BO1285" s="20">
        <f t="shared" si="153"/>
        <v>0</v>
      </c>
      <c r="BP1285" s="20">
        <f t="shared" si="154"/>
        <v>9</v>
      </c>
      <c r="BQ1285" s="51"/>
      <c r="BR1285" s="56"/>
      <c r="BS1285" s="111"/>
      <c r="BT1285" s="36"/>
      <c r="BU1285" s="112"/>
    </row>
    <row r="1286" s="1" customFormat="1" customHeight="1" spans="1:73">
      <c r="A1286" s="15" t="s">
        <v>2041</v>
      </c>
      <c r="B1286" s="15"/>
      <c r="C1286" s="16">
        <v>90</v>
      </c>
      <c r="D1286" s="29"/>
      <c r="E1286" s="30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29"/>
      <c r="AB1286" s="29"/>
      <c r="AC1286" s="29"/>
      <c r="AD1286" s="29"/>
      <c r="AE1286" s="29"/>
      <c r="AF1286" s="29"/>
      <c r="AG1286" s="30"/>
      <c r="AH1286" s="29"/>
      <c r="AI1286" s="29"/>
      <c r="AJ1286" s="29"/>
      <c r="AK1286" s="30"/>
      <c r="AL1286" s="29"/>
      <c r="AM1286" s="29"/>
      <c r="AN1286" s="29"/>
      <c r="AO1286" s="29"/>
      <c r="AP1286" s="29"/>
      <c r="AQ1286" s="29"/>
      <c r="AR1286" s="29"/>
      <c r="AS1286" s="29"/>
      <c r="AT1286" s="29"/>
      <c r="AU1286" s="29"/>
      <c r="AV1286" s="29"/>
      <c r="AW1286" s="29"/>
      <c r="AX1286" s="29"/>
      <c r="AY1286" s="29"/>
      <c r="AZ1286" s="29"/>
      <c r="BA1286" s="29"/>
      <c r="BB1286" s="29"/>
      <c r="BC1286" s="29"/>
      <c r="BD1286" s="29"/>
      <c r="BE1286" s="29"/>
      <c r="BF1286" s="29"/>
      <c r="BG1286" s="29"/>
      <c r="BH1286" s="29"/>
      <c r="BI1286" s="29"/>
      <c r="BJ1286" s="29"/>
      <c r="BK1286" s="29"/>
      <c r="BL1286" s="29"/>
      <c r="BM1286" s="29"/>
      <c r="BN1286" s="20">
        <f t="shared" si="152"/>
        <v>0</v>
      </c>
      <c r="BO1286" s="20">
        <f t="shared" si="153"/>
        <v>0</v>
      </c>
      <c r="BP1286" s="20">
        <f t="shared" si="154"/>
        <v>90</v>
      </c>
      <c r="BQ1286" s="51"/>
      <c r="BR1286" s="56"/>
      <c r="BS1286" s="111"/>
      <c r="BT1286" s="36"/>
      <c r="BU1286" s="112"/>
    </row>
    <row r="1287" s="1" customFormat="1" customHeight="1" spans="1:73">
      <c r="A1287" s="15" t="s">
        <v>2042</v>
      </c>
      <c r="B1287" s="15"/>
      <c r="C1287" s="16">
        <v>13</v>
      </c>
      <c r="D1287" s="29"/>
      <c r="E1287" s="30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190"/>
      <c r="X1287" s="29"/>
      <c r="Y1287" s="29"/>
      <c r="Z1287" s="29"/>
      <c r="AA1287" s="29"/>
      <c r="AB1287" s="29"/>
      <c r="AC1287" s="30"/>
      <c r="AD1287" s="29"/>
      <c r="AE1287" s="29"/>
      <c r="AF1287" s="29"/>
      <c r="AG1287" s="30"/>
      <c r="AH1287" s="29"/>
      <c r="AI1287" s="29"/>
      <c r="AJ1287" s="29"/>
      <c r="AK1287" s="30"/>
      <c r="AL1287" s="29"/>
      <c r="AM1287" s="29"/>
      <c r="AN1287" s="29"/>
      <c r="AO1287" s="29"/>
      <c r="AP1287" s="29"/>
      <c r="AQ1287" s="29"/>
      <c r="AR1287" s="29"/>
      <c r="AS1287" s="29"/>
      <c r="AT1287" s="29"/>
      <c r="AU1287" s="29"/>
      <c r="AV1287" s="29"/>
      <c r="AW1287" s="29"/>
      <c r="AX1287" s="29"/>
      <c r="AY1287" s="29"/>
      <c r="AZ1287" s="29"/>
      <c r="BA1287" s="29"/>
      <c r="BB1287" s="29"/>
      <c r="BC1287" s="29"/>
      <c r="BD1287" s="29"/>
      <c r="BE1287" s="29"/>
      <c r="BF1287" s="29"/>
      <c r="BG1287" s="29"/>
      <c r="BH1287" s="29"/>
      <c r="BI1287" s="29"/>
      <c r="BJ1287" s="29"/>
      <c r="BK1287" s="29"/>
      <c r="BL1287" s="29"/>
      <c r="BM1287" s="29"/>
      <c r="BN1287" s="20">
        <f t="shared" si="152"/>
        <v>0</v>
      </c>
      <c r="BO1287" s="20">
        <f t="shared" si="153"/>
        <v>0</v>
      </c>
      <c r="BP1287" s="20">
        <f t="shared" si="154"/>
        <v>13</v>
      </c>
      <c r="BQ1287" s="51"/>
      <c r="BR1287" s="56"/>
      <c r="BS1287" s="111"/>
      <c r="BT1287" s="36"/>
      <c r="BU1287" s="112"/>
    </row>
    <row r="1288" s="1" customFormat="1" customHeight="1" spans="1:73">
      <c r="A1288" s="15" t="s">
        <v>2043</v>
      </c>
      <c r="B1288" s="15"/>
      <c r="C1288" s="16">
        <v>22</v>
      </c>
      <c r="D1288" s="29"/>
      <c r="E1288" s="30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190"/>
      <c r="X1288" s="29"/>
      <c r="Y1288" s="29"/>
      <c r="Z1288" s="29"/>
      <c r="AA1288" s="29"/>
      <c r="AB1288" s="29"/>
      <c r="AC1288" s="29"/>
      <c r="AD1288" s="29"/>
      <c r="AE1288" s="29"/>
      <c r="AF1288" s="29"/>
      <c r="AG1288" s="30"/>
      <c r="AH1288" s="29"/>
      <c r="AI1288" s="29"/>
      <c r="AJ1288" s="29"/>
      <c r="AK1288" s="30"/>
      <c r="AL1288" s="29"/>
      <c r="AM1288" s="29"/>
      <c r="AN1288" s="29"/>
      <c r="AO1288" s="29"/>
      <c r="AP1288" s="29"/>
      <c r="AQ1288" s="29"/>
      <c r="AR1288" s="29"/>
      <c r="AS1288" s="29"/>
      <c r="AT1288" s="29"/>
      <c r="AU1288" s="29"/>
      <c r="AV1288" s="29"/>
      <c r="AW1288" s="29"/>
      <c r="AX1288" s="29"/>
      <c r="AY1288" s="29"/>
      <c r="AZ1288" s="29"/>
      <c r="BA1288" s="29"/>
      <c r="BB1288" s="29"/>
      <c r="BC1288" s="29"/>
      <c r="BD1288" s="29"/>
      <c r="BE1288" s="29"/>
      <c r="BF1288" s="29"/>
      <c r="BG1288" s="29"/>
      <c r="BH1288" s="29"/>
      <c r="BI1288" s="29"/>
      <c r="BJ1288" s="29"/>
      <c r="BK1288" s="29"/>
      <c r="BL1288" s="29"/>
      <c r="BM1288" s="29"/>
      <c r="BN1288" s="20">
        <f t="shared" si="152"/>
        <v>0</v>
      </c>
      <c r="BO1288" s="20">
        <f t="shared" si="153"/>
        <v>0</v>
      </c>
      <c r="BP1288" s="20">
        <f t="shared" si="154"/>
        <v>22</v>
      </c>
      <c r="BQ1288" s="51"/>
      <c r="BR1288" s="56"/>
      <c r="BS1288" s="111"/>
      <c r="BT1288" s="36"/>
      <c r="BU1288" s="112"/>
    </row>
    <row r="1289" s="1" customFormat="1" customHeight="1" spans="1:73">
      <c r="A1289" s="15" t="s">
        <v>2044</v>
      </c>
      <c r="B1289" s="15"/>
      <c r="C1289" s="16">
        <v>58</v>
      </c>
      <c r="D1289" s="29"/>
      <c r="E1289" s="30"/>
      <c r="F1289" s="29"/>
      <c r="G1289" s="29"/>
      <c r="H1289" s="29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30"/>
      <c r="X1289" s="30"/>
      <c r="Y1289" s="29"/>
      <c r="Z1289" s="29"/>
      <c r="AA1289" s="29"/>
      <c r="AB1289" s="29"/>
      <c r="AC1289" s="29"/>
      <c r="AD1289" s="29"/>
      <c r="AE1289" s="29"/>
      <c r="AF1289" s="29"/>
      <c r="AG1289" s="30"/>
      <c r="AH1289" s="29"/>
      <c r="AI1289" s="29"/>
      <c r="AJ1289" s="29"/>
      <c r="AK1289" s="30"/>
      <c r="AL1289" s="29"/>
      <c r="AM1289" s="29"/>
      <c r="AN1289" s="29"/>
      <c r="AO1289" s="29"/>
      <c r="AP1289" s="29"/>
      <c r="AQ1289" s="29"/>
      <c r="AR1289" s="29"/>
      <c r="AS1289" s="29"/>
      <c r="AT1289" s="29"/>
      <c r="AU1289" s="29"/>
      <c r="AV1289" s="29"/>
      <c r="AW1289" s="29"/>
      <c r="AX1289" s="29"/>
      <c r="AY1289" s="29"/>
      <c r="AZ1289" s="29"/>
      <c r="BA1289" s="29"/>
      <c r="BB1289" s="29"/>
      <c r="BC1289" s="29"/>
      <c r="BD1289" s="29"/>
      <c r="BE1289" s="29"/>
      <c r="BF1289" s="29"/>
      <c r="BG1289" s="29"/>
      <c r="BH1289" s="29"/>
      <c r="BI1289" s="29"/>
      <c r="BJ1289" s="29"/>
      <c r="BK1289" s="29"/>
      <c r="BL1289" s="29"/>
      <c r="BM1289" s="29"/>
      <c r="BN1289" s="20">
        <f t="shared" si="152"/>
        <v>0</v>
      </c>
      <c r="BO1289" s="20">
        <f t="shared" si="153"/>
        <v>0</v>
      </c>
      <c r="BP1289" s="20">
        <f t="shared" si="154"/>
        <v>58</v>
      </c>
      <c r="BQ1289" s="51"/>
      <c r="BR1289" s="56"/>
      <c r="BS1289" s="111"/>
      <c r="BT1289" s="36" t="s">
        <v>2045</v>
      </c>
      <c r="BU1289" s="112"/>
    </row>
    <row r="1290" s="1" customFormat="1" customHeight="1" spans="1:73">
      <c r="A1290" s="15" t="s">
        <v>2046</v>
      </c>
      <c r="B1290" s="15"/>
      <c r="C1290" s="16">
        <v>3</v>
      </c>
      <c r="D1290" s="29"/>
      <c r="E1290" s="30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30"/>
      <c r="X1290" s="29"/>
      <c r="Y1290" s="29"/>
      <c r="Z1290" s="29"/>
      <c r="AA1290" s="29"/>
      <c r="AB1290" s="29"/>
      <c r="AC1290" s="29"/>
      <c r="AD1290" s="29"/>
      <c r="AE1290" s="29"/>
      <c r="AF1290" s="29"/>
      <c r="AG1290" s="30"/>
      <c r="AH1290" s="29"/>
      <c r="AI1290" s="29"/>
      <c r="AJ1290" s="29"/>
      <c r="AK1290" s="30"/>
      <c r="AL1290" s="29"/>
      <c r="AM1290" s="29"/>
      <c r="AN1290" s="29"/>
      <c r="AO1290" s="29"/>
      <c r="AP1290" s="29"/>
      <c r="AQ1290" s="29"/>
      <c r="AR1290" s="29"/>
      <c r="AS1290" s="29"/>
      <c r="AT1290" s="29"/>
      <c r="AU1290" s="29"/>
      <c r="AV1290" s="29"/>
      <c r="AW1290" s="29"/>
      <c r="AX1290" s="29"/>
      <c r="AY1290" s="29"/>
      <c r="AZ1290" s="29"/>
      <c r="BA1290" s="29"/>
      <c r="BB1290" s="29"/>
      <c r="BC1290" s="29"/>
      <c r="BD1290" s="29"/>
      <c r="BE1290" s="29"/>
      <c r="BF1290" s="29"/>
      <c r="BG1290" s="29"/>
      <c r="BH1290" s="29"/>
      <c r="BI1290" s="29"/>
      <c r="BJ1290" s="29"/>
      <c r="BK1290" s="29"/>
      <c r="BL1290" s="29"/>
      <c r="BM1290" s="29"/>
      <c r="BN1290" s="20">
        <f t="shared" si="152"/>
        <v>0</v>
      </c>
      <c r="BO1290" s="20">
        <f t="shared" si="153"/>
        <v>0</v>
      </c>
      <c r="BP1290" s="20">
        <f t="shared" si="154"/>
        <v>3</v>
      </c>
      <c r="BQ1290" s="51"/>
      <c r="BR1290" s="56"/>
      <c r="BS1290" s="111"/>
      <c r="BT1290" s="36"/>
      <c r="BU1290" s="112"/>
    </row>
    <row r="1291" s="1" customFormat="1" customHeight="1" spans="1:73">
      <c r="A1291" s="15" t="s">
        <v>2047</v>
      </c>
      <c r="B1291" s="15"/>
      <c r="C1291" s="16">
        <v>23</v>
      </c>
      <c r="D1291" s="29"/>
      <c r="E1291" s="30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30"/>
      <c r="X1291" s="29"/>
      <c r="Y1291" s="29"/>
      <c r="Z1291" s="29"/>
      <c r="AA1291" s="29"/>
      <c r="AB1291" s="29"/>
      <c r="AC1291" s="29"/>
      <c r="AD1291" s="29"/>
      <c r="AE1291" s="29"/>
      <c r="AF1291" s="29"/>
      <c r="AG1291" s="30"/>
      <c r="AH1291" s="29"/>
      <c r="AI1291" s="29"/>
      <c r="AJ1291" s="29"/>
      <c r="AK1291" s="30"/>
      <c r="AL1291" s="29"/>
      <c r="AM1291" s="29"/>
      <c r="AN1291" s="29"/>
      <c r="AO1291" s="29"/>
      <c r="AP1291" s="29"/>
      <c r="AQ1291" s="29"/>
      <c r="AR1291" s="29"/>
      <c r="AS1291" s="29"/>
      <c r="AT1291" s="29"/>
      <c r="AU1291" s="29"/>
      <c r="AV1291" s="29"/>
      <c r="AW1291" s="29"/>
      <c r="AX1291" s="29"/>
      <c r="AY1291" s="29"/>
      <c r="AZ1291" s="29"/>
      <c r="BA1291" s="29"/>
      <c r="BB1291" s="29"/>
      <c r="BC1291" s="29"/>
      <c r="BD1291" s="29"/>
      <c r="BE1291" s="29"/>
      <c r="BF1291" s="29"/>
      <c r="BG1291" s="29"/>
      <c r="BH1291" s="29"/>
      <c r="BI1291" s="29"/>
      <c r="BJ1291" s="29"/>
      <c r="BK1291" s="29"/>
      <c r="BL1291" s="29"/>
      <c r="BM1291" s="29"/>
      <c r="BN1291" s="20">
        <f t="shared" si="152"/>
        <v>0</v>
      </c>
      <c r="BO1291" s="20">
        <f t="shared" si="153"/>
        <v>0</v>
      </c>
      <c r="BP1291" s="20">
        <f t="shared" si="154"/>
        <v>23</v>
      </c>
      <c r="BQ1291" s="51"/>
      <c r="BR1291" s="56"/>
      <c r="BS1291" s="111"/>
      <c r="BT1291" s="36"/>
      <c r="BU1291" s="112"/>
    </row>
    <row r="1292" s="1" customFormat="1" customHeight="1" spans="1:73">
      <c r="A1292" s="15" t="s">
        <v>2048</v>
      </c>
      <c r="B1292" s="15"/>
      <c r="C1292" s="16">
        <v>197</v>
      </c>
      <c r="D1292" s="29"/>
      <c r="E1292" s="30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29"/>
      <c r="X1292" s="29"/>
      <c r="Y1292" s="29"/>
      <c r="Z1292" s="29"/>
      <c r="AA1292" s="29"/>
      <c r="AB1292" s="29"/>
      <c r="AC1292" s="29"/>
      <c r="AD1292" s="29"/>
      <c r="AE1292" s="29"/>
      <c r="AF1292" s="29"/>
      <c r="AG1292" s="30"/>
      <c r="AH1292" s="29"/>
      <c r="AI1292" s="29"/>
      <c r="AJ1292" s="29"/>
      <c r="AK1292" s="30"/>
      <c r="AL1292" s="29"/>
      <c r="AM1292" s="29"/>
      <c r="AN1292" s="29"/>
      <c r="AO1292" s="29"/>
      <c r="AP1292" s="29"/>
      <c r="AQ1292" s="29"/>
      <c r="AR1292" s="29"/>
      <c r="AS1292" s="29"/>
      <c r="AT1292" s="29"/>
      <c r="AU1292" s="29"/>
      <c r="AV1292" s="29"/>
      <c r="AW1292" s="29"/>
      <c r="AX1292" s="29"/>
      <c r="AY1292" s="29"/>
      <c r="AZ1292" s="29"/>
      <c r="BA1292" s="29"/>
      <c r="BB1292" s="29"/>
      <c r="BC1292" s="29"/>
      <c r="BD1292" s="29"/>
      <c r="BE1292" s="29"/>
      <c r="BF1292" s="29"/>
      <c r="BG1292" s="29"/>
      <c r="BH1292" s="29"/>
      <c r="BI1292" s="29"/>
      <c r="BJ1292" s="29"/>
      <c r="BK1292" s="29"/>
      <c r="BL1292" s="29"/>
      <c r="BM1292" s="29"/>
      <c r="BN1292" s="20">
        <f t="shared" si="152"/>
        <v>0</v>
      </c>
      <c r="BO1292" s="20">
        <f t="shared" si="153"/>
        <v>0</v>
      </c>
      <c r="BP1292" s="20">
        <f t="shared" si="154"/>
        <v>197</v>
      </c>
      <c r="BQ1292" s="51"/>
      <c r="BR1292" s="56"/>
      <c r="BS1292" s="111"/>
      <c r="BT1292" s="36"/>
      <c r="BU1292" s="112"/>
    </row>
    <row r="1293" s="1" customFormat="1" customHeight="1" spans="1:73">
      <c r="A1293" s="15" t="s">
        <v>2049</v>
      </c>
      <c r="B1293" s="15"/>
      <c r="C1293" s="16">
        <v>81</v>
      </c>
      <c r="D1293" s="29"/>
      <c r="E1293" s="30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29"/>
      <c r="X1293" s="29"/>
      <c r="Y1293" s="29"/>
      <c r="Z1293" s="29"/>
      <c r="AA1293" s="29"/>
      <c r="AB1293" s="29"/>
      <c r="AC1293" s="29"/>
      <c r="AD1293" s="29"/>
      <c r="AE1293" s="29"/>
      <c r="AF1293" s="29"/>
      <c r="AG1293" s="30"/>
      <c r="AH1293" s="29"/>
      <c r="AI1293" s="29"/>
      <c r="AJ1293" s="29"/>
      <c r="AK1293" s="30"/>
      <c r="AL1293" s="29"/>
      <c r="AM1293" s="29"/>
      <c r="AN1293" s="29"/>
      <c r="AO1293" s="29"/>
      <c r="AP1293" s="29"/>
      <c r="AQ1293" s="29"/>
      <c r="AR1293" s="29"/>
      <c r="AS1293" s="29"/>
      <c r="AT1293" s="29"/>
      <c r="AU1293" s="29"/>
      <c r="AV1293" s="29"/>
      <c r="AW1293" s="29"/>
      <c r="AX1293" s="29"/>
      <c r="AY1293" s="29"/>
      <c r="AZ1293" s="29"/>
      <c r="BA1293" s="29"/>
      <c r="BB1293" s="29"/>
      <c r="BC1293" s="29"/>
      <c r="BD1293" s="29"/>
      <c r="BE1293" s="29"/>
      <c r="BF1293" s="29"/>
      <c r="BG1293" s="29"/>
      <c r="BH1293" s="29"/>
      <c r="BI1293" s="29"/>
      <c r="BJ1293" s="29"/>
      <c r="BK1293" s="29"/>
      <c r="BL1293" s="29"/>
      <c r="BM1293" s="29"/>
      <c r="BN1293" s="20">
        <f t="shared" si="152"/>
        <v>0</v>
      </c>
      <c r="BO1293" s="20">
        <f t="shared" si="153"/>
        <v>0</v>
      </c>
      <c r="BP1293" s="20">
        <f t="shared" si="154"/>
        <v>81</v>
      </c>
      <c r="BQ1293" s="51"/>
      <c r="BR1293" s="56"/>
      <c r="BS1293" s="111"/>
      <c r="BT1293" s="36"/>
      <c r="BU1293" s="112"/>
    </row>
    <row r="1294" s="1" customFormat="1" customHeight="1" spans="1:73">
      <c r="A1294" s="15" t="s">
        <v>2050</v>
      </c>
      <c r="B1294" s="15" t="s">
        <v>2051</v>
      </c>
      <c r="C1294" s="16">
        <v>1000</v>
      </c>
      <c r="D1294" s="29"/>
      <c r="E1294" s="30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29"/>
      <c r="X1294" s="29"/>
      <c r="Y1294" s="29"/>
      <c r="Z1294" s="29"/>
      <c r="AA1294" s="29"/>
      <c r="AB1294" s="29"/>
      <c r="AC1294" s="29"/>
      <c r="AD1294" s="29"/>
      <c r="AE1294" s="29"/>
      <c r="AF1294" s="29"/>
      <c r="AG1294" s="30"/>
      <c r="AH1294" s="29"/>
      <c r="AI1294" s="29"/>
      <c r="AJ1294" s="29"/>
      <c r="AK1294" s="30"/>
      <c r="AL1294" s="29"/>
      <c r="AM1294" s="29"/>
      <c r="AN1294" s="29"/>
      <c r="AO1294" s="29"/>
      <c r="AP1294" s="29"/>
      <c r="AQ1294" s="29"/>
      <c r="AR1294" s="29"/>
      <c r="AS1294" s="29"/>
      <c r="AT1294" s="29"/>
      <c r="AU1294" s="29"/>
      <c r="AV1294" s="29"/>
      <c r="AW1294" s="29"/>
      <c r="AX1294" s="29"/>
      <c r="AY1294" s="29"/>
      <c r="AZ1294" s="29"/>
      <c r="BA1294" s="29"/>
      <c r="BB1294" s="29"/>
      <c r="BC1294" s="29"/>
      <c r="BD1294" s="29"/>
      <c r="BE1294" s="29"/>
      <c r="BF1294" s="29"/>
      <c r="BG1294" s="29"/>
      <c r="BH1294" s="29"/>
      <c r="BI1294" s="29"/>
      <c r="BJ1294" s="29"/>
      <c r="BK1294" s="29"/>
      <c r="BL1294" s="29"/>
      <c r="BM1294" s="29"/>
      <c r="BN1294" s="20">
        <f t="shared" si="152"/>
        <v>0</v>
      </c>
      <c r="BO1294" s="20">
        <f t="shared" si="153"/>
        <v>0</v>
      </c>
      <c r="BP1294" s="20">
        <f t="shared" si="154"/>
        <v>1000</v>
      </c>
      <c r="BQ1294" s="51"/>
      <c r="BR1294" s="56"/>
      <c r="BS1294" s="111" t="s">
        <v>2052</v>
      </c>
      <c r="BT1294" s="36"/>
      <c r="BU1294" s="112"/>
    </row>
    <row r="1295" s="1" customFormat="1" customHeight="1" spans="1:73">
      <c r="A1295" s="15" t="s">
        <v>2053</v>
      </c>
      <c r="B1295" s="15" t="s">
        <v>2051</v>
      </c>
      <c r="C1295" s="16">
        <v>1000</v>
      </c>
      <c r="D1295" s="29"/>
      <c r="E1295" s="30"/>
      <c r="F1295" s="29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29"/>
      <c r="X1295" s="29"/>
      <c r="Y1295" s="29"/>
      <c r="Z1295" s="29"/>
      <c r="AA1295" s="29"/>
      <c r="AB1295" s="29"/>
      <c r="AC1295" s="29"/>
      <c r="AD1295" s="29"/>
      <c r="AE1295" s="29"/>
      <c r="AF1295" s="29"/>
      <c r="AG1295" s="30"/>
      <c r="AH1295" s="29"/>
      <c r="AI1295" s="29"/>
      <c r="AJ1295" s="29"/>
      <c r="AK1295" s="30"/>
      <c r="AL1295" s="29"/>
      <c r="AM1295" s="29"/>
      <c r="AN1295" s="29"/>
      <c r="AO1295" s="29"/>
      <c r="AP1295" s="29"/>
      <c r="AQ1295" s="29"/>
      <c r="AR1295" s="29"/>
      <c r="AS1295" s="29"/>
      <c r="AT1295" s="29"/>
      <c r="AU1295" s="29"/>
      <c r="AV1295" s="29"/>
      <c r="AW1295" s="29"/>
      <c r="AX1295" s="29"/>
      <c r="AY1295" s="29"/>
      <c r="AZ1295" s="29"/>
      <c r="BA1295" s="29"/>
      <c r="BB1295" s="29"/>
      <c r="BC1295" s="29"/>
      <c r="BD1295" s="29"/>
      <c r="BE1295" s="29"/>
      <c r="BF1295" s="29"/>
      <c r="BG1295" s="29"/>
      <c r="BH1295" s="29"/>
      <c r="BI1295" s="29"/>
      <c r="BJ1295" s="29"/>
      <c r="BK1295" s="29"/>
      <c r="BL1295" s="29"/>
      <c r="BM1295" s="29"/>
      <c r="BN1295" s="20">
        <f t="shared" si="152"/>
        <v>0</v>
      </c>
      <c r="BO1295" s="20">
        <f t="shared" si="153"/>
        <v>0</v>
      </c>
      <c r="BP1295" s="20">
        <f t="shared" si="154"/>
        <v>1000</v>
      </c>
      <c r="BQ1295" s="51"/>
      <c r="BR1295" s="56"/>
      <c r="BS1295" s="111" t="s">
        <v>2052</v>
      </c>
      <c r="BT1295" s="36"/>
      <c r="BU1295" s="112"/>
    </row>
    <row r="1296" s="1" customFormat="1" customHeight="1" spans="1:73">
      <c r="A1296" s="15" t="s">
        <v>2054</v>
      </c>
      <c r="B1296" s="15" t="s">
        <v>2051</v>
      </c>
      <c r="C1296" s="16">
        <v>1300</v>
      </c>
      <c r="D1296" s="29"/>
      <c r="E1296" s="30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29"/>
      <c r="X1296" s="29"/>
      <c r="Y1296" s="29"/>
      <c r="Z1296" s="29"/>
      <c r="AA1296" s="29"/>
      <c r="AB1296" s="29"/>
      <c r="AC1296" s="29"/>
      <c r="AD1296" s="29"/>
      <c r="AE1296" s="29"/>
      <c r="AF1296" s="29"/>
      <c r="AG1296" s="30"/>
      <c r="AH1296" s="29"/>
      <c r="AI1296" s="29"/>
      <c r="AJ1296" s="29"/>
      <c r="AK1296" s="30"/>
      <c r="AL1296" s="29"/>
      <c r="AM1296" s="29"/>
      <c r="AN1296" s="29"/>
      <c r="AO1296" s="29"/>
      <c r="AP1296" s="29"/>
      <c r="AQ1296" s="29"/>
      <c r="AR1296" s="29"/>
      <c r="AS1296" s="29"/>
      <c r="AT1296" s="29"/>
      <c r="AU1296" s="29"/>
      <c r="AV1296" s="29"/>
      <c r="AW1296" s="29"/>
      <c r="AX1296" s="29"/>
      <c r="AY1296" s="29"/>
      <c r="AZ1296" s="29"/>
      <c r="BA1296" s="29"/>
      <c r="BB1296" s="29"/>
      <c r="BC1296" s="29"/>
      <c r="BD1296" s="29"/>
      <c r="BE1296" s="29"/>
      <c r="BF1296" s="29"/>
      <c r="BG1296" s="29"/>
      <c r="BH1296" s="29"/>
      <c r="BI1296" s="29"/>
      <c r="BJ1296" s="29"/>
      <c r="BK1296" s="29"/>
      <c r="BL1296" s="29"/>
      <c r="BM1296" s="29"/>
      <c r="BN1296" s="20">
        <f t="shared" si="152"/>
        <v>0</v>
      </c>
      <c r="BO1296" s="20">
        <f t="shared" si="153"/>
        <v>0</v>
      </c>
      <c r="BP1296" s="20">
        <f t="shared" si="154"/>
        <v>1300</v>
      </c>
      <c r="BQ1296" s="51"/>
      <c r="BR1296" s="56"/>
      <c r="BS1296" s="111" t="s">
        <v>2052</v>
      </c>
      <c r="BT1296" s="36"/>
      <c r="BU1296" s="112"/>
    </row>
    <row r="1297" s="1" customFormat="1" customHeight="1" spans="1:73">
      <c r="A1297" s="15" t="s">
        <v>2055</v>
      </c>
      <c r="B1297" s="15" t="s">
        <v>2051</v>
      </c>
      <c r="C1297" s="16">
        <v>366</v>
      </c>
      <c r="D1297" s="29"/>
      <c r="E1297" s="30"/>
      <c r="F1297" s="29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29"/>
      <c r="X1297" s="29"/>
      <c r="Y1297" s="29"/>
      <c r="Z1297" s="29"/>
      <c r="AA1297" s="29"/>
      <c r="AB1297" s="29"/>
      <c r="AC1297" s="29"/>
      <c r="AD1297" s="29"/>
      <c r="AE1297" s="29"/>
      <c r="AF1297" s="29"/>
      <c r="AG1297" s="30"/>
      <c r="AH1297" s="29"/>
      <c r="AI1297" s="29"/>
      <c r="AJ1297" s="29"/>
      <c r="AK1297" s="30"/>
      <c r="AL1297" s="29"/>
      <c r="AM1297" s="29"/>
      <c r="AN1297" s="29"/>
      <c r="AO1297" s="29"/>
      <c r="AP1297" s="29"/>
      <c r="AQ1297" s="29"/>
      <c r="AR1297" s="29"/>
      <c r="AS1297" s="29"/>
      <c r="AT1297" s="29"/>
      <c r="AU1297" s="29"/>
      <c r="AV1297" s="29"/>
      <c r="AW1297" s="29"/>
      <c r="AX1297" s="29"/>
      <c r="AY1297" s="29"/>
      <c r="AZ1297" s="29"/>
      <c r="BA1297" s="29"/>
      <c r="BB1297" s="29"/>
      <c r="BC1297" s="29"/>
      <c r="BD1297" s="29"/>
      <c r="BE1297" s="29"/>
      <c r="BF1297" s="29"/>
      <c r="BG1297" s="29"/>
      <c r="BH1297" s="29"/>
      <c r="BI1297" s="29"/>
      <c r="BJ1297" s="29"/>
      <c r="BK1297" s="29"/>
      <c r="BL1297" s="29"/>
      <c r="BM1297" s="29"/>
      <c r="BN1297" s="20">
        <f t="shared" si="152"/>
        <v>0</v>
      </c>
      <c r="BO1297" s="20">
        <f t="shared" si="153"/>
        <v>0</v>
      </c>
      <c r="BP1297" s="20">
        <f t="shared" si="154"/>
        <v>366</v>
      </c>
      <c r="BQ1297" s="51"/>
      <c r="BR1297" s="56"/>
      <c r="BS1297" s="111"/>
      <c r="BT1297" s="36"/>
      <c r="BU1297" s="112"/>
    </row>
    <row r="1298" s="1" customFormat="1" customHeight="1" spans="1:73">
      <c r="A1298" s="15" t="s">
        <v>2056</v>
      </c>
      <c r="B1298" s="15" t="s">
        <v>2051</v>
      </c>
      <c r="C1298" s="16">
        <v>697</v>
      </c>
      <c r="D1298" s="29"/>
      <c r="E1298" s="30"/>
      <c r="F1298" s="29"/>
      <c r="G1298" s="29"/>
      <c r="H1298" s="29"/>
      <c r="I1298" s="29">
        <v>250</v>
      </c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29"/>
      <c r="X1298" s="29"/>
      <c r="Y1298" s="29"/>
      <c r="Z1298" s="29"/>
      <c r="AA1298" s="29"/>
      <c r="AB1298" s="29"/>
      <c r="AC1298" s="29"/>
      <c r="AD1298" s="29"/>
      <c r="AE1298" s="29"/>
      <c r="AF1298" s="29"/>
      <c r="AG1298" s="30"/>
      <c r="AH1298" s="29"/>
      <c r="AI1298" s="29"/>
      <c r="AJ1298" s="29"/>
      <c r="AK1298" s="30"/>
      <c r="AL1298" s="29"/>
      <c r="AM1298" s="29"/>
      <c r="AN1298" s="29"/>
      <c r="AO1298" s="29"/>
      <c r="AP1298" s="29"/>
      <c r="AQ1298" s="29"/>
      <c r="AR1298" s="29"/>
      <c r="AS1298" s="29"/>
      <c r="AT1298" s="29"/>
      <c r="AU1298" s="29"/>
      <c r="AV1298" s="29"/>
      <c r="AW1298" s="29"/>
      <c r="AX1298" s="29"/>
      <c r="AY1298" s="29"/>
      <c r="AZ1298" s="29"/>
      <c r="BA1298" s="29"/>
      <c r="BB1298" s="29"/>
      <c r="BC1298" s="29"/>
      <c r="BD1298" s="29"/>
      <c r="BE1298" s="29"/>
      <c r="BF1298" s="29"/>
      <c r="BG1298" s="29"/>
      <c r="BH1298" s="29"/>
      <c r="BI1298" s="29"/>
      <c r="BJ1298" s="29"/>
      <c r="BK1298" s="29"/>
      <c r="BL1298" s="29"/>
      <c r="BM1298" s="29"/>
      <c r="BN1298" s="20">
        <f t="shared" si="152"/>
        <v>0</v>
      </c>
      <c r="BO1298" s="20">
        <f t="shared" si="153"/>
        <v>250</v>
      </c>
      <c r="BP1298" s="20">
        <f t="shared" si="154"/>
        <v>447</v>
      </c>
      <c r="BQ1298" s="51"/>
      <c r="BR1298" s="56"/>
      <c r="BS1298" s="111"/>
      <c r="BT1298" s="36"/>
      <c r="BU1298" s="112"/>
    </row>
    <row r="1299" s="1" customFormat="1" customHeight="1" spans="1:73">
      <c r="A1299" s="15" t="s">
        <v>2057</v>
      </c>
      <c r="B1299" s="15" t="s">
        <v>2051</v>
      </c>
      <c r="C1299" s="16">
        <v>241</v>
      </c>
      <c r="D1299" s="29"/>
      <c r="E1299" s="30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29"/>
      <c r="X1299" s="29"/>
      <c r="Y1299" s="29"/>
      <c r="Z1299" s="29"/>
      <c r="AA1299" s="29"/>
      <c r="AB1299" s="29"/>
      <c r="AC1299" s="29"/>
      <c r="AD1299" s="29"/>
      <c r="AE1299" s="29"/>
      <c r="AF1299" s="29"/>
      <c r="AG1299" s="30"/>
      <c r="AH1299" s="29"/>
      <c r="AI1299" s="29"/>
      <c r="AJ1299" s="29"/>
      <c r="AK1299" s="30"/>
      <c r="AL1299" s="29"/>
      <c r="AM1299" s="29"/>
      <c r="AN1299" s="29"/>
      <c r="AO1299" s="29"/>
      <c r="AP1299" s="29"/>
      <c r="AQ1299" s="29"/>
      <c r="AR1299" s="29"/>
      <c r="AS1299" s="29"/>
      <c r="AT1299" s="29"/>
      <c r="AU1299" s="29"/>
      <c r="AV1299" s="29"/>
      <c r="AW1299" s="29"/>
      <c r="AX1299" s="29"/>
      <c r="AY1299" s="29"/>
      <c r="AZ1299" s="29"/>
      <c r="BA1299" s="29"/>
      <c r="BB1299" s="29"/>
      <c r="BC1299" s="29"/>
      <c r="BD1299" s="29"/>
      <c r="BE1299" s="29"/>
      <c r="BF1299" s="29"/>
      <c r="BG1299" s="29"/>
      <c r="BH1299" s="29"/>
      <c r="BI1299" s="29"/>
      <c r="BJ1299" s="29"/>
      <c r="BK1299" s="29"/>
      <c r="BL1299" s="29"/>
      <c r="BM1299" s="29"/>
      <c r="BN1299" s="20">
        <f t="shared" si="152"/>
        <v>0</v>
      </c>
      <c r="BO1299" s="20">
        <f t="shared" si="153"/>
        <v>0</v>
      </c>
      <c r="BP1299" s="20">
        <f t="shared" si="154"/>
        <v>241</v>
      </c>
      <c r="BQ1299" s="51"/>
      <c r="BR1299" s="56"/>
      <c r="BS1299" s="111"/>
      <c r="BT1299" s="36"/>
      <c r="BU1299" s="112"/>
    </row>
    <row r="1300" s="1" customFormat="1" customHeight="1" spans="1:73">
      <c r="A1300" s="15" t="s">
        <v>2058</v>
      </c>
      <c r="B1300" s="15" t="s">
        <v>2051</v>
      </c>
      <c r="C1300" s="16">
        <v>128</v>
      </c>
      <c r="D1300" s="29"/>
      <c r="E1300" s="30"/>
      <c r="F1300" s="29"/>
      <c r="G1300" s="29"/>
      <c r="H1300" s="29"/>
      <c r="I1300" s="29">
        <v>250</v>
      </c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  <c r="AC1300" s="29"/>
      <c r="AD1300" s="29"/>
      <c r="AE1300" s="29"/>
      <c r="AF1300" s="29"/>
      <c r="AG1300" s="30"/>
      <c r="AH1300" s="29"/>
      <c r="AI1300" s="29"/>
      <c r="AJ1300" s="29"/>
      <c r="AK1300" s="30"/>
      <c r="AL1300" s="29"/>
      <c r="AM1300" s="29"/>
      <c r="AN1300" s="29"/>
      <c r="AO1300" s="29"/>
      <c r="AP1300" s="29"/>
      <c r="AQ1300" s="29"/>
      <c r="AR1300" s="29"/>
      <c r="AS1300" s="29"/>
      <c r="AT1300" s="29"/>
      <c r="AU1300" s="29"/>
      <c r="AV1300" s="29"/>
      <c r="AW1300" s="29"/>
      <c r="AX1300" s="29"/>
      <c r="AY1300" s="29"/>
      <c r="AZ1300" s="29"/>
      <c r="BA1300" s="29"/>
      <c r="BB1300" s="29"/>
      <c r="BC1300" s="29"/>
      <c r="BD1300" s="29"/>
      <c r="BE1300" s="29"/>
      <c r="BF1300" s="29"/>
      <c r="BG1300" s="29"/>
      <c r="BH1300" s="29"/>
      <c r="BI1300" s="29"/>
      <c r="BJ1300" s="29"/>
      <c r="BK1300" s="29"/>
      <c r="BL1300" s="29"/>
      <c r="BM1300" s="29"/>
      <c r="BN1300" s="20">
        <f t="shared" si="152"/>
        <v>0</v>
      </c>
      <c r="BO1300" s="20">
        <f t="shared" si="153"/>
        <v>250</v>
      </c>
      <c r="BP1300" s="20">
        <f t="shared" si="154"/>
        <v>-122</v>
      </c>
      <c r="BQ1300" s="51"/>
      <c r="BR1300" s="56"/>
      <c r="BS1300" s="111"/>
      <c r="BT1300" s="36"/>
      <c r="BU1300" s="112"/>
    </row>
    <row r="1301" s="1" customFormat="1" customHeight="1" spans="1:73">
      <c r="A1301" s="15" t="s">
        <v>2059</v>
      </c>
      <c r="B1301" s="15" t="s">
        <v>2051</v>
      </c>
      <c r="C1301" s="16">
        <v>8</v>
      </c>
      <c r="D1301" s="29"/>
      <c r="E1301" s="30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29"/>
      <c r="X1301" s="29"/>
      <c r="Y1301" s="29"/>
      <c r="Z1301" s="29"/>
      <c r="AA1301" s="29"/>
      <c r="AB1301" s="29"/>
      <c r="AC1301" s="29"/>
      <c r="AD1301" s="29"/>
      <c r="AE1301" s="29"/>
      <c r="AF1301" s="29"/>
      <c r="AG1301" s="30"/>
      <c r="AH1301" s="29"/>
      <c r="AI1301" s="29"/>
      <c r="AJ1301" s="29"/>
      <c r="AK1301" s="30"/>
      <c r="AL1301" s="29"/>
      <c r="AM1301" s="29"/>
      <c r="AN1301" s="29"/>
      <c r="AO1301" s="29"/>
      <c r="AP1301" s="29"/>
      <c r="AQ1301" s="29"/>
      <c r="AR1301" s="29"/>
      <c r="AS1301" s="29"/>
      <c r="AT1301" s="29"/>
      <c r="AU1301" s="29"/>
      <c r="AV1301" s="29"/>
      <c r="AW1301" s="29"/>
      <c r="AX1301" s="29"/>
      <c r="AY1301" s="29"/>
      <c r="AZ1301" s="29"/>
      <c r="BA1301" s="29"/>
      <c r="BB1301" s="29"/>
      <c r="BC1301" s="29"/>
      <c r="BD1301" s="29"/>
      <c r="BE1301" s="29"/>
      <c r="BF1301" s="29"/>
      <c r="BG1301" s="29"/>
      <c r="BH1301" s="29"/>
      <c r="BI1301" s="29"/>
      <c r="BJ1301" s="29"/>
      <c r="BK1301" s="29"/>
      <c r="BL1301" s="29"/>
      <c r="BM1301" s="29"/>
      <c r="BN1301" s="20">
        <f t="shared" si="152"/>
        <v>0</v>
      </c>
      <c r="BO1301" s="20">
        <f t="shared" si="153"/>
        <v>0</v>
      </c>
      <c r="BP1301" s="20">
        <f t="shared" si="154"/>
        <v>8</v>
      </c>
      <c r="BQ1301" s="51"/>
      <c r="BR1301" s="56"/>
      <c r="BS1301" s="111"/>
      <c r="BT1301" s="36"/>
      <c r="BU1301" s="112"/>
    </row>
    <row r="1302" s="1" customFormat="1" customHeight="1" spans="1:73">
      <c r="A1302" s="15" t="s">
        <v>2059</v>
      </c>
      <c r="B1302" s="15" t="s">
        <v>2060</v>
      </c>
      <c r="C1302" s="16">
        <v>3</v>
      </c>
      <c r="D1302" s="29"/>
      <c r="E1302" s="30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29"/>
      <c r="X1302" s="29"/>
      <c r="Y1302" s="29"/>
      <c r="Z1302" s="29"/>
      <c r="AA1302" s="29"/>
      <c r="AB1302" s="29"/>
      <c r="AC1302" s="29"/>
      <c r="AD1302" s="29"/>
      <c r="AE1302" s="29"/>
      <c r="AF1302" s="29"/>
      <c r="AG1302" s="30"/>
      <c r="AH1302" s="29"/>
      <c r="AI1302" s="29"/>
      <c r="AJ1302" s="29"/>
      <c r="AK1302" s="30"/>
      <c r="AL1302" s="29"/>
      <c r="AM1302" s="29"/>
      <c r="AN1302" s="29"/>
      <c r="AO1302" s="29"/>
      <c r="AP1302" s="29"/>
      <c r="AQ1302" s="29"/>
      <c r="AR1302" s="29"/>
      <c r="AS1302" s="29"/>
      <c r="AT1302" s="29"/>
      <c r="AU1302" s="29"/>
      <c r="AV1302" s="29"/>
      <c r="AW1302" s="29"/>
      <c r="AX1302" s="29"/>
      <c r="AY1302" s="29"/>
      <c r="AZ1302" s="29"/>
      <c r="BA1302" s="29"/>
      <c r="BB1302" s="29"/>
      <c r="BC1302" s="29"/>
      <c r="BD1302" s="29"/>
      <c r="BE1302" s="29"/>
      <c r="BF1302" s="29"/>
      <c r="BG1302" s="29"/>
      <c r="BH1302" s="29"/>
      <c r="BI1302" s="29"/>
      <c r="BJ1302" s="29"/>
      <c r="BK1302" s="29"/>
      <c r="BL1302" s="29"/>
      <c r="BM1302" s="29"/>
      <c r="BN1302" s="20">
        <f t="shared" si="152"/>
        <v>0</v>
      </c>
      <c r="BO1302" s="20">
        <f t="shared" si="153"/>
        <v>0</v>
      </c>
      <c r="BP1302" s="20">
        <f t="shared" si="154"/>
        <v>3</v>
      </c>
      <c r="BQ1302" s="51"/>
      <c r="BR1302" s="56"/>
      <c r="BS1302" s="111"/>
      <c r="BT1302" s="36"/>
      <c r="BU1302" s="112"/>
    </row>
    <row r="1303" s="1" customFormat="1" customHeight="1" spans="1:73">
      <c r="A1303" s="15" t="s">
        <v>2061</v>
      </c>
      <c r="B1303" s="52" t="s">
        <v>2062</v>
      </c>
      <c r="C1303" s="16">
        <v>220</v>
      </c>
      <c r="D1303" s="29"/>
      <c r="E1303" s="30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29"/>
      <c r="X1303" s="29"/>
      <c r="Y1303" s="29"/>
      <c r="Z1303" s="29"/>
      <c r="AA1303" s="29"/>
      <c r="AB1303" s="29"/>
      <c r="AC1303" s="29"/>
      <c r="AD1303" s="29"/>
      <c r="AE1303" s="29"/>
      <c r="AF1303" s="29"/>
      <c r="AG1303" s="30"/>
      <c r="AH1303" s="29"/>
      <c r="AI1303" s="29"/>
      <c r="AJ1303" s="29"/>
      <c r="AK1303" s="29"/>
      <c r="AL1303" s="29"/>
      <c r="AM1303" s="29"/>
      <c r="AN1303" s="29"/>
      <c r="AO1303" s="29"/>
      <c r="AP1303" s="29"/>
      <c r="AQ1303" s="29"/>
      <c r="AR1303" s="29"/>
      <c r="AS1303" s="29"/>
      <c r="AT1303" s="29"/>
      <c r="AU1303" s="29"/>
      <c r="AV1303" s="29"/>
      <c r="AW1303" s="29"/>
      <c r="AX1303" s="29"/>
      <c r="AY1303" s="29"/>
      <c r="AZ1303" s="29"/>
      <c r="BA1303" s="29"/>
      <c r="BB1303" s="29"/>
      <c r="BC1303" s="29"/>
      <c r="BD1303" s="29"/>
      <c r="BE1303" s="29"/>
      <c r="BF1303" s="29"/>
      <c r="BG1303" s="29"/>
      <c r="BH1303" s="29"/>
      <c r="BI1303" s="29"/>
      <c r="BJ1303" s="29"/>
      <c r="BK1303" s="29"/>
      <c r="BL1303" s="29"/>
      <c r="BM1303" s="29"/>
      <c r="BN1303" s="20">
        <f t="shared" si="152"/>
        <v>0</v>
      </c>
      <c r="BO1303" s="20">
        <f t="shared" si="153"/>
        <v>0</v>
      </c>
      <c r="BP1303" s="20">
        <f t="shared" si="154"/>
        <v>220</v>
      </c>
      <c r="BQ1303" s="51"/>
      <c r="BR1303" s="56"/>
      <c r="BS1303" s="111" t="s">
        <v>2063</v>
      </c>
      <c r="BT1303" s="36"/>
      <c r="BU1303" s="112"/>
    </row>
    <row r="1304" s="1" customFormat="1" customHeight="1" spans="1:73">
      <c r="A1304" s="15" t="s">
        <v>2064</v>
      </c>
      <c r="B1304" s="15"/>
      <c r="C1304" s="16">
        <v>4497</v>
      </c>
      <c r="D1304" s="29"/>
      <c r="E1304" s="30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29"/>
      <c r="X1304" s="29"/>
      <c r="Y1304" s="29"/>
      <c r="Z1304" s="29"/>
      <c r="AA1304" s="29"/>
      <c r="AB1304" s="29"/>
      <c r="AC1304" s="29"/>
      <c r="AD1304" s="29"/>
      <c r="AE1304" s="29"/>
      <c r="AF1304" s="29"/>
      <c r="AG1304" s="30"/>
      <c r="AH1304" s="29"/>
      <c r="AI1304" s="29"/>
      <c r="AJ1304" s="29"/>
      <c r="AK1304" s="30"/>
      <c r="AL1304" s="29"/>
      <c r="AM1304" s="29"/>
      <c r="AN1304" s="29"/>
      <c r="AO1304" s="29"/>
      <c r="AP1304" s="29"/>
      <c r="AQ1304" s="29"/>
      <c r="AR1304" s="29"/>
      <c r="AS1304" s="29"/>
      <c r="AT1304" s="29"/>
      <c r="AU1304" s="29"/>
      <c r="AV1304" s="29"/>
      <c r="AW1304" s="29"/>
      <c r="AX1304" s="29"/>
      <c r="AY1304" s="29"/>
      <c r="AZ1304" s="29"/>
      <c r="BA1304" s="29"/>
      <c r="BB1304" s="29"/>
      <c r="BC1304" s="29"/>
      <c r="BD1304" s="29"/>
      <c r="BE1304" s="29"/>
      <c r="BF1304" s="29"/>
      <c r="BG1304" s="29"/>
      <c r="BH1304" s="29"/>
      <c r="BI1304" s="29"/>
      <c r="BJ1304" s="29"/>
      <c r="BK1304" s="29"/>
      <c r="BL1304" s="29"/>
      <c r="BM1304" s="29"/>
      <c r="BN1304" s="20">
        <f t="shared" si="152"/>
        <v>0</v>
      </c>
      <c r="BO1304" s="20">
        <f t="shared" si="153"/>
        <v>0</v>
      </c>
      <c r="BP1304" s="20">
        <f t="shared" si="154"/>
        <v>4497</v>
      </c>
      <c r="BQ1304" s="51"/>
      <c r="BR1304" s="56"/>
      <c r="BS1304" s="111"/>
      <c r="BT1304" s="36"/>
      <c r="BU1304" s="112"/>
    </row>
    <row r="1305" s="1" customFormat="1" customHeight="1" spans="1:73">
      <c r="A1305" s="15" t="s">
        <v>2065</v>
      </c>
      <c r="B1305" s="15"/>
      <c r="C1305" s="16">
        <v>3631</v>
      </c>
      <c r="D1305" s="29"/>
      <c r="E1305" s="30"/>
      <c r="F1305" s="29"/>
      <c r="G1305" s="29"/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29"/>
      <c r="X1305" s="29"/>
      <c r="Y1305" s="29"/>
      <c r="Z1305" s="29"/>
      <c r="AA1305" s="29"/>
      <c r="AB1305" s="29"/>
      <c r="AC1305" s="29"/>
      <c r="AD1305" s="29"/>
      <c r="AE1305" s="29"/>
      <c r="AF1305" s="29"/>
      <c r="AG1305" s="30"/>
      <c r="AH1305" s="29"/>
      <c r="AI1305" s="29"/>
      <c r="AJ1305" s="29"/>
      <c r="AK1305" s="30"/>
      <c r="AL1305" s="29"/>
      <c r="AM1305" s="29"/>
      <c r="AN1305" s="29"/>
      <c r="AO1305" s="29"/>
      <c r="AP1305" s="29"/>
      <c r="AQ1305" s="29"/>
      <c r="AR1305" s="29"/>
      <c r="AS1305" s="29"/>
      <c r="AT1305" s="29"/>
      <c r="AU1305" s="29"/>
      <c r="AV1305" s="29"/>
      <c r="AW1305" s="29"/>
      <c r="AX1305" s="29"/>
      <c r="AY1305" s="29"/>
      <c r="AZ1305" s="29"/>
      <c r="BA1305" s="29"/>
      <c r="BB1305" s="29"/>
      <c r="BC1305" s="29"/>
      <c r="BD1305" s="29"/>
      <c r="BE1305" s="29"/>
      <c r="BF1305" s="29"/>
      <c r="BG1305" s="29"/>
      <c r="BH1305" s="29"/>
      <c r="BI1305" s="29"/>
      <c r="BJ1305" s="29"/>
      <c r="BK1305" s="190"/>
      <c r="BL1305" s="29"/>
      <c r="BM1305" s="29"/>
      <c r="BN1305" s="20">
        <f t="shared" si="152"/>
        <v>0</v>
      </c>
      <c r="BO1305" s="20">
        <f t="shared" si="153"/>
        <v>0</v>
      </c>
      <c r="BP1305" s="20">
        <f t="shared" si="154"/>
        <v>3631</v>
      </c>
      <c r="BQ1305" s="51"/>
      <c r="BR1305" s="56"/>
      <c r="BS1305" s="111"/>
      <c r="BT1305" s="36"/>
      <c r="BU1305" s="112"/>
    </row>
    <row r="1306" s="1" customFormat="1" customHeight="1" spans="1:73">
      <c r="A1306" s="15" t="s">
        <v>2066</v>
      </c>
      <c r="B1306" s="52" t="s">
        <v>1857</v>
      </c>
      <c r="C1306" s="16">
        <v>140</v>
      </c>
      <c r="D1306" s="29"/>
      <c r="E1306" s="30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29"/>
      <c r="X1306" s="29"/>
      <c r="Y1306" s="29"/>
      <c r="Z1306" s="29"/>
      <c r="AA1306" s="29"/>
      <c r="AB1306" s="29"/>
      <c r="AC1306" s="29"/>
      <c r="AD1306" s="29"/>
      <c r="AE1306" s="29"/>
      <c r="AF1306" s="29"/>
      <c r="AG1306" s="30"/>
      <c r="AH1306" s="29"/>
      <c r="AI1306" s="29"/>
      <c r="AJ1306" s="29"/>
      <c r="AK1306" s="30"/>
      <c r="AL1306" s="29"/>
      <c r="AM1306" s="29"/>
      <c r="AN1306" s="29"/>
      <c r="AO1306" s="29"/>
      <c r="AP1306" s="29"/>
      <c r="AQ1306" s="29"/>
      <c r="AR1306" s="29"/>
      <c r="AS1306" s="29"/>
      <c r="AT1306" s="29"/>
      <c r="AU1306" s="29"/>
      <c r="AV1306" s="29"/>
      <c r="AW1306" s="29"/>
      <c r="AX1306" s="29"/>
      <c r="AY1306" s="29"/>
      <c r="AZ1306" s="29"/>
      <c r="BA1306" s="29"/>
      <c r="BB1306" s="29"/>
      <c r="BC1306" s="29"/>
      <c r="BD1306" s="29"/>
      <c r="BE1306" s="29"/>
      <c r="BF1306" s="29"/>
      <c r="BG1306" s="29"/>
      <c r="BH1306" s="29"/>
      <c r="BI1306" s="29"/>
      <c r="BJ1306" s="29"/>
      <c r="BK1306" s="190"/>
      <c r="BL1306" s="29"/>
      <c r="BM1306" s="29"/>
      <c r="BN1306" s="20">
        <f t="shared" si="152"/>
        <v>0</v>
      </c>
      <c r="BO1306" s="20">
        <f t="shared" si="153"/>
        <v>0</v>
      </c>
      <c r="BP1306" s="20">
        <f t="shared" si="154"/>
        <v>140</v>
      </c>
      <c r="BQ1306" s="51"/>
      <c r="BR1306" s="56"/>
      <c r="BS1306" s="111"/>
      <c r="BT1306" s="36"/>
      <c r="BU1306" s="112"/>
    </row>
    <row r="1307" s="1" customFormat="1" customHeight="1" spans="1:73">
      <c r="A1307" s="15" t="s">
        <v>2067</v>
      </c>
      <c r="B1307" s="52" t="s">
        <v>1857</v>
      </c>
      <c r="C1307" s="16">
        <v>140</v>
      </c>
      <c r="D1307" s="29"/>
      <c r="E1307" s="30"/>
      <c r="F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29"/>
      <c r="X1307" s="29"/>
      <c r="Y1307" s="29"/>
      <c r="Z1307" s="29"/>
      <c r="AA1307" s="29"/>
      <c r="AB1307" s="29"/>
      <c r="AC1307" s="29"/>
      <c r="AD1307" s="29"/>
      <c r="AE1307" s="29"/>
      <c r="AF1307" s="29"/>
      <c r="AG1307" s="30"/>
      <c r="AH1307" s="29"/>
      <c r="AI1307" s="29"/>
      <c r="AJ1307" s="29"/>
      <c r="AK1307" s="30"/>
      <c r="AL1307" s="29"/>
      <c r="AM1307" s="29"/>
      <c r="AN1307" s="29"/>
      <c r="AO1307" s="29"/>
      <c r="AP1307" s="29"/>
      <c r="AQ1307" s="29"/>
      <c r="AR1307" s="29"/>
      <c r="AS1307" s="29"/>
      <c r="AT1307" s="29"/>
      <c r="AU1307" s="29"/>
      <c r="AV1307" s="29"/>
      <c r="AW1307" s="29"/>
      <c r="AX1307" s="29"/>
      <c r="AY1307" s="29"/>
      <c r="AZ1307" s="29"/>
      <c r="BA1307" s="29"/>
      <c r="BB1307" s="29"/>
      <c r="BC1307" s="29"/>
      <c r="BD1307" s="29"/>
      <c r="BE1307" s="29"/>
      <c r="BF1307" s="29"/>
      <c r="BG1307" s="29"/>
      <c r="BH1307" s="29"/>
      <c r="BI1307" s="29"/>
      <c r="BJ1307" s="29"/>
      <c r="BK1307" s="190"/>
      <c r="BL1307" s="29"/>
      <c r="BM1307" s="29"/>
      <c r="BN1307" s="20">
        <f t="shared" si="152"/>
        <v>0</v>
      </c>
      <c r="BO1307" s="20">
        <f t="shared" si="153"/>
        <v>0</v>
      </c>
      <c r="BP1307" s="20">
        <f t="shared" si="154"/>
        <v>140</v>
      </c>
      <c r="BQ1307" s="51"/>
      <c r="BR1307" s="56"/>
      <c r="BS1307" s="111"/>
      <c r="BT1307" s="36"/>
      <c r="BU1307" s="112"/>
    </row>
    <row r="1308" s="1" customFormat="1" customHeight="1" spans="1:73">
      <c r="A1308" s="15" t="s">
        <v>2068</v>
      </c>
      <c r="B1308" s="52" t="s">
        <v>1857</v>
      </c>
      <c r="C1308" s="16">
        <v>0</v>
      </c>
      <c r="D1308" s="29"/>
      <c r="E1308" s="30"/>
      <c r="F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29"/>
      <c r="X1308" s="29"/>
      <c r="Y1308" s="29"/>
      <c r="Z1308" s="29"/>
      <c r="AA1308" s="29"/>
      <c r="AB1308" s="29"/>
      <c r="AC1308" s="29"/>
      <c r="AD1308" s="29"/>
      <c r="AE1308" s="29"/>
      <c r="AF1308" s="29"/>
      <c r="AG1308" s="30"/>
      <c r="AH1308" s="29"/>
      <c r="AI1308" s="29"/>
      <c r="AJ1308" s="29"/>
      <c r="AK1308" s="30"/>
      <c r="AL1308" s="29"/>
      <c r="AM1308" s="29"/>
      <c r="AN1308" s="29"/>
      <c r="AO1308" s="29"/>
      <c r="AP1308" s="29"/>
      <c r="AQ1308" s="29"/>
      <c r="AR1308" s="29"/>
      <c r="AS1308" s="29"/>
      <c r="AT1308" s="29"/>
      <c r="AU1308" s="29"/>
      <c r="AV1308" s="29"/>
      <c r="AW1308" s="29"/>
      <c r="AX1308" s="29"/>
      <c r="AY1308" s="29"/>
      <c r="AZ1308" s="29"/>
      <c r="BA1308" s="29"/>
      <c r="BB1308" s="29"/>
      <c r="BC1308" s="29"/>
      <c r="BD1308" s="29"/>
      <c r="BE1308" s="29"/>
      <c r="BF1308" s="29"/>
      <c r="BG1308" s="29"/>
      <c r="BH1308" s="29"/>
      <c r="BI1308" s="29"/>
      <c r="BJ1308" s="29"/>
      <c r="BK1308" s="190"/>
      <c r="BL1308" s="29"/>
      <c r="BM1308" s="29"/>
      <c r="BN1308" s="20">
        <f t="shared" si="152"/>
        <v>0</v>
      </c>
      <c r="BO1308" s="20">
        <f t="shared" si="153"/>
        <v>0</v>
      </c>
      <c r="BP1308" s="20">
        <f t="shared" si="154"/>
        <v>0</v>
      </c>
      <c r="BQ1308" s="51"/>
      <c r="BR1308" s="56"/>
      <c r="BS1308" s="111" t="s">
        <v>2069</v>
      </c>
      <c r="BT1308" s="36" t="s">
        <v>2070</v>
      </c>
      <c r="BU1308" s="15" t="s">
        <v>2071</v>
      </c>
    </row>
    <row r="1309" s="1" customFormat="1" customHeight="1" spans="1:73">
      <c r="A1309" s="15" t="s">
        <v>2072</v>
      </c>
      <c r="B1309" s="52" t="s">
        <v>2073</v>
      </c>
      <c r="C1309" s="16">
        <v>3560</v>
      </c>
      <c r="D1309" s="29"/>
      <c r="E1309" s="30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29"/>
      <c r="X1309" s="29"/>
      <c r="Y1309" s="29"/>
      <c r="Z1309" s="29"/>
      <c r="AA1309" s="29"/>
      <c r="AB1309" s="29"/>
      <c r="AC1309" s="29"/>
      <c r="AD1309" s="29"/>
      <c r="AE1309" s="29"/>
      <c r="AF1309" s="29"/>
      <c r="AG1309" s="30"/>
      <c r="AH1309" s="29"/>
      <c r="AI1309" s="29"/>
      <c r="AJ1309" s="29"/>
      <c r="AK1309" s="30"/>
      <c r="AL1309" s="29"/>
      <c r="AM1309" s="29"/>
      <c r="AN1309" s="29"/>
      <c r="AO1309" s="29"/>
      <c r="AP1309" s="29"/>
      <c r="AQ1309" s="29"/>
      <c r="AR1309" s="29"/>
      <c r="AS1309" s="29"/>
      <c r="AT1309" s="29"/>
      <c r="AU1309" s="29"/>
      <c r="AV1309" s="29"/>
      <c r="AW1309" s="29"/>
      <c r="AX1309" s="29"/>
      <c r="AY1309" s="29"/>
      <c r="AZ1309" s="29"/>
      <c r="BA1309" s="29"/>
      <c r="BB1309" s="29"/>
      <c r="BC1309" s="29"/>
      <c r="BD1309" s="29"/>
      <c r="BE1309" s="29"/>
      <c r="BF1309" s="29"/>
      <c r="BG1309" s="29"/>
      <c r="BH1309" s="29"/>
      <c r="BI1309" s="29"/>
      <c r="BJ1309" s="29"/>
      <c r="BK1309" s="190"/>
      <c r="BL1309" s="29"/>
      <c r="BM1309" s="29"/>
      <c r="BN1309" s="20">
        <f t="shared" si="152"/>
        <v>0</v>
      </c>
      <c r="BO1309" s="20">
        <f t="shared" si="153"/>
        <v>0</v>
      </c>
      <c r="BP1309" s="20">
        <f t="shared" si="154"/>
        <v>3560</v>
      </c>
      <c r="BQ1309" s="51"/>
      <c r="BR1309" s="56"/>
      <c r="BS1309" s="111" t="s">
        <v>2074</v>
      </c>
      <c r="BT1309" s="36"/>
      <c r="BU1309" s="112"/>
    </row>
    <row r="1310" s="1" customFormat="1" customHeight="1" spans="1:73">
      <c r="A1310" s="15" t="s">
        <v>2075</v>
      </c>
      <c r="B1310" s="52" t="s">
        <v>2073</v>
      </c>
      <c r="C1310" s="16">
        <v>600</v>
      </c>
      <c r="D1310" s="29"/>
      <c r="E1310" s="30"/>
      <c r="F1310" s="29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29"/>
      <c r="X1310" s="29"/>
      <c r="Y1310" s="29"/>
      <c r="Z1310" s="29"/>
      <c r="AA1310" s="29"/>
      <c r="AB1310" s="29"/>
      <c r="AC1310" s="29"/>
      <c r="AD1310" s="29"/>
      <c r="AE1310" s="29"/>
      <c r="AF1310" s="29"/>
      <c r="AG1310" s="30"/>
      <c r="AH1310" s="29"/>
      <c r="AI1310" s="29"/>
      <c r="AJ1310" s="29"/>
      <c r="AK1310" s="30"/>
      <c r="AL1310" s="29"/>
      <c r="AM1310" s="29"/>
      <c r="AN1310" s="29"/>
      <c r="AO1310" s="29"/>
      <c r="AP1310" s="29"/>
      <c r="AQ1310" s="29"/>
      <c r="AR1310" s="29"/>
      <c r="AS1310" s="29"/>
      <c r="AT1310" s="29"/>
      <c r="AU1310" s="29"/>
      <c r="AV1310" s="29"/>
      <c r="AW1310" s="29"/>
      <c r="AX1310" s="29"/>
      <c r="AY1310" s="29"/>
      <c r="AZ1310" s="29"/>
      <c r="BA1310" s="29"/>
      <c r="BB1310" s="29"/>
      <c r="BC1310" s="29"/>
      <c r="BD1310" s="29"/>
      <c r="BE1310" s="29"/>
      <c r="BF1310" s="29"/>
      <c r="BG1310" s="29"/>
      <c r="BH1310" s="29"/>
      <c r="BI1310" s="29"/>
      <c r="BJ1310" s="29"/>
      <c r="BK1310" s="190"/>
      <c r="BL1310" s="29"/>
      <c r="BM1310" s="29"/>
      <c r="BN1310" s="20">
        <f t="shared" si="152"/>
        <v>0</v>
      </c>
      <c r="BO1310" s="20">
        <f t="shared" si="153"/>
        <v>0</v>
      </c>
      <c r="BP1310" s="20">
        <f t="shared" si="154"/>
        <v>600</v>
      </c>
      <c r="BQ1310" s="51"/>
      <c r="BR1310" s="56"/>
      <c r="BS1310" s="111" t="s">
        <v>2074</v>
      </c>
      <c r="BT1310" s="36"/>
      <c r="BU1310" s="112"/>
    </row>
    <row r="1311" s="1" customFormat="1" customHeight="1" spans="1:73">
      <c r="A1311" s="15" t="s">
        <v>2076</v>
      </c>
      <c r="B1311" s="52"/>
      <c r="C1311" s="16">
        <v>200</v>
      </c>
      <c r="D1311" s="29"/>
      <c r="E1311" s="30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30"/>
      <c r="AH1311" s="29"/>
      <c r="AI1311" s="29"/>
      <c r="AJ1311" s="29"/>
      <c r="AK1311" s="30"/>
      <c r="AL1311" s="29"/>
      <c r="AM1311" s="29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  <c r="AY1311" s="29"/>
      <c r="AZ1311" s="29"/>
      <c r="BA1311" s="29"/>
      <c r="BB1311" s="29"/>
      <c r="BC1311" s="29"/>
      <c r="BD1311" s="29"/>
      <c r="BE1311" s="29"/>
      <c r="BF1311" s="29"/>
      <c r="BG1311" s="29"/>
      <c r="BH1311" s="29"/>
      <c r="BI1311" s="29"/>
      <c r="BJ1311" s="29"/>
      <c r="BK1311" s="190"/>
      <c r="BL1311" s="29"/>
      <c r="BM1311" s="29"/>
      <c r="BN1311" s="20">
        <f t="shared" si="152"/>
        <v>0</v>
      </c>
      <c r="BO1311" s="20">
        <f t="shared" si="153"/>
        <v>0</v>
      </c>
      <c r="BP1311" s="20">
        <f t="shared" si="154"/>
        <v>200</v>
      </c>
      <c r="BQ1311" s="51"/>
      <c r="BR1311" s="56"/>
      <c r="BS1311" s="111" t="s">
        <v>2077</v>
      </c>
      <c r="BT1311" s="36"/>
      <c r="BU1311" s="112"/>
    </row>
    <row r="1312" s="1" customFormat="1" customHeight="1" spans="1:73">
      <c r="A1312" s="15" t="s">
        <v>2078</v>
      </c>
      <c r="B1312" s="52" t="s">
        <v>2079</v>
      </c>
      <c r="C1312" s="16">
        <v>4610</v>
      </c>
      <c r="D1312" s="29"/>
      <c r="E1312" s="30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29"/>
      <c r="X1312" s="29"/>
      <c r="Y1312" s="29"/>
      <c r="Z1312" s="29"/>
      <c r="AA1312" s="29"/>
      <c r="AB1312" s="29"/>
      <c r="AC1312" s="29"/>
      <c r="AD1312" s="29"/>
      <c r="AE1312" s="29"/>
      <c r="AF1312" s="29"/>
      <c r="AG1312" s="30"/>
      <c r="AH1312" s="29"/>
      <c r="AI1312" s="29"/>
      <c r="AJ1312" s="29"/>
      <c r="AK1312" s="30"/>
      <c r="AL1312" s="29"/>
      <c r="AM1312" s="29"/>
      <c r="AN1312" s="29"/>
      <c r="AO1312" s="29"/>
      <c r="AP1312" s="29"/>
      <c r="AQ1312" s="29"/>
      <c r="AR1312" s="29"/>
      <c r="AS1312" s="29"/>
      <c r="AT1312" s="29"/>
      <c r="AU1312" s="29"/>
      <c r="AV1312" s="29"/>
      <c r="AW1312" s="29"/>
      <c r="AX1312" s="29"/>
      <c r="AY1312" s="29"/>
      <c r="AZ1312" s="29"/>
      <c r="BA1312" s="29"/>
      <c r="BB1312" s="29"/>
      <c r="BC1312" s="29"/>
      <c r="BD1312" s="29"/>
      <c r="BE1312" s="29"/>
      <c r="BF1312" s="29"/>
      <c r="BG1312" s="29"/>
      <c r="BH1312" s="29"/>
      <c r="BI1312" s="29"/>
      <c r="BJ1312" s="29"/>
      <c r="BK1312" s="190"/>
      <c r="BL1312" s="29"/>
      <c r="BM1312" s="29"/>
      <c r="BN1312" s="20">
        <f t="shared" si="152"/>
        <v>0</v>
      </c>
      <c r="BO1312" s="20">
        <f t="shared" si="153"/>
        <v>0</v>
      </c>
      <c r="BP1312" s="20">
        <f t="shared" si="154"/>
        <v>4610</v>
      </c>
      <c r="BQ1312" s="51"/>
      <c r="BR1312" s="56"/>
      <c r="BS1312" s="111" t="s">
        <v>2080</v>
      </c>
      <c r="BT1312" s="36"/>
      <c r="BU1312" s="112"/>
    </row>
    <row r="1313" s="1" customFormat="1" customHeight="1" spans="1:73">
      <c r="A1313" s="15" t="s">
        <v>2081</v>
      </c>
      <c r="B1313" s="52" t="s">
        <v>2082</v>
      </c>
      <c r="C1313" s="16">
        <v>0</v>
      </c>
      <c r="D1313" s="29"/>
      <c r="E1313" s="30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29"/>
      <c r="X1313" s="29"/>
      <c r="Y1313" s="29"/>
      <c r="Z1313" s="29"/>
      <c r="AA1313" s="29"/>
      <c r="AB1313" s="29"/>
      <c r="AC1313" s="29"/>
      <c r="AD1313" s="29"/>
      <c r="AE1313" s="29"/>
      <c r="AF1313" s="29"/>
      <c r="AG1313" s="30"/>
      <c r="AH1313" s="29"/>
      <c r="AI1313" s="29"/>
      <c r="AJ1313" s="29"/>
      <c r="AK1313" s="30"/>
      <c r="AL1313" s="29"/>
      <c r="AM1313" s="29"/>
      <c r="AN1313" s="29"/>
      <c r="AO1313" s="29"/>
      <c r="AP1313" s="29"/>
      <c r="AQ1313" s="29"/>
      <c r="AR1313" s="29"/>
      <c r="AS1313" s="29"/>
      <c r="AT1313" s="29"/>
      <c r="AU1313" s="29"/>
      <c r="AV1313" s="29"/>
      <c r="AW1313" s="29"/>
      <c r="AX1313" s="29"/>
      <c r="AY1313" s="29"/>
      <c r="AZ1313" s="29"/>
      <c r="BA1313" s="29"/>
      <c r="BB1313" s="29"/>
      <c r="BC1313" s="29"/>
      <c r="BD1313" s="29"/>
      <c r="BE1313" s="29"/>
      <c r="BF1313" s="29"/>
      <c r="BG1313" s="29"/>
      <c r="BH1313" s="29"/>
      <c r="BI1313" s="29"/>
      <c r="BJ1313" s="29"/>
      <c r="BK1313" s="190"/>
      <c r="BL1313" s="29"/>
      <c r="BM1313" s="29"/>
      <c r="BN1313" s="20">
        <f t="shared" si="152"/>
        <v>0</v>
      </c>
      <c r="BO1313" s="20">
        <f t="shared" si="153"/>
        <v>0</v>
      </c>
      <c r="BP1313" s="20">
        <f t="shared" si="154"/>
        <v>0</v>
      </c>
      <c r="BQ1313" s="51"/>
      <c r="BR1313" s="56"/>
      <c r="BS1313" s="111" t="s">
        <v>2080</v>
      </c>
      <c r="BT1313" s="36"/>
      <c r="BU1313" s="112"/>
    </row>
    <row r="1314" s="1" customFormat="1" customHeight="1" spans="1:73">
      <c r="A1314" s="15" t="s">
        <v>2083</v>
      </c>
      <c r="B1314" s="52" t="s">
        <v>2084</v>
      </c>
      <c r="C1314" s="16">
        <v>5000</v>
      </c>
      <c r="D1314" s="29"/>
      <c r="E1314" s="30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29"/>
      <c r="X1314" s="29"/>
      <c r="Y1314" s="29"/>
      <c r="Z1314" s="29"/>
      <c r="AA1314" s="29"/>
      <c r="AB1314" s="29"/>
      <c r="AC1314" s="29"/>
      <c r="AD1314" s="29"/>
      <c r="AE1314" s="29"/>
      <c r="AF1314" s="29"/>
      <c r="AG1314" s="30"/>
      <c r="AH1314" s="29"/>
      <c r="AI1314" s="29"/>
      <c r="AJ1314" s="29"/>
      <c r="AK1314" s="30"/>
      <c r="AL1314" s="29"/>
      <c r="AM1314" s="29"/>
      <c r="AN1314" s="29"/>
      <c r="AO1314" s="29"/>
      <c r="AP1314" s="29"/>
      <c r="AQ1314" s="29"/>
      <c r="AR1314" s="29"/>
      <c r="AS1314" s="29"/>
      <c r="AT1314" s="29"/>
      <c r="AU1314" s="29"/>
      <c r="AV1314" s="29"/>
      <c r="AW1314" s="29"/>
      <c r="AX1314" s="29"/>
      <c r="AY1314" s="29"/>
      <c r="AZ1314" s="29"/>
      <c r="BA1314" s="29"/>
      <c r="BB1314" s="29"/>
      <c r="BC1314" s="29"/>
      <c r="BD1314" s="29"/>
      <c r="BE1314" s="29"/>
      <c r="BF1314" s="29"/>
      <c r="BG1314" s="29"/>
      <c r="BH1314" s="29"/>
      <c r="BI1314" s="29"/>
      <c r="BJ1314" s="29"/>
      <c r="BK1314" s="190"/>
      <c r="BL1314" s="29"/>
      <c r="BM1314" s="29"/>
      <c r="BN1314" s="20">
        <f t="shared" si="152"/>
        <v>0</v>
      </c>
      <c r="BO1314" s="20">
        <f t="shared" si="153"/>
        <v>0</v>
      </c>
      <c r="BP1314" s="20">
        <f t="shared" si="154"/>
        <v>5000</v>
      </c>
      <c r="BQ1314" s="51"/>
      <c r="BR1314" s="56"/>
      <c r="BS1314" s="111" t="s">
        <v>2080</v>
      </c>
      <c r="BT1314" s="36"/>
      <c r="BU1314" s="112"/>
    </row>
    <row r="1315" s="1" customFormat="1" customHeight="1" spans="1:73">
      <c r="A1315" s="15" t="s">
        <v>2085</v>
      </c>
      <c r="B1315" s="52" t="s">
        <v>2086</v>
      </c>
      <c r="C1315" s="16">
        <v>4610</v>
      </c>
      <c r="D1315" s="29"/>
      <c r="E1315" s="30"/>
      <c r="F1315" s="29"/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29"/>
      <c r="X1315" s="29"/>
      <c r="Y1315" s="29"/>
      <c r="Z1315" s="29"/>
      <c r="AA1315" s="29"/>
      <c r="AB1315" s="29"/>
      <c r="AC1315" s="29"/>
      <c r="AD1315" s="29"/>
      <c r="AE1315" s="29"/>
      <c r="AF1315" s="29"/>
      <c r="AG1315" s="30"/>
      <c r="AH1315" s="29"/>
      <c r="AI1315" s="29"/>
      <c r="AJ1315" s="29"/>
      <c r="AK1315" s="30"/>
      <c r="AL1315" s="29"/>
      <c r="AM1315" s="29"/>
      <c r="AN1315" s="29"/>
      <c r="AO1315" s="29"/>
      <c r="AP1315" s="29"/>
      <c r="AQ1315" s="29"/>
      <c r="AR1315" s="29"/>
      <c r="AS1315" s="29"/>
      <c r="AT1315" s="29"/>
      <c r="AU1315" s="29"/>
      <c r="AV1315" s="29"/>
      <c r="AW1315" s="29"/>
      <c r="AX1315" s="29"/>
      <c r="AY1315" s="29"/>
      <c r="AZ1315" s="29"/>
      <c r="BA1315" s="29"/>
      <c r="BB1315" s="29"/>
      <c r="BC1315" s="29"/>
      <c r="BD1315" s="29"/>
      <c r="BE1315" s="29"/>
      <c r="BF1315" s="29"/>
      <c r="BG1315" s="29"/>
      <c r="BH1315" s="29"/>
      <c r="BI1315" s="29"/>
      <c r="BJ1315" s="29"/>
      <c r="BK1315" s="190"/>
      <c r="BL1315" s="29"/>
      <c r="BM1315" s="29"/>
      <c r="BN1315" s="20">
        <f t="shared" si="152"/>
        <v>0</v>
      </c>
      <c r="BO1315" s="20">
        <f t="shared" si="153"/>
        <v>0</v>
      </c>
      <c r="BP1315" s="20">
        <f t="shared" si="154"/>
        <v>4610</v>
      </c>
      <c r="BQ1315" s="51"/>
      <c r="BR1315" s="56"/>
      <c r="BS1315" s="111" t="s">
        <v>2080</v>
      </c>
      <c r="BT1315" s="36"/>
      <c r="BU1315" s="112"/>
    </row>
    <row r="1316" s="1" customFormat="1" customHeight="1" spans="1:73">
      <c r="A1316" s="15" t="s">
        <v>2087</v>
      </c>
      <c r="B1316" s="52" t="s">
        <v>2088</v>
      </c>
      <c r="C1316" s="16">
        <v>16268</v>
      </c>
      <c r="D1316" s="29"/>
      <c r="E1316" s="30"/>
      <c r="F1316" s="29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29"/>
      <c r="X1316" s="29"/>
      <c r="Y1316" s="29"/>
      <c r="Z1316" s="29"/>
      <c r="AA1316" s="29"/>
      <c r="AB1316" s="29"/>
      <c r="AC1316" s="29"/>
      <c r="AD1316" s="29"/>
      <c r="AE1316" s="29"/>
      <c r="AF1316" s="29"/>
      <c r="AG1316" s="30"/>
      <c r="AH1316" s="29"/>
      <c r="AI1316" s="29"/>
      <c r="AJ1316" s="29"/>
      <c r="AK1316" s="30"/>
      <c r="AL1316" s="29"/>
      <c r="AM1316" s="29"/>
      <c r="AN1316" s="29"/>
      <c r="AO1316" s="29"/>
      <c r="AP1316" s="29"/>
      <c r="AQ1316" s="29"/>
      <c r="AR1316" s="29"/>
      <c r="AS1316" s="29"/>
      <c r="AT1316" s="29"/>
      <c r="AU1316" s="29"/>
      <c r="AV1316" s="29"/>
      <c r="AW1316" s="29"/>
      <c r="AX1316" s="29"/>
      <c r="AY1316" s="29"/>
      <c r="AZ1316" s="29"/>
      <c r="BA1316" s="29"/>
      <c r="BB1316" s="29"/>
      <c r="BC1316" s="29"/>
      <c r="BD1316" s="29"/>
      <c r="BE1316" s="29"/>
      <c r="BF1316" s="29"/>
      <c r="BG1316" s="29"/>
      <c r="BH1316" s="29"/>
      <c r="BI1316" s="29"/>
      <c r="BJ1316" s="18"/>
      <c r="BK1316" s="18"/>
      <c r="BL1316" s="29"/>
      <c r="BM1316" s="29"/>
      <c r="BN1316" s="20">
        <f t="shared" si="152"/>
        <v>0</v>
      </c>
      <c r="BO1316" s="20">
        <f t="shared" si="153"/>
        <v>0</v>
      </c>
      <c r="BP1316" s="20">
        <f t="shared" si="154"/>
        <v>16268</v>
      </c>
      <c r="BQ1316" s="51"/>
      <c r="BR1316" s="56"/>
      <c r="BS1316" s="111" t="s">
        <v>2080</v>
      </c>
      <c r="BT1316" s="36"/>
      <c r="BU1316" s="112"/>
    </row>
    <row r="1317" s="1" customFormat="1" customHeight="1" spans="1:73">
      <c r="A1317" s="15" t="s">
        <v>2089</v>
      </c>
      <c r="B1317" s="15" t="s">
        <v>2090</v>
      </c>
      <c r="C1317" s="16">
        <v>0</v>
      </c>
      <c r="D1317" s="29"/>
      <c r="E1317" s="29"/>
      <c r="F1317" s="29"/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29"/>
      <c r="X1317" s="29"/>
      <c r="Y1317" s="29"/>
      <c r="Z1317" s="29"/>
      <c r="AA1317" s="29"/>
      <c r="AB1317" s="29"/>
      <c r="AC1317" s="29"/>
      <c r="AD1317" s="29"/>
      <c r="AE1317" s="29"/>
      <c r="AF1317" s="29"/>
      <c r="AG1317" s="30"/>
      <c r="AH1317" s="29"/>
      <c r="AI1317" s="29"/>
      <c r="AJ1317" s="29"/>
      <c r="AK1317" s="30"/>
      <c r="AL1317" s="29"/>
      <c r="AM1317" s="29"/>
      <c r="AN1317" s="29"/>
      <c r="AO1317" s="29"/>
      <c r="AP1317" s="29"/>
      <c r="AQ1317" s="29"/>
      <c r="AR1317" s="29"/>
      <c r="AS1317" s="29"/>
      <c r="AT1317" s="29"/>
      <c r="AU1317" s="29"/>
      <c r="AV1317" s="29"/>
      <c r="AW1317" s="29"/>
      <c r="AX1317" s="29"/>
      <c r="AY1317" s="30"/>
      <c r="AZ1317" s="29"/>
      <c r="BA1317" s="29"/>
      <c r="BB1317" s="29"/>
      <c r="BC1317" s="29"/>
      <c r="BD1317" s="29"/>
      <c r="BE1317" s="29"/>
      <c r="BF1317" s="29"/>
      <c r="BG1317" s="29"/>
      <c r="BH1317" s="29"/>
      <c r="BI1317" s="29"/>
      <c r="BJ1317" s="29"/>
      <c r="BK1317" s="190"/>
      <c r="BL1317" s="29"/>
      <c r="BM1317" s="29"/>
      <c r="BN1317" s="20">
        <f t="shared" si="152"/>
        <v>0</v>
      </c>
      <c r="BO1317" s="20">
        <f t="shared" si="153"/>
        <v>0</v>
      </c>
      <c r="BP1317" s="20">
        <f t="shared" si="154"/>
        <v>0</v>
      </c>
      <c r="BQ1317" s="51"/>
      <c r="BR1317" s="56"/>
      <c r="BS1317" s="111" t="s">
        <v>2080</v>
      </c>
      <c r="BT1317" s="36"/>
      <c r="BU1317" s="112"/>
    </row>
    <row r="1318" s="1" customFormat="1" customHeight="1" spans="1:73">
      <c r="A1318" s="15" t="s">
        <v>2091</v>
      </c>
      <c r="B1318" s="15" t="s">
        <v>2090</v>
      </c>
      <c r="C1318" s="16">
        <v>175135</v>
      </c>
      <c r="D1318" s="29"/>
      <c r="E1318" s="29"/>
      <c r="F1318" s="29"/>
      <c r="G1318" s="29"/>
      <c r="H1318" s="29"/>
      <c r="I1318" s="29">
        <v>174500</v>
      </c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29"/>
      <c r="X1318" s="29"/>
      <c r="Y1318" s="29"/>
      <c r="Z1318" s="29"/>
      <c r="AA1318" s="29"/>
      <c r="AB1318" s="29"/>
      <c r="AC1318" s="29"/>
      <c r="AD1318" s="29"/>
      <c r="AE1318" s="29"/>
      <c r="AF1318" s="29"/>
      <c r="AG1318" s="30"/>
      <c r="AH1318" s="29"/>
      <c r="AI1318" s="29"/>
      <c r="AJ1318" s="29"/>
      <c r="AK1318" s="30"/>
      <c r="AL1318" s="29"/>
      <c r="AM1318" s="29"/>
      <c r="AN1318" s="29"/>
      <c r="AO1318" s="29"/>
      <c r="AP1318" s="29"/>
      <c r="AQ1318" s="82"/>
      <c r="AR1318" s="29"/>
      <c r="AS1318" s="29"/>
      <c r="AT1318" s="29"/>
      <c r="AU1318" s="29"/>
      <c r="AV1318" s="29"/>
      <c r="AW1318" s="29"/>
      <c r="AX1318" s="29"/>
      <c r="AY1318" s="29"/>
      <c r="AZ1318" s="29"/>
      <c r="BA1318" s="29"/>
      <c r="BB1318" s="29"/>
      <c r="BC1318" s="29"/>
      <c r="BD1318" s="29"/>
      <c r="BE1318" s="29"/>
      <c r="BF1318" s="29"/>
      <c r="BG1318" s="29"/>
      <c r="BH1318" s="29"/>
      <c r="BI1318" s="29"/>
      <c r="BJ1318" s="29"/>
      <c r="BK1318" s="29"/>
      <c r="BL1318" s="29"/>
      <c r="BM1318" s="29"/>
      <c r="BN1318" s="20">
        <f t="shared" si="152"/>
        <v>0</v>
      </c>
      <c r="BO1318" s="20">
        <f t="shared" si="153"/>
        <v>174500</v>
      </c>
      <c r="BP1318" s="20">
        <f t="shared" si="154"/>
        <v>635</v>
      </c>
      <c r="BQ1318" s="51"/>
      <c r="BR1318" s="56" t="s">
        <v>2092</v>
      </c>
      <c r="BS1318" s="111"/>
      <c r="BT1318" s="36"/>
      <c r="BU1318" s="112"/>
    </row>
    <row r="1319" s="1" customFormat="1" customHeight="1" spans="1:73">
      <c r="A1319" s="15" t="s">
        <v>2093</v>
      </c>
      <c r="B1319" s="15" t="s">
        <v>2094</v>
      </c>
      <c r="C1319" s="16">
        <v>13180</v>
      </c>
      <c r="D1319" s="29"/>
      <c r="E1319" s="29"/>
      <c r="F1319" s="29"/>
      <c r="G1319" s="30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29"/>
      <c r="X1319" s="29"/>
      <c r="Y1319" s="29"/>
      <c r="Z1319" s="29"/>
      <c r="AA1319" s="29"/>
      <c r="AB1319" s="29"/>
      <c r="AC1319" s="29"/>
      <c r="AD1319" s="29"/>
      <c r="AE1319" s="29"/>
      <c r="AF1319" s="29"/>
      <c r="AG1319" s="30"/>
      <c r="AH1319" s="29"/>
      <c r="AI1319" s="29"/>
      <c r="AJ1319" s="29"/>
      <c r="AK1319" s="30"/>
      <c r="AL1319" s="29"/>
      <c r="AM1319" s="29"/>
      <c r="AN1319" s="29"/>
      <c r="AO1319" s="29"/>
      <c r="AP1319" s="29"/>
      <c r="AQ1319" s="82"/>
      <c r="AR1319" s="29"/>
      <c r="AS1319" s="29"/>
      <c r="AT1319" s="29"/>
      <c r="AU1319" s="29"/>
      <c r="AV1319" s="29"/>
      <c r="AW1319" s="29"/>
      <c r="AX1319" s="29"/>
      <c r="AY1319" s="29"/>
      <c r="AZ1319" s="29"/>
      <c r="BA1319" s="29"/>
      <c r="BB1319" s="29"/>
      <c r="BC1319" s="29"/>
      <c r="BD1319" s="29"/>
      <c r="BE1319" s="29"/>
      <c r="BF1319" s="29"/>
      <c r="BG1319" s="29"/>
      <c r="BH1319" s="29"/>
      <c r="BI1319" s="29"/>
      <c r="BJ1319" s="29"/>
      <c r="BK1319" s="29"/>
      <c r="BL1319" s="29"/>
      <c r="BM1319" s="29"/>
      <c r="BN1319" s="20">
        <f t="shared" si="152"/>
        <v>0</v>
      </c>
      <c r="BO1319" s="20">
        <f t="shared" si="153"/>
        <v>0</v>
      </c>
      <c r="BP1319" s="20">
        <f t="shared" si="154"/>
        <v>13180</v>
      </c>
      <c r="BQ1319" s="51"/>
      <c r="BR1319" s="56"/>
      <c r="BS1319" s="111" t="s">
        <v>2080</v>
      </c>
      <c r="BT1319" s="36"/>
      <c r="BU1319" s="112"/>
    </row>
    <row r="1320" s="1" customFormat="1" customHeight="1" spans="1:73">
      <c r="A1320" s="15" t="s">
        <v>2095</v>
      </c>
      <c r="B1320" s="15" t="s">
        <v>2096</v>
      </c>
      <c r="C1320" s="16">
        <v>84860</v>
      </c>
      <c r="D1320" s="29"/>
      <c r="E1320" s="29"/>
      <c r="F1320" s="29"/>
      <c r="G1320" s="30"/>
      <c r="H1320" s="29"/>
      <c r="I1320" s="29">
        <v>44000</v>
      </c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29"/>
      <c r="AB1320" s="29"/>
      <c r="AC1320" s="29"/>
      <c r="AD1320" s="29"/>
      <c r="AE1320" s="29"/>
      <c r="AF1320" s="29"/>
      <c r="AG1320" s="30"/>
      <c r="AH1320" s="29"/>
      <c r="AI1320" s="29"/>
      <c r="AJ1320" s="29"/>
      <c r="AK1320" s="30"/>
      <c r="AL1320" s="29"/>
      <c r="AM1320" s="29"/>
      <c r="AN1320" s="29"/>
      <c r="AO1320" s="29"/>
      <c r="AP1320" s="29"/>
      <c r="AQ1320" s="82"/>
      <c r="AR1320" s="29"/>
      <c r="AS1320" s="29"/>
      <c r="AT1320" s="29"/>
      <c r="AU1320" s="29"/>
      <c r="AV1320" s="29"/>
      <c r="AW1320" s="29"/>
      <c r="AX1320" s="29"/>
      <c r="AY1320" s="29"/>
      <c r="AZ1320" s="29"/>
      <c r="BA1320" s="29"/>
      <c r="BB1320" s="29"/>
      <c r="BC1320" s="29"/>
      <c r="BD1320" s="29"/>
      <c r="BE1320" s="29"/>
      <c r="BF1320" s="29"/>
      <c r="BG1320" s="29"/>
      <c r="BH1320" s="29"/>
      <c r="BI1320" s="29"/>
      <c r="BJ1320" s="29"/>
      <c r="BK1320" s="29"/>
      <c r="BL1320" s="29"/>
      <c r="BM1320" s="29"/>
      <c r="BN1320" s="20">
        <f t="shared" si="152"/>
        <v>0</v>
      </c>
      <c r="BO1320" s="20">
        <f t="shared" si="153"/>
        <v>44000</v>
      </c>
      <c r="BP1320" s="20">
        <f t="shared" si="154"/>
        <v>40860</v>
      </c>
      <c r="BQ1320" s="51"/>
      <c r="BR1320" s="56"/>
      <c r="BS1320" s="111" t="s">
        <v>2080</v>
      </c>
      <c r="BT1320" s="36"/>
      <c r="BU1320" s="112"/>
    </row>
    <row r="1321" s="1" customFormat="1" customHeight="1" spans="1:73">
      <c r="A1321" s="15" t="s">
        <v>2097</v>
      </c>
      <c r="B1321" s="15" t="s">
        <v>2098</v>
      </c>
      <c r="C1321" s="16">
        <v>55310</v>
      </c>
      <c r="D1321" s="29"/>
      <c r="E1321" s="29"/>
      <c r="F1321" s="29"/>
      <c r="G1321" s="30"/>
      <c r="H1321" s="29"/>
      <c r="I1321" s="29">
        <v>25000</v>
      </c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29"/>
      <c r="AB1321" s="29"/>
      <c r="AC1321" s="29"/>
      <c r="AD1321" s="29"/>
      <c r="AE1321" s="29"/>
      <c r="AF1321" s="29"/>
      <c r="AG1321" s="30"/>
      <c r="AH1321" s="29"/>
      <c r="AI1321" s="29"/>
      <c r="AJ1321" s="29"/>
      <c r="AK1321" s="30"/>
      <c r="AL1321" s="29"/>
      <c r="AM1321" s="29"/>
      <c r="AN1321" s="29"/>
      <c r="AO1321" s="29"/>
      <c r="AP1321" s="29"/>
      <c r="AQ1321" s="82"/>
      <c r="AR1321" s="29"/>
      <c r="AS1321" s="29"/>
      <c r="AT1321" s="29"/>
      <c r="AU1321" s="29"/>
      <c r="AV1321" s="29"/>
      <c r="AW1321" s="29"/>
      <c r="AX1321" s="29"/>
      <c r="AY1321" s="29"/>
      <c r="AZ1321" s="29"/>
      <c r="BA1321" s="29"/>
      <c r="BB1321" s="29"/>
      <c r="BC1321" s="29"/>
      <c r="BD1321" s="29"/>
      <c r="BE1321" s="29"/>
      <c r="BF1321" s="29"/>
      <c r="BG1321" s="29"/>
      <c r="BH1321" s="29"/>
      <c r="BI1321" s="29"/>
      <c r="BJ1321" s="29"/>
      <c r="BK1321" s="29"/>
      <c r="BL1321" s="29"/>
      <c r="BM1321" s="29"/>
      <c r="BN1321" s="20">
        <f t="shared" ref="BN1321:BN1384" si="155">D1321+F1321+H1321+J1321+L1321+N1321+P1321+R1321+T1321+V1321+X1321+Z1321+AB1321+AD1321+AF1321+AH1321+AJ1321+AL1321+AN1321+AP1321+AR1321+AT1321+AV1321+AX1321+AZ1321+BB1321+BD1321+BF1321+BH1321+BJ1321+BL1321</f>
        <v>0</v>
      </c>
      <c r="BO1321" s="20">
        <f t="shared" ref="BO1321:BO1384" si="156">E1321+G1321+I1321+K1321+M1321+O1321+Q1321+S1321+U1321+W1321+Y1321+AA1321+AC1321+AE1321+AG1321+AI1321+AK1321+AM1321+AO1321+AQ1321+AS1321+AU1321+AW1321+AY1321+BA1321+BC1321+BE1321+BG1321+BI1321+BK1321+BM1321</f>
        <v>25000</v>
      </c>
      <c r="BP1321" s="20">
        <f t="shared" ref="BP1321:BP1384" si="157">C1321+BN1321-BO1321</f>
        <v>30310</v>
      </c>
      <c r="BQ1321" s="51"/>
      <c r="BR1321" s="56"/>
      <c r="BS1321" s="111"/>
      <c r="BT1321" s="36"/>
      <c r="BU1321" s="112"/>
    </row>
    <row r="1322" s="1" customFormat="1" customHeight="1" spans="1:73">
      <c r="A1322" s="15" t="s">
        <v>2099</v>
      </c>
      <c r="B1322" s="15" t="s">
        <v>2100</v>
      </c>
      <c r="C1322" s="16">
        <v>45310</v>
      </c>
      <c r="D1322" s="29"/>
      <c r="E1322" s="29"/>
      <c r="F1322" s="29"/>
      <c r="G1322" s="30"/>
      <c r="H1322" s="29"/>
      <c r="I1322" s="29">
        <v>25000</v>
      </c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30"/>
      <c r="AH1322" s="29"/>
      <c r="AI1322" s="29"/>
      <c r="AJ1322" s="29"/>
      <c r="AK1322" s="30"/>
      <c r="AL1322" s="29"/>
      <c r="AM1322" s="29"/>
      <c r="AN1322" s="29"/>
      <c r="AO1322" s="29"/>
      <c r="AP1322" s="29"/>
      <c r="AQ1322" s="82"/>
      <c r="AR1322" s="29"/>
      <c r="AS1322" s="29"/>
      <c r="AT1322" s="29"/>
      <c r="AU1322" s="29"/>
      <c r="AV1322" s="29"/>
      <c r="AW1322" s="29"/>
      <c r="AX1322" s="29"/>
      <c r="AY1322" s="29"/>
      <c r="AZ1322" s="29"/>
      <c r="BA1322" s="29"/>
      <c r="BB1322" s="29"/>
      <c r="BC1322" s="29"/>
      <c r="BD1322" s="29"/>
      <c r="BE1322" s="29"/>
      <c r="BF1322" s="29"/>
      <c r="BG1322" s="29"/>
      <c r="BH1322" s="29"/>
      <c r="BI1322" s="29"/>
      <c r="BJ1322" s="29"/>
      <c r="BK1322" s="29"/>
      <c r="BL1322" s="29"/>
      <c r="BM1322" s="29"/>
      <c r="BN1322" s="20">
        <f t="shared" si="155"/>
        <v>0</v>
      </c>
      <c r="BO1322" s="20">
        <f t="shared" si="156"/>
        <v>25000</v>
      </c>
      <c r="BP1322" s="20">
        <f t="shared" si="157"/>
        <v>20310</v>
      </c>
      <c r="BQ1322" s="51"/>
      <c r="BR1322" s="56"/>
      <c r="BS1322" s="111"/>
      <c r="BT1322" s="36"/>
      <c r="BU1322" s="112"/>
    </row>
    <row r="1323" s="1" customFormat="1" customHeight="1" spans="1:73">
      <c r="A1323" s="15" t="s">
        <v>2101</v>
      </c>
      <c r="B1323" s="15" t="s">
        <v>2102</v>
      </c>
      <c r="C1323" s="16">
        <v>1455</v>
      </c>
      <c r="D1323" s="29"/>
      <c r="E1323" s="30"/>
      <c r="F1323" s="29"/>
      <c r="G1323" s="30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29"/>
      <c r="AB1323" s="29"/>
      <c r="AC1323" s="29"/>
      <c r="AD1323" s="29"/>
      <c r="AE1323" s="29"/>
      <c r="AF1323" s="29"/>
      <c r="AG1323" s="30"/>
      <c r="AH1323" s="29"/>
      <c r="AI1323" s="29"/>
      <c r="AJ1323" s="29"/>
      <c r="AK1323" s="30"/>
      <c r="AL1323" s="29"/>
      <c r="AM1323" s="29"/>
      <c r="AN1323" s="29"/>
      <c r="AO1323" s="29"/>
      <c r="AP1323" s="29"/>
      <c r="AQ1323" s="82"/>
      <c r="AR1323" s="29"/>
      <c r="AS1323" s="29"/>
      <c r="AT1323" s="29"/>
      <c r="AU1323" s="29"/>
      <c r="AV1323" s="29"/>
      <c r="AW1323" s="29"/>
      <c r="AX1323" s="29"/>
      <c r="AY1323" s="29"/>
      <c r="AZ1323" s="29"/>
      <c r="BA1323" s="29"/>
      <c r="BB1323" s="29"/>
      <c r="BC1323" s="29"/>
      <c r="BD1323" s="29"/>
      <c r="BE1323" s="29"/>
      <c r="BF1323" s="29"/>
      <c r="BG1323" s="29"/>
      <c r="BH1323" s="29"/>
      <c r="BI1323" s="29"/>
      <c r="BJ1323" s="29"/>
      <c r="BK1323" s="29"/>
      <c r="BL1323" s="29"/>
      <c r="BM1323" s="29"/>
      <c r="BN1323" s="20">
        <f t="shared" si="155"/>
        <v>0</v>
      </c>
      <c r="BO1323" s="20">
        <f t="shared" si="156"/>
        <v>0</v>
      </c>
      <c r="BP1323" s="20">
        <f t="shared" si="157"/>
        <v>1455</v>
      </c>
      <c r="BQ1323" s="51"/>
      <c r="BR1323" s="56"/>
      <c r="BS1323" s="111"/>
      <c r="BT1323" s="36"/>
      <c r="BU1323" s="112"/>
    </row>
    <row r="1324" s="1" customFormat="1" customHeight="1" spans="1:73">
      <c r="A1324" s="15" t="s">
        <v>2103</v>
      </c>
      <c r="B1324" s="15" t="s">
        <v>2104</v>
      </c>
      <c r="C1324" s="16">
        <v>3566</v>
      </c>
      <c r="D1324" s="29"/>
      <c r="E1324" s="30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29"/>
      <c r="AB1324" s="29"/>
      <c r="AC1324" s="29"/>
      <c r="AD1324" s="29"/>
      <c r="AE1324" s="29"/>
      <c r="AF1324" s="29"/>
      <c r="AG1324" s="30"/>
      <c r="AH1324" s="29"/>
      <c r="AI1324" s="29"/>
      <c r="AJ1324" s="29"/>
      <c r="AK1324" s="30"/>
      <c r="AL1324" s="29"/>
      <c r="AM1324" s="29"/>
      <c r="AN1324" s="29"/>
      <c r="AO1324" s="29"/>
      <c r="AP1324" s="29"/>
      <c r="AQ1324" s="29"/>
      <c r="AR1324" s="29"/>
      <c r="AS1324" s="29"/>
      <c r="AT1324" s="29"/>
      <c r="AU1324" s="29"/>
      <c r="AV1324" s="29"/>
      <c r="AW1324" s="29"/>
      <c r="AX1324" s="29"/>
      <c r="AY1324" s="29"/>
      <c r="AZ1324" s="29"/>
      <c r="BA1324" s="29"/>
      <c r="BB1324" s="29"/>
      <c r="BC1324" s="29"/>
      <c r="BD1324" s="29"/>
      <c r="BE1324" s="29"/>
      <c r="BF1324" s="29"/>
      <c r="BG1324" s="29"/>
      <c r="BH1324" s="29"/>
      <c r="BI1324" s="29"/>
      <c r="BJ1324" s="29"/>
      <c r="BK1324" s="29"/>
      <c r="BL1324" s="29"/>
      <c r="BM1324" s="29"/>
      <c r="BN1324" s="20">
        <f t="shared" si="155"/>
        <v>0</v>
      </c>
      <c r="BO1324" s="20">
        <f t="shared" si="156"/>
        <v>0</v>
      </c>
      <c r="BP1324" s="20">
        <f t="shared" si="157"/>
        <v>3566</v>
      </c>
      <c r="BQ1324" s="51"/>
      <c r="BR1324" s="56"/>
      <c r="BS1324" s="111"/>
      <c r="BT1324" s="36"/>
      <c r="BU1324" s="112"/>
    </row>
    <row r="1325" s="1" customFormat="1" customHeight="1" spans="1:73">
      <c r="A1325" s="15" t="s">
        <v>2105</v>
      </c>
      <c r="B1325" s="15"/>
      <c r="C1325" s="16">
        <v>1776</v>
      </c>
      <c r="D1325" s="29"/>
      <c r="E1325" s="30"/>
      <c r="F1325" s="29"/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29"/>
      <c r="AB1325" s="29"/>
      <c r="AC1325" s="29"/>
      <c r="AD1325" s="29"/>
      <c r="AE1325" s="29"/>
      <c r="AF1325" s="29"/>
      <c r="AG1325" s="30"/>
      <c r="AH1325" s="29"/>
      <c r="AI1325" s="29"/>
      <c r="AJ1325" s="29"/>
      <c r="AK1325" s="30"/>
      <c r="AL1325" s="29"/>
      <c r="AM1325" s="29"/>
      <c r="AN1325" s="29"/>
      <c r="AO1325" s="29"/>
      <c r="AP1325" s="29"/>
      <c r="AQ1325" s="29"/>
      <c r="AR1325" s="29"/>
      <c r="AS1325" s="29"/>
      <c r="AT1325" s="29"/>
      <c r="AU1325" s="29"/>
      <c r="AV1325" s="29"/>
      <c r="AW1325" s="29"/>
      <c r="AX1325" s="29"/>
      <c r="AY1325" s="29"/>
      <c r="AZ1325" s="29"/>
      <c r="BA1325" s="29"/>
      <c r="BB1325" s="29"/>
      <c r="BC1325" s="29"/>
      <c r="BD1325" s="29"/>
      <c r="BE1325" s="29"/>
      <c r="BF1325" s="29"/>
      <c r="BG1325" s="29"/>
      <c r="BH1325" s="29"/>
      <c r="BI1325" s="29"/>
      <c r="BJ1325" s="29"/>
      <c r="BK1325" s="29"/>
      <c r="BL1325" s="29"/>
      <c r="BM1325" s="29"/>
      <c r="BN1325" s="20">
        <f t="shared" si="155"/>
        <v>0</v>
      </c>
      <c r="BO1325" s="20">
        <f t="shared" si="156"/>
        <v>0</v>
      </c>
      <c r="BP1325" s="20">
        <f t="shared" si="157"/>
        <v>1776</v>
      </c>
      <c r="BQ1325" s="51"/>
      <c r="BR1325" s="56"/>
      <c r="BS1325" s="111"/>
      <c r="BT1325" s="36"/>
      <c r="BU1325" s="112"/>
    </row>
    <row r="1326" s="1" customFormat="1" customHeight="1" spans="1:73">
      <c r="A1326" s="15" t="s">
        <v>2106</v>
      </c>
      <c r="B1326" s="15" t="s">
        <v>2107</v>
      </c>
      <c r="C1326" s="16">
        <v>2638</v>
      </c>
      <c r="D1326" s="29"/>
      <c r="E1326" s="30"/>
      <c r="F1326" s="29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29"/>
      <c r="AB1326" s="29"/>
      <c r="AC1326" s="29"/>
      <c r="AD1326" s="29"/>
      <c r="AE1326" s="29"/>
      <c r="AF1326" s="29"/>
      <c r="AG1326" s="30"/>
      <c r="AH1326" s="29"/>
      <c r="AI1326" s="29"/>
      <c r="AJ1326" s="29"/>
      <c r="AK1326" s="30"/>
      <c r="AL1326" s="29"/>
      <c r="AM1326" s="29"/>
      <c r="AN1326" s="29"/>
      <c r="AO1326" s="29"/>
      <c r="AP1326" s="29"/>
      <c r="AQ1326" s="29"/>
      <c r="AR1326" s="29"/>
      <c r="AS1326" s="29"/>
      <c r="AT1326" s="29"/>
      <c r="AU1326" s="29"/>
      <c r="AV1326" s="29"/>
      <c r="AW1326" s="29"/>
      <c r="AX1326" s="29"/>
      <c r="AY1326" s="29"/>
      <c r="AZ1326" s="29"/>
      <c r="BA1326" s="29"/>
      <c r="BB1326" s="29"/>
      <c r="BC1326" s="29"/>
      <c r="BD1326" s="29"/>
      <c r="BE1326" s="29"/>
      <c r="BF1326" s="29"/>
      <c r="BG1326" s="29"/>
      <c r="BH1326" s="29"/>
      <c r="BI1326" s="29"/>
      <c r="BJ1326" s="29"/>
      <c r="BK1326" s="29"/>
      <c r="BL1326" s="29"/>
      <c r="BM1326" s="29"/>
      <c r="BN1326" s="20">
        <f t="shared" si="155"/>
        <v>0</v>
      </c>
      <c r="BO1326" s="20">
        <f t="shared" si="156"/>
        <v>0</v>
      </c>
      <c r="BP1326" s="20">
        <f t="shared" si="157"/>
        <v>2638</v>
      </c>
      <c r="BQ1326" s="51"/>
      <c r="BR1326" s="56"/>
      <c r="BS1326" s="111"/>
      <c r="BT1326" s="36"/>
      <c r="BU1326" s="112"/>
    </row>
    <row r="1327" s="1" customFormat="1" customHeight="1" spans="1:73">
      <c r="A1327" s="15" t="s">
        <v>2108</v>
      </c>
      <c r="B1327" s="15"/>
      <c r="C1327" s="16">
        <v>1640</v>
      </c>
      <c r="D1327" s="29"/>
      <c r="E1327" s="30"/>
      <c r="F1327" s="29"/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29"/>
      <c r="AB1327" s="29"/>
      <c r="AC1327" s="29"/>
      <c r="AD1327" s="29"/>
      <c r="AE1327" s="29"/>
      <c r="AF1327" s="29"/>
      <c r="AG1327" s="30"/>
      <c r="AH1327" s="29"/>
      <c r="AI1327" s="30"/>
      <c r="AJ1327" s="29"/>
      <c r="AK1327" s="30"/>
      <c r="AL1327" s="29"/>
      <c r="AM1327" s="190"/>
      <c r="AN1327" s="29"/>
      <c r="AO1327" s="29"/>
      <c r="AP1327" s="29"/>
      <c r="AQ1327" s="29"/>
      <c r="AR1327" s="29"/>
      <c r="AS1327" s="29"/>
      <c r="AT1327" s="29"/>
      <c r="AU1327" s="29"/>
      <c r="AV1327" s="29"/>
      <c r="AW1327" s="29"/>
      <c r="AX1327" s="29"/>
      <c r="AY1327" s="29"/>
      <c r="AZ1327" s="29"/>
      <c r="BA1327" s="29"/>
      <c r="BB1327" s="29"/>
      <c r="BC1327" s="29"/>
      <c r="BD1327" s="29"/>
      <c r="BE1327" s="29"/>
      <c r="BF1327" s="29"/>
      <c r="BG1327" s="29"/>
      <c r="BH1327" s="29"/>
      <c r="BI1327" s="29"/>
      <c r="BJ1327" s="29"/>
      <c r="BK1327" s="29"/>
      <c r="BL1327" s="29"/>
      <c r="BM1327" s="29"/>
      <c r="BN1327" s="20">
        <f t="shared" si="155"/>
        <v>0</v>
      </c>
      <c r="BO1327" s="20">
        <f t="shared" si="156"/>
        <v>0</v>
      </c>
      <c r="BP1327" s="20">
        <f t="shared" si="157"/>
        <v>1640</v>
      </c>
      <c r="BQ1327" s="51"/>
      <c r="BR1327" s="56"/>
      <c r="BS1327" s="111"/>
      <c r="BT1327" s="36"/>
      <c r="BU1327" s="112"/>
    </row>
    <row r="1328" s="1" customFormat="1" customHeight="1" spans="1:73">
      <c r="A1328" s="15" t="s">
        <v>2109</v>
      </c>
      <c r="B1328" s="15" t="s">
        <v>2110</v>
      </c>
      <c r="C1328" s="16">
        <v>3233</v>
      </c>
      <c r="D1328" s="29"/>
      <c r="E1328" s="30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29"/>
      <c r="AB1328" s="29"/>
      <c r="AC1328" s="29"/>
      <c r="AD1328" s="29"/>
      <c r="AE1328" s="29"/>
      <c r="AF1328" s="29"/>
      <c r="AG1328" s="30"/>
      <c r="AH1328" s="29"/>
      <c r="AI1328" s="29"/>
      <c r="AJ1328" s="29"/>
      <c r="AK1328" s="30"/>
      <c r="AL1328" s="29"/>
      <c r="AM1328" s="29"/>
      <c r="AN1328" s="29"/>
      <c r="AO1328" s="29"/>
      <c r="AP1328" s="29"/>
      <c r="AQ1328" s="29"/>
      <c r="AR1328" s="29"/>
      <c r="AS1328" s="29"/>
      <c r="AT1328" s="29"/>
      <c r="AU1328" s="29"/>
      <c r="AV1328" s="29"/>
      <c r="AW1328" s="29"/>
      <c r="AX1328" s="29"/>
      <c r="AY1328" s="29"/>
      <c r="AZ1328" s="29"/>
      <c r="BA1328" s="29"/>
      <c r="BB1328" s="29"/>
      <c r="BC1328" s="29"/>
      <c r="BD1328" s="29"/>
      <c r="BE1328" s="29"/>
      <c r="BF1328" s="29"/>
      <c r="BG1328" s="29"/>
      <c r="BH1328" s="29"/>
      <c r="BI1328" s="29"/>
      <c r="BJ1328" s="29"/>
      <c r="BK1328" s="29"/>
      <c r="BL1328" s="29"/>
      <c r="BM1328" s="29"/>
      <c r="BN1328" s="20">
        <f t="shared" si="155"/>
        <v>0</v>
      </c>
      <c r="BO1328" s="20">
        <f t="shared" si="156"/>
        <v>0</v>
      </c>
      <c r="BP1328" s="20">
        <f t="shared" si="157"/>
        <v>3233</v>
      </c>
      <c r="BQ1328" s="51"/>
      <c r="BR1328" s="56"/>
      <c r="BS1328" s="111"/>
      <c r="BT1328" s="36"/>
      <c r="BU1328" s="112"/>
    </row>
    <row r="1329" s="1" customFormat="1" customHeight="1" spans="1:73">
      <c r="A1329" s="15" t="s">
        <v>2111</v>
      </c>
      <c r="B1329" s="15" t="s">
        <v>2112</v>
      </c>
      <c r="C1329" s="16">
        <v>3103</v>
      </c>
      <c r="D1329" s="29"/>
      <c r="E1329" s="30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29"/>
      <c r="AB1329" s="29"/>
      <c r="AC1329" s="29"/>
      <c r="AD1329" s="29"/>
      <c r="AE1329" s="29"/>
      <c r="AF1329" s="29"/>
      <c r="AG1329" s="30"/>
      <c r="AH1329" s="29"/>
      <c r="AI1329" s="29"/>
      <c r="AJ1329" s="29"/>
      <c r="AK1329" s="30"/>
      <c r="AL1329" s="29"/>
      <c r="AM1329" s="29"/>
      <c r="AN1329" s="29"/>
      <c r="AO1329" s="29"/>
      <c r="AP1329" s="29"/>
      <c r="AQ1329" s="29"/>
      <c r="AR1329" s="29"/>
      <c r="AS1329" s="29"/>
      <c r="AT1329" s="29"/>
      <c r="AU1329" s="29"/>
      <c r="AV1329" s="29"/>
      <c r="AW1329" s="29"/>
      <c r="AX1329" s="29"/>
      <c r="AY1329" s="29"/>
      <c r="AZ1329" s="29"/>
      <c r="BA1329" s="29"/>
      <c r="BB1329" s="29"/>
      <c r="BC1329" s="29"/>
      <c r="BD1329" s="29"/>
      <c r="BE1329" s="29"/>
      <c r="BF1329" s="29"/>
      <c r="BG1329" s="29"/>
      <c r="BH1329" s="29"/>
      <c r="BI1329" s="29"/>
      <c r="BJ1329" s="29"/>
      <c r="BK1329" s="29"/>
      <c r="BL1329" s="29"/>
      <c r="BM1329" s="29"/>
      <c r="BN1329" s="20">
        <f t="shared" si="155"/>
        <v>0</v>
      </c>
      <c r="BO1329" s="20">
        <f t="shared" si="156"/>
        <v>0</v>
      </c>
      <c r="BP1329" s="20">
        <f t="shared" si="157"/>
        <v>3103</v>
      </c>
      <c r="BQ1329" s="51"/>
      <c r="BR1329" s="56"/>
      <c r="BS1329" s="111"/>
      <c r="BT1329" s="36"/>
      <c r="BU1329" s="112"/>
    </row>
    <row r="1330" s="1" customFormat="1" customHeight="1" spans="1:73">
      <c r="A1330" s="15" t="s">
        <v>2113</v>
      </c>
      <c r="B1330" s="15" t="s">
        <v>2114</v>
      </c>
      <c r="C1330" s="16">
        <v>2315</v>
      </c>
      <c r="D1330" s="29"/>
      <c r="E1330" s="30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29"/>
      <c r="AB1330" s="29"/>
      <c r="AC1330" s="29"/>
      <c r="AD1330" s="29"/>
      <c r="AE1330" s="29"/>
      <c r="AF1330" s="29"/>
      <c r="AG1330" s="30"/>
      <c r="AH1330" s="29"/>
      <c r="AI1330" s="29"/>
      <c r="AJ1330" s="29"/>
      <c r="AK1330" s="30"/>
      <c r="AL1330" s="29"/>
      <c r="AM1330" s="29"/>
      <c r="AN1330" s="29"/>
      <c r="AO1330" s="29"/>
      <c r="AP1330" s="29"/>
      <c r="AQ1330" s="29"/>
      <c r="AR1330" s="29"/>
      <c r="AS1330" s="29"/>
      <c r="AT1330" s="29"/>
      <c r="AU1330" s="29"/>
      <c r="AV1330" s="29"/>
      <c r="AW1330" s="29"/>
      <c r="AX1330" s="29"/>
      <c r="AY1330" s="29"/>
      <c r="AZ1330" s="29"/>
      <c r="BA1330" s="29"/>
      <c r="BB1330" s="29"/>
      <c r="BC1330" s="29"/>
      <c r="BD1330" s="29"/>
      <c r="BE1330" s="29"/>
      <c r="BF1330" s="29"/>
      <c r="BG1330" s="29"/>
      <c r="BH1330" s="29"/>
      <c r="BI1330" s="29"/>
      <c r="BJ1330" s="29"/>
      <c r="BK1330" s="29"/>
      <c r="BL1330" s="29"/>
      <c r="BM1330" s="29"/>
      <c r="BN1330" s="20">
        <f t="shared" si="155"/>
        <v>0</v>
      </c>
      <c r="BO1330" s="20">
        <f t="shared" si="156"/>
        <v>0</v>
      </c>
      <c r="BP1330" s="20">
        <f t="shared" si="157"/>
        <v>2315</v>
      </c>
      <c r="BQ1330" s="51"/>
      <c r="BR1330" s="56"/>
      <c r="BS1330" s="111"/>
      <c r="BT1330" s="36"/>
      <c r="BU1330" s="112"/>
    </row>
    <row r="1331" s="1" customFormat="1" customHeight="1" spans="1:73">
      <c r="A1331" s="15" t="s">
        <v>2115</v>
      </c>
      <c r="B1331" s="15"/>
      <c r="C1331" s="16">
        <v>68</v>
      </c>
      <c r="D1331" s="29"/>
      <c r="E1331" s="30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29"/>
      <c r="AB1331" s="29"/>
      <c r="AC1331" s="29"/>
      <c r="AD1331" s="29"/>
      <c r="AE1331" s="29"/>
      <c r="AF1331" s="29"/>
      <c r="AG1331" s="30"/>
      <c r="AH1331" s="29"/>
      <c r="AI1331" s="29"/>
      <c r="AJ1331" s="29"/>
      <c r="AK1331" s="30"/>
      <c r="AL1331" s="29"/>
      <c r="AM1331" s="29"/>
      <c r="AN1331" s="29"/>
      <c r="AO1331" s="29"/>
      <c r="AP1331" s="29"/>
      <c r="AQ1331" s="29"/>
      <c r="AR1331" s="29"/>
      <c r="AS1331" s="29"/>
      <c r="AT1331" s="29"/>
      <c r="AU1331" s="29"/>
      <c r="AV1331" s="29"/>
      <c r="AW1331" s="29"/>
      <c r="AX1331" s="29"/>
      <c r="AY1331" s="29"/>
      <c r="AZ1331" s="29"/>
      <c r="BA1331" s="29"/>
      <c r="BB1331" s="29"/>
      <c r="BC1331" s="29"/>
      <c r="BD1331" s="29"/>
      <c r="BE1331" s="29"/>
      <c r="BF1331" s="29"/>
      <c r="BG1331" s="29"/>
      <c r="BH1331" s="29"/>
      <c r="BI1331" s="29"/>
      <c r="BJ1331" s="29"/>
      <c r="BK1331" s="29"/>
      <c r="BL1331" s="29"/>
      <c r="BM1331" s="29"/>
      <c r="BN1331" s="20">
        <f t="shared" si="155"/>
        <v>0</v>
      </c>
      <c r="BO1331" s="20">
        <f t="shared" si="156"/>
        <v>0</v>
      </c>
      <c r="BP1331" s="20">
        <f t="shared" si="157"/>
        <v>68</v>
      </c>
      <c r="BQ1331" s="51"/>
      <c r="BR1331" s="56"/>
      <c r="BS1331" s="111"/>
      <c r="BT1331" s="36"/>
      <c r="BU1331" s="112"/>
    </row>
    <row r="1332" s="1" customFormat="1" customHeight="1" spans="1:73">
      <c r="A1332" s="15" t="s">
        <v>2116</v>
      </c>
      <c r="B1332" s="15"/>
      <c r="C1332" s="16">
        <v>65</v>
      </c>
      <c r="D1332" s="29"/>
      <c r="E1332" s="30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29"/>
      <c r="AB1332" s="29"/>
      <c r="AC1332" s="29"/>
      <c r="AD1332" s="29"/>
      <c r="AE1332" s="29"/>
      <c r="AF1332" s="29"/>
      <c r="AG1332" s="30"/>
      <c r="AH1332" s="29"/>
      <c r="AI1332" s="29"/>
      <c r="AJ1332" s="29"/>
      <c r="AK1332" s="30"/>
      <c r="AL1332" s="29"/>
      <c r="AM1332" s="29"/>
      <c r="AN1332" s="29"/>
      <c r="AO1332" s="29"/>
      <c r="AP1332" s="29"/>
      <c r="AQ1332" s="29"/>
      <c r="AR1332" s="29"/>
      <c r="AS1332" s="29"/>
      <c r="AT1332" s="29"/>
      <c r="AU1332" s="29"/>
      <c r="AV1332" s="29"/>
      <c r="AW1332" s="29"/>
      <c r="AX1332" s="29"/>
      <c r="AY1332" s="29"/>
      <c r="AZ1332" s="29"/>
      <c r="BA1332" s="29"/>
      <c r="BB1332" s="29"/>
      <c r="BC1332" s="29"/>
      <c r="BD1332" s="29"/>
      <c r="BE1332" s="29"/>
      <c r="BF1332" s="29"/>
      <c r="BG1332" s="29"/>
      <c r="BH1332" s="29"/>
      <c r="BI1332" s="29"/>
      <c r="BJ1332" s="29"/>
      <c r="BK1332" s="29"/>
      <c r="BL1332" s="29"/>
      <c r="BM1332" s="29"/>
      <c r="BN1332" s="20">
        <f t="shared" si="155"/>
        <v>0</v>
      </c>
      <c r="BO1332" s="20">
        <f t="shared" si="156"/>
        <v>0</v>
      </c>
      <c r="BP1332" s="20">
        <f t="shared" si="157"/>
        <v>65</v>
      </c>
      <c r="BQ1332" s="51"/>
      <c r="BR1332" s="56"/>
      <c r="BS1332" s="111"/>
      <c r="BT1332" s="36"/>
      <c r="BU1332" s="112"/>
    </row>
    <row r="1333" s="1" customFormat="1" customHeight="1" spans="1:73">
      <c r="A1333" s="15" t="s">
        <v>2117</v>
      </c>
      <c r="B1333" s="15"/>
      <c r="C1333" s="16">
        <v>2110</v>
      </c>
      <c r="D1333" s="29"/>
      <c r="E1333" s="30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29"/>
      <c r="AB1333" s="29"/>
      <c r="AC1333" s="29"/>
      <c r="AD1333" s="29"/>
      <c r="AE1333" s="29"/>
      <c r="AF1333" s="29"/>
      <c r="AG1333" s="30"/>
      <c r="AH1333" s="29"/>
      <c r="AI1333" s="29"/>
      <c r="AJ1333" s="29"/>
      <c r="AK1333" s="30"/>
      <c r="AL1333" s="29"/>
      <c r="AM1333" s="29"/>
      <c r="AN1333" s="29"/>
      <c r="AO1333" s="29"/>
      <c r="AP1333" s="29"/>
      <c r="AQ1333" s="29"/>
      <c r="AR1333" s="29"/>
      <c r="AS1333" s="29"/>
      <c r="AT1333" s="29"/>
      <c r="AU1333" s="29"/>
      <c r="AV1333" s="29"/>
      <c r="AW1333" s="29"/>
      <c r="AX1333" s="29"/>
      <c r="AY1333" s="29"/>
      <c r="AZ1333" s="29"/>
      <c r="BA1333" s="29"/>
      <c r="BB1333" s="29"/>
      <c r="BC1333" s="29"/>
      <c r="BD1333" s="29"/>
      <c r="BE1333" s="29"/>
      <c r="BF1333" s="29"/>
      <c r="BG1333" s="29"/>
      <c r="BH1333" s="29"/>
      <c r="BI1333" s="29"/>
      <c r="BJ1333" s="29"/>
      <c r="BK1333" s="29"/>
      <c r="BL1333" s="29"/>
      <c r="BM1333" s="29"/>
      <c r="BN1333" s="20">
        <f t="shared" si="155"/>
        <v>0</v>
      </c>
      <c r="BO1333" s="20">
        <f t="shared" si="156"/>
        <v>0</v>
      </c>
      <c r="BP1333" s="20">
        <f t="shared" si="157"/>
        <v>2110</v>
      </c>
      <c r="BQ1333" s="51"/>
      <c r="BR1333" s="56"/>
      <c r="BS1333" s="111"/>
      <c r="BT1333" s="36"/>
      <c r="BU1333" s="112"/>
    </row>
    <row r="1334" s="1" customFormat="1" customHeight="1" spans="1:73">
      <c r="A1334" s="15" t="s">
        <v>2118</v>
      </c>
      <c r="B1334" s="15"/>
      <c r="C1334" s="16">
        <v>304</v>
      </c>
      <c r="D1334" s="29"/>
      <c r="E1334" s="30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29"/>
      <c r="AB1334" s="29"/>
      <c r="AC1334" s="29"/>
      <c r="AD1334" s="29"/>
      <c r="AE1334" s="29"/>
      <c r="AF1334" s="29"/>
      <c r="AG1334" s="30"/>
      <c r="AH1334" s="29"/>
      <c r="AI1334" s="29"/>
      <c r="AJ1334" s="29"/>
      <c r="AK1334" s="30"/>
      <c r="AL1334" s="29"/>
      <c r="AM1334" s="29"/>
      <c r="AN1334" s="29"/>
      <c r="AO1334" s="29"/>
      <c r="AP1334" s="29"/>
      <c r="AQ1334" s="29"/>
      <c r="AR1334" s="29"/>
      <c r="AS1334" s="29"/>
      <c r="AT1334" s="29"/>
      <c r="AU1334" s="29"/>
      <c r="AV1334" s="29"/>
      <c r="AW1334" s="29"/>
      <c r="AX1334" s="29"/>
      <c r="AY1334" s="29"/>
      <c r="AZ1334" s="29"/>
      <c r="BA1334" s="29"/>
      <c r="BB1334" s="29"/>
      <c r="BC1334" s="29"/>
      <c r="BD1334" s="29"/>
      <c r="BE1334" s="29"/>
      <c r="BF1334" s="29"/>
      <c r="BG1334" s="29"/>
      <c r="BH1334" s="29"/>
      <c r="BI1334" s="29"/>
      <c r="BJ1334" s="29"/>
      <c r="BK1334" s="29"/>
      <c r="BL1334" s="29"/>
      <c r="BM1334" s="29"/>
      <c r="BN1334" s="20">
        <f t="shared" si="155"/>
        <v>0</v>
      </c>
      <c r="BO1334" s="20">
        <f t="shared" si="156"/>
        <v>0</v>
      </c>
      <c r="BP1334" s="20">
        <f t="shared" si="157"/>
        <v>304</v>
      </c>
      <c r="BQ1334" s="51"/>
      <c r="BR1334" s="56"/>
      <c r="BS1334" s="111"/>
      <c r="BT1334" s="36"/>
      <c r="BU1334" s="112"/>
    </row>
    <row r="1335" s="1" customFormat="1" customHeight="1" spans="1:73">
      <c r="A1335" s="15" t="s">
        <v>2119</v>
      </c>
      <c r="B1335" s="15"/>
      <c r="C1335" s="16">
        <v>2262</v>
      </c>
      <c r="D1335" s="29"/>
      <c r="E1335" s="30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29"/>
      <c r="AB1335" s="29"/>
      <c r="AC1335" s="29"/>
      <c r="AD1335" s="29"/>
      <c r="AE1335" s="29"/>
      <c r="AF1335" s="29"/>
      <c r="AG1335" s="30"/>
      <c r="AH1335" s="29"/>
      <c r="AI1335" s="29"/>
      <c r="AJ1335" s="29"/>
      <c r="AK1335" s="30"/>
      <c r="AL1335" s="29"/>
      <c r="AM1335" s="29"/>
      <c r="AN1335" s="29"/>
      <c r="AO1335" s="29"/>
      <c r="AP1335" s="29"/>
      <c r="AQ1335" s="29"/>
      <c r="AR1335" s="29"/>
      <c r="AS1335" s="29"/>
      <c r="AT1335" s="29"/>
      <c r="AU1335" s="29"/>
      <c r="AV1335" s="29"/>
      <c r="AW1335" s="29"/>
      <c r="AX1335" s="29"/>
      <c r="AY1335" s="29"/>
      <c r="AZ1335" s="29"/>
      <c r="BA1335" s="29"/>
      <c r="BB1335" s="29"/>
      <c r="BC1335" s="29"/>
      <c r="BD1335" s="29"/>
      <c r="BE1335" s="29"/>
      <c r="BF1335" s="29"/>
      <c r="BG1335" s="29"/>
      <c r="BH1335" s="29"/>
      <c r="BI1335" s="29"/>
      <c r="BJ1335" s="29"/>
      <c r="BK1335" s="29"/>
      <c r="BL1335" s="29"/>
      <c r="BM1335" s="29"/>
      <c r="BN1335" s="20">
        <f t="shared" si="155"/>
        <v>0</v>
      </c>
      <c r="BO1335" s="20">
        <f t="shared" si="156"/>
        <v>0</v>
      </c>
      <c r="BP1335" s="20">
        <f t="shared" si="157"/>
        <v>2262</v>
      </c>
      <c r="BQ1335" s="51"/>
      <c r="BR1335" s="56"/>
      <c r="BS1335" s="111"/>
      <c r="BT1335" s="36"/>
      <c r="BU1335" s="112"/>
    </row>
    <row r="1336" s="1" customFormat="1" customHeight="1" spans="1:73">
      <c r="A1336" s="15" t="s">
        <v>2120</v>
      </c>
      <c r="B1336" s="15"/>
      <c r="C1336" s="16">
        <v>2422</v>
      </c>
      <c r="D1336" s="29"/>
      <c r="E1336" s="30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  <c r="AE1336" s="29"/>
      <c r="AF1336" s="29"/>
      <c r="AG1336" s="30"/>
      <c r="AH1336" s="29"/>
      <c r="AI1336" s="29"/>
      <c r="AJ1336" s="29"/>
      <c r="AK1336" s="30"/>
      <c r="AL1336" s="29"/>
      <c r="AM1336" s="29"/>
      <c r="AN1336" s="29"/>
      <c r="AO1336" s="29"/>
      <c r="AP1336" s="29"/>
      <c r="AQ1336" s="29"/>
      <c r="AR1336" s="29"/>
      <c r="AS1336" s="29"/>
      <c r="AT1336" s="29"/>
      <c r="AU1336" s="29"/>
      <c r="AV1336" s="29"/>
      <c r="AW1336" s="29"/>
      <c r="AX1336" s="29"/>
      <c r="AY1336" s="29"/>
      <c r="AZ1336" s="29"/>
      <c r="BA1336" s="29"/>
      <c r="BB1336" s="29"/>
      <c r="BC1336" s="29"/>
      <c r="BD1336" s="29"/>
      <c r="BE1336" s="29"/>
      <c r="BF1336" s="29"/>
      <c r="BG1336" s="29"/>
      <c r="BH1336" s="29"/>
      <c r="BI1336" s="29"/>
      <c r="BJ1336" s="29"/>
      <c r="BK1336" s="29"/>
      <c r="BL1336" s="29"/>
      <c r="BM1336" s="29"/>
      <c r="BN1336" s="20">
        <f t="shared" si="155"/>
        <v>0</v>
      </c>
      <c r="BO1336" s="20">
        <f t="shared" si="156"/>
        <v>0</v>
      </c>
      <c r="BP1336" s="20">
        <f t="shared" si="157"/>
        <v>2422</v>
      </c>
      <c r="BQ1336" s="51"/>
      <c r="BR1336" s="56"/>
      <c r="BS1336" s="111"/>
      <c r="BT1336" s="36"/>
      <c r="BU1336" s="112"/>
    </row>
    <row r="1337" s="1" customFormat="1" customHeight="1" spans="1:73">
      <c r="A1337" s="15" t="s">
        <v>2121</v>
      </c>
      <c r="B1337" s="15"/>
      <c r="C1337" s="16">
        <v>120</v>
      </c>
      <c r="D1337" s="29"/>
      <c r="E1337" s="30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  <c r="AC1337" s="29"/>
      <c r="AD1337" s="29"/>
      <c r="AE1337" s="29"/>
      <c r="AF1337" s="29"/>
      <c r="AG1337" s="30"/>
      <c r="AH1337" s="29"/>
      <c r="AI1337" s="29"/>
      <c r="AJ1337" s="29"/>
      <c r="AK1337" s="30"/>
      <c r="AL1337" s="29"/>
      <c r="AM1337" s="29"/>
      <c r="AN1337" s="29"/>
      <c r="AO1337" s="29"/>
      <c r="AP1337" s="29"/>
      <c r="AQ1337" s="29"/>
      <c r="AR1337" s="29"/>
      <c r="AS1337" s="29"/>
      <c r="AT1337" s="29"/>
      <c r="AU1337" s="29"/>
      <c r="AV1337" s="29"/>
      <c r="AW1337" s="29"/>
      <c r="AX1337" s="29"/>
      <c r="AY1337" s="29"/>
      <c r="AZ1337" s="29"/>
      <c r="BA1337" s="29"/>
      <c r="BB1337" s="29"/>
      <c r="BC1337" s="29"/>
      <c r="BD1337" s="29"/>
      <c r="BE1337" s="29"/>
      <c r="BF1337" s="29"/>
      <c r="BG1337" s="29"/>
      <c r="BH1337" s="29"/>
      <c r="BI1337" s="29"/>
      <c r="BJ1337" s="29"/>
      <c r="BK1337" s="29"/>
      <c r="BL1337" s="29"/>
      <c r="BM1337" s="29"/>
      <c r="BN1337" s="20">
        <f t="shared" si="155"/>
        <v>0</v>
      </c>
      <c r="BO1337" s="20">
        <f t="shared" si="156"/>
        <v>0</v>
      </c>
      <c r="BP1337" s="20">
        <f t="shared" si="157"/>
        <v>120</v>
      </c>
      <c r="BQ1337" s="51"/>
      <c r="BR1337" s="56"/>
      <c r="BS1337" s="111"/>
      <c r="BT1337" s="36"/>
      <c r="BU1337" s="112"/>
    </row>
    <row r="1338" s="1" customFormat="1" customHeight="1" spans="1:73">
      <c r="A1338" s="15" t="s">
        <v>2122</v>
      </c>
      <c r="B1338" s="15"/>
      <c r="C1338" s="16">
        <v>2852</v>
      </c>
      <c r="D1338" s="29"/>
      <c r="E1338" s="30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29"/>
      <c r="AB1338" s="29"/>
      <c r="AC1338" s="29"/>
      <c r="AD1338" s="29"/>
      <c r="AE1338" s="29"/>
      <c r="AF1338" s="29"/>
      <c r="AG1338" s="30"/>
      <c r="AH1338" s="29"/>
      <c r="AI1338" s="29"/>
      <c r="AJ1338" s="29"/>
      <c r="AK1338" s="30"/>
      <c r="AL1338" s="29"/>
      <c r="AM1338" s="29"/>
      <c r="AN1338" s="29"/>
      <c r="AO1338" s="29"/>
      <c r="AP1338" s="29"/>
      <c r="AQ1338" s="29"/>
      <c r="AR1338" s="29"/>
      <c r="AS1338" s="29"/>
      <c r="AT1338" s="29"/>
      <c r="AU1338" s="29"/>
      <c r="AV1338" s="29"/>
      <c r="AW1338" s="29"/>
      <c r="AX1338" s="29"/>
      <c r="AY1338" s="29"/>
      <c r="AZ1338" s="29"/>
      <c r="BA1338" s="29"/>
      <c r="BB1338" s="29"/>
      <c r="BC1338" s="29"/>
      <c r="BD1338" s="29"/>
      <c r="BE1338" s="29"/>
      <c r="BF1338" s="29"/>
      <c r="BG1338" s="29"/>
      <c r="BH1338" s="29"/>
      <c r="BI1338" s="29"/>
      <c r="BJ1338" s="29"/>
      <c r="BK1338" s="29"/>
      <c r="BL1338" s="29"/>
      <c r="BM1338" s="29"/>
      <c r="BN1338" s="20">
        <f t="shared" si="155"/>
        <v>0</v>
      </c>
      <c r="BO1338" s="20">
        <f t="shared" si="156"/>
        <v>0</v>
      </c>
      <c r="BP1338" s="20">
        <f t="shared" si="157"/>
        <v>2852</v>
      </c>
      <c r="BQ1338" s="51"/>
      <c r="BR1338" s="56"/>
      <c r="BS1338" s="111"/>
      <c r="BT1338" s="36"/>
      <c r="BU1338" s="112"/>
    </row>
    <row r="1339" s="1" customFormat="1" customHeight="1" spans="1:73">
      <c r="A1339" s="15" t="s">
        <v>2123</v>
      </c>
      <c r="B1339" s="15" t="s">
        <v>2124</v>
      </c>
      <c r="C1339" s="16">
        <v>2290</v>
      </c>
      <c r="D1339" s="29"/>
      <c r="E1339" s="30"/>
      <c r="F1339" s="29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29"/>
      <c r="AB1339" s="29"/>
      <c r="AC1339" s="29"/>
      <c r="AD1339" s="29"/>
      <c r="AE1339" s="29"/>
      <c r="AF1339" s="29"/>
      <c r="AG1339" s="30"/>
      <c r="AH1339" s="29"/>
      <c r="AI1339" s="29"/>
      <c r="AJ1339" s="29"/>
      <c r="AK1339" s="30"/>
      <c r="AL1339" s="29"/>
      <c r="AM1339" s="29"/>
      <c r="AN1339" s="29"/>
      <c r="AO1339" s="29"/>
      <c r="AP1339" s="29"/>
      <c r="AQ1339" s="29"/>
      <c r="AR1339" s="29"/>
      <c r="AS1339" s="29"/>
      <c r="AT1339" s="29"/>
      <c r="AU1339" s="29"/>
      <c r="AV1339" s="29"/>
      <c r="AW1339" s="29"/>
      <c r="AX1339" s="29"/>
      <c r="AY1339" s="29"/>
      <c r="AZ1339" s="29"/>
      <c r="BA1339" s="29"/>
      <c r="BB1339" s="29"/>
      <c r="BC1339" s="29"/>
      <c r="BD1339" s="29"/>
      <c r="BE1339" s="29"/>
      <c r="BF1339" s="29"/>
      <c r="BG1339" s="29"/>
      <c r="BH1339" s="29"/>
      <c r="BI1339" s="29"/>
      <c r="BJ1339" s="29"/>
      <c r="BK1339" s="29"/>
      <c r="BL1339" s="29"/>
      <c r="BM1339" s="29"/>
      <c r="BN1339" s="20">
        <f t="shared" si="155"/>
        <v>0</v>
      </c>
      <c r="BO1339" s="20">
        <f t="shared" si="156"/>
        <v>0</v>
      </c>
      <c r="BP1339" s="20">
        <f t="shared" si="157"/>
        <v>2290</v>
      </c>
      <c r="BQ1339" s="51"/>
      <c r="BR1339" s="56"/>
      <c r="BS1339" s="111"/>
      <c r="BT1339" s="36"/>
      <c r="BU1339" s="112"/>
    </row>
    <row r="1340" s="1" customFormat="1" customHeight="1" spans="1:73">
      <c r="A1340" s="15" t="s">
        <v>2125</v>
      </c>
      <c r="B1340" s="15"/>
      <c r="C1340" s="16">
        <v>2864</v>
      </c>
      <c r="D1340" s="29"/>
      <c r="E1340" s="30"/>
      <c r="F1340" s="29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29"/>
      <c r="AB1340" s="29"/>
      <c r="AC1340" s="29"/>
      <c r="AD1340" s="29"/>
      <c r="AE1340" s="29"/>
      <c r="AF1340" s="29"/>
      <c r="AG1340" s="30"/>
      <c r="AH1340" s="29"/>
      <c r="AI1340" s="29"/>
      <c r="AJ1340" s="29"/>
      <c r="AK1340" s="30"/>
      <c r="AL1340" s="29"/>
      <c r="AM1340" s="29"/>
      <c r="AN1340" s="29"/>
      <c r="AO1340" s="29"/>
      <c r="AP1340" s="29"/>
      <c r="AQ1340" s="29"/>
      <c r="AR1340" s="29"/>
      <c r="AS1340" s="29"/>
      <c r="AT1340" s="29"/>
      <c r="AU1340" s="29"/>
      <c r="AV1340" s="29"/>
      <c r="AW1340" s="29"/>
      <c r="AX1340" s="29"/>
      <c r="AY1340" s="29"/>
      <c r="AZ1340" s="29"/>
      <c r="BA1340" s="29"/>
      <c r="BB1340" s="29"/>
      <c r="BC1340" s="29"/>
      <c r="BD1340" s="29"/>
      <c r="BE1340" s="29"/>
      <c r="BF1340" s="29"/>
      <c r="BG1340" s="29"/>
      <c r="BH1340" s="29"/>
      <c r="BI1340" s="29"/>
      <c r="BJ1340" s="29"/>
      <c r="BK1340" s="29"/>
      <c r="BL1340" s="29"/>
      <c r="BM1340" s="29"/>
      <c r="BN1340" s="20">
        <f t="shared" si="155"/>
        <v>0</v>
      </c>
      <c r="BO1340" s="20">
        <f t="shared" si="156"/>
        <v>0</v>
      </c>
      <c r="BP1340" s="20">
        <f t="shared" si="157"/>
        <v>2864</v>
      </c>
      <c r="BQ1340" s="51"/>
      <c r="BR1340" s="56"/>
      <c r="BS1340" s="111"/>
      <c r="BT1340" s="36"/>
      <c r="BU1340" s="112"/>
    </row>
    <row r="1341" s="1" customFormat="1" customHeight="1" spans="1:73">
      <c r="A1341" s="15" t="s">
        <v>2126</v>
      </c>
      <c r="B1341" s="15"/>
      <c r="C1341" s="16">
        <v>1290</v>
      </c>
      <c r="D1341" s="29"/>
      <c r="E1341" s="30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29"/>
      <c r="AB1341" s="29"/>
      <c r="AC1341" s="29"/>
      <c r="AD1341" s="29"/>
      <c r="AE1341" s="29"/>
      <c r="AF1341" s="29"/>
      <c r="AG1341" s="30"/>
      <c r="AH1341" s="29"/>
      <c r="AI1341" s="29"/>
      <c r="AJ1341" s="29"/>
      <c r="AK1341" s="30"/>
      <c r="AL1341" s="29"/>
      <c r="AM1341" s="29"/>
      <c r="AN1341" s="29"/>
      <c r="AO1341" s="29"/>
      <c r="AP1341" s="29"/>
      <c r="AQ1341" s="29"/>
      <c r="AR1341" s="29"/>
      <c r="AS1341" s="29"/>
      <c r="AT1341" s="29"/>
      <c r="AU1341" s="29"/>
      <c r="AV1341" s="29"/>
      <c r="AW1341" s="29"/>
      <c r="AX1341" s="29"/>
      <c r="AY1341" s="29"/>
      <c r="AZ1341" s="29"/>
      <c r="BA1341" s="29"/>
      <c r="BB1341" s="29"/>
      <c r="BC1341" s="29"/>
      <c r="BD1341" s="29"/>
      <c r="BE1341" s="29"/>
      <c r="BF1341" s="29"/>
      <c r="BG1341" s="29"/>
      <c r="BH1341" s="29"/>
      <c r="BI1341" s="29"/>
      <c r="BJ1341" s="29"/>
      <c r="BK1341" s="29"/>
      <c r="BL1341" s="29"/>
      <c r="BM1341" s="29"/>
      <c r="BN1341" s="20">
        <f t="shared" si="155"/>
        <v>0</v>
      </c>
      <c r="BO1341" s="20">
        <f t="shared" si="156"/>
        <v>0</v>
      </c>
      <c r="BP1341" s="20">
        <f t="shared" si="157"/>
        <v>1290</v>
      </c>
      <c r="BQ1341" s="51"/>
      <c r="BR1341" s="56"/>
      <c r="BS1341" s="111"/>
      <c r="BT1341" s="36"/>
      <c r="BU1341" s="112"/>
    </row>
    <row r="1342" s="1" customFormat="1" customHeight="1" spans="1:73">
      <c r="A1342" s="15" t="s">
        <v>2127</v>
      </c>
      <c r="B1342" s="15"/>
      <c r="C1342" s="16">
        <v>106</v>
      </c>
      <c r="D1342" s="29"/>
      <c r="E1342" s="30"/>
      <c r="F1342" s="29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191"/>
      <c r="U1342" s="29"/>
      <c r="V1342" s="29"/>
      <c r="W1342" s="29"/>
      <c r="X1342" s="29"/>
      <c r="Y1342" s="29"/>
      <c r="Z1342" s="29"/>
      <c r="AA1342" s="29"/>
      <c r="AB1342" s="29"/>
      <c r="AC1342" s="29"/>
      <c r="AD1342" s="29"/>
      <c r="AE1342" s="29"/>
      <c r="AF1342" s="29"/>
      <c r="AG1342" s="30"/>
      <c r="AH1342" s="29"/>
      <c r="AI1342" s="29"/>
      <c r="AJ1342" s="29"/>
      <c r="AK1342" s="30"/>
      <c r="AL1342" s="29"/>
      <c r="AM1342" s="29"/>
      <c r="AN1342" s="29"/>
      <c r="AO1342" s="29"/>
      <c r="AP1342" s="29"/>
      <c r="AQ1342" s="29"/>
      <c r="AR1342" s="29"/>
      <c r="AS1342" s="29"/>
      <c r="AT1342" s="29"/>
      <c r="AU1342" s="29"/>
      <c r="AV1342" s="29"/>
      <c r="AW1342" s="29"/>
      <c r="AX1342" s="29"/>
      <c r="AY1342" s="29"/>
      <c r="AZ1342" s="29"/>
      <c r="BA1342" s="29"/>
      <c r="BB1342" s="29"/>
      <c r="BC1342" s="29"/>
      <c r="BD1342" s="29"/>
      <c r="BE1342" s="29"/>
      <c r="BF1342" s="29"/>
      <c r="BG1342" s="29"/>
      <c r="BH1342" s="29"/>
      <c r="BI1342" s="29"/>
      <c r="BJ1342" s="29"/>
      <c r="BK1342" s="29"/>
      <c r="BL1342" s="29"/>
      <c r="BM1342" s="29"/>
      <c r="BN1342" s="20">
        <f t="shared" si="155"/>
        <v>0</v>
      </c>
      <c r="BO1342" s="20">
        <f t="shared" si="156"/>
        <v>0</v>
      </c>
      <c r="BP1342" s="20">
        <f t="shared" si="157"/>
        <v>106</v>
      </c>
      <c r="BQ1342" s="51"/>
      <c r="BR1342" s="56"/>
      <c r="BS1342" s="111"/>
      <c r="BT1342" s="36"/>
      <c r="BU1342" s="112"/>
    </row>
    <row r="1343" s="1" customFormat="1" customHeight="1" spans="1:73">
      <c r="A1343" s="15" t="s">
        <v>2128</v>
      </c>
      <c r="B1343" s="15"/>
      <c r="C1343" s="16">
        <v>2680</v>
      </c>
      <c r="D1343" s="29"/>
      <c r="E1343" s="30"/>
      <c r="F1343" s="29"/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29"/>
      <c r="AB1343" s="29"/>
      <c r="AC1343" s="29"/>
      <c r="AD1343" s="29"/>
      <c r="AE1343" s="29"/>
      <c r="AF1343" s="29"/>
      <c r="AG1343" s="30"/>
      <c r="AH1343" s="29"/>
      <c r="AI1343" s="29"/>
      <c r="AJ1343" s="29"/>
      <c r="AK1343" s="30"/>
      <c r="AL1343" s="29"/>
      <c r="AM1343" s="29"/>
      <c r="AN1343" s="29"/>
      <c r="AO1343" s="29"/>
      <c r="AP1343" s="29"/>
      <c r="AQ1343" s="30"/>
      <c r="AR1343" s="29"/>
      <c r="AS1343" s="29"/>
      <c r="AT1343" s="29"/>
      <c r="AU1343" s="29"/>
      <c r="AV1343" s="29"/>
      <c r="AW1343" s="29"/>
      <c r="AX1343" s="29"/>
      <c r="AY1343" s="29"/>
      <c r="AZ1343" s="29"/>
      <c r="BA1343" s="29"/>
      <c r="BB1343" s="29"/>
      <c r="BC1343" s="29"/>
      <c r="BD1343" s="29"/>
      <c r="BE1343" s="29"/>
      <c r="BF1343" s="29"/>
      <c r="BG1343" s="29"/>
      <c r="BH1343" s="29"/>
      <c r="BI1343" s="29"/>
      <c r="BJ1343" s="29"/>
      <c r="BK1343" s="29"/>
      <c r="BL1343" s="29"/>
      <c r="BM1343" s="29"/>
      <c r="BN1343" s="20">
        <f t="shared" si="155"/>
        <v>0</v>
      </c>
      <c r="BO1343" s="20">
        <f t="shared" si="156"/>
        <v>0</v>
      </c>
      <c r="BP1343" s="20">
        <f t="shared" si="157"/>
        <v>2680</v>
      </c>
      <c r="BQ1343" s="51"/>
      <c r="BR1343" s="56"/>
      <c r="BS1343" s="111"/>
      <c r="BT1343" s="36"/>
      <c r="BU1343" s="112"/>
    </row>
    <row r="1344" s="1" customFormat="1" customHeight="1" spans="1:73">
      <c r="A1344" s="15" t="s">
        <v>2129</v>
      </c>
      <c r="B1344" s="15" t="s">
        <v>2130</v>
      </c>
      <c r="C1344" s="16">
        <v>2940</v>
      </c>
      <c r="D1344" s="29"/>
      <c r="E1344" s="30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29"/>
      <c r="AB1344" s="29"/>
      <c r="AC1344" s="29"/>
      <c r="AD1344" s="29"/>
      <c r="AE1344" s="29"/>
      <c r="AF1344" s="29"/>
      <c r="AG1344" s="30"/>
      <c r="AH1344" s="29"/>
      <c r="AI1344" s="29"/>
      <c r="AJ1344" s="29"/>
      <c r="AK1344" s="30"/>
      <c r="AL1344" s="29"/>
      <c r="AM1344" s="29"/>
      <c r="AN1344" s="29"/>
      <c r="AO1344" s="29"/>
      <c r="AP1344" s="29"/>
      <c r="AQ1344" s="30"/>
      <c r="AR1344" s="29"/>
      <c r="AS1344" s="29"/>
      <c r="AT1344" s="29"/>
      <c r="AU1344" s="29"/>
      <c r="AV1344" s="29"/>
      <c r="AW1344" s="29"/>
      <c r="AX1344" s="29"/>
      <c r="AY1344" s="29"/>
      <c r="AZ1344" s="29"/>
      <c r="BA1344" s="29"/>
      <c r="BB1344" s="29"/>
      <c r="BC1344" s="29"/>
      <c r="BD1344" s="29"/>
      <c r="BE1344" s="29"/>
      <c r="BF1344" s="29"/>
      <c r="BG1344" s="29"/>
      <c r="BH1344" s="29"/>
      <c r="BI1344" s="29"/>
      <c r="BJ1344" s="29"/>
      <c r="BK1344" s="29"/>
      <c r="BL1344" s="29"/>
      <c r="BM1344" s="29"/>
      <c r="BN1344" s="20">
        <f t="shared" si="155"/>
        <v>0</v>
      </c>
      <c r="BO1344" s="20">
        <f t="shared" si="156"/>
        <v>0</v>
      </c>
      <c r="BP1344" s="20">
        <f t="shared" si="157"/>
        <v>2940</v>
      </c>
      <c r="BQ1344" s="51"/>
      <c r="BR1344" s="56"/>
      <c r="BS1344" s="111"/>
      <c r="BT1344" s="36"/>
      <c r="BU1344" s="112"/>
    </row>
    <row r="1345" s="1" customFormat="1" customHeight="1" spans="1:73">
      <c r="A1345" s="15" t="s">
        <v>2131</v>
      </c>
      <c r="B1345" s="15" t="s">
        <v>2132</v>
      </c>
      <c r="C1345" s="16">
        <v>30</v>
      </c>
      <c r="D1345" s="29"/>
      <c r="E1345" s="30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29"/>
      <c r="AB1345" s="29"/>
      <c r="AC1345" s="29"/>
      <c r="AD1345" s="29"/>
      <c r="AE1345" s="29"/>
      <c r="AF1345" s="29"/>
      <c r="AG1345" s="30"/>
      <c r="AH1345" s="29"/>
      <c r="AI1345" s="29"/>
      <c r="AJ1345" s="29"/>
      <c r="AK1345" s="30"/>
      <c r="AL1345" s="29"/>
      <c r="AM1345" s="29"/>
      <c r="AN1345" s="29"/>
      <c r="AO1345" s="29"/>
      <c r="AP1345" s="29"/>
      <c r="AQ1345" s="29"/>
      <c r="AR1345" s="29"/>
      <c r="AS1345" s="29"/>
      <c r="AT1345" s="29"/>
      <c r="AU1345" s="82"/>
      <c r="AV1345" s="29"/>
      <c r="AW1345" s="29"/>
      <c r="AX1345" s="29"/>
      <c r="AY1345" s="29"/>
      <c r="AZ1345" s="29"/>
      <c r="BA1345" s="29"/>
      <c r="BB1345" s="29"/>
      <c r="BC1345" s="29"/>
      <c r="BD1345" s="29"/>
      <c r="BE1345" s="29"/>
      <c r="BF1345" s="29"/>
      <c r="BG1345" s="29"/>
      <c r="BH1345" s="29"/>
      <c r="BI1345" s="29"/>
      <c r="BJ1345" s="29"/>
      <c r="BK1345" s="29"/>
      <c r="BL1345" s="29"/>
      <c r="BM1345" s="29"/>
      <c r="BN1345" s="20">
        <f t="shared" si="155"/>
        <v>0</v>
      </c>
      <c r="BO1345" s="20">
        <f t="shared" si="156"/>
        <v>0</v>
      </c>
      <c r="BP1345" s="20">
        <f t="shared" si="157"/>
        <v>30</v>
      </c>
      <c r="BQ1345" s="51"/>
      <c r="BR1345" s="56"/>
      <c r="BS1345" s="111"/>
      <c r="BT1345" s="36"/>
      <c r="BU1345" s="112"/>
    </row>
    <row r="1346" s="1" customFormat="1" customHeight="1" spans="1:73">
      <c r="A1346" s="15" t="s">
        <v>2133</v>
      </c>
      <c r="B1346" s="15" t="s">
        <v>2134</v>
      </c>
      <c r="C1346" s="16">
        <v>0</v>
      </c>
      <c r="D1346" s="29"/>
      <c r="E1346" s="30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29"/>
      <c r="AB1346" s="29"/>
      <c r="AC1346" s="29"/>
      <c r="AD1346" s="29"/>
      <c r="AE1346" s="29"/>
      <c r="AF1346" s="29"/>
      <c r="AG1346" s="30"/>
      <c r="AH1346" s="29"/>
      <c r="AI1346" s="29"/>
      <c r="AJ1346" s="29"/>
      <c r="AK1346" s="30"/>
      <c r="AL1346" s="29"/>
      <c r="AM1346" s="29"/>
      <c r="AN1346" s="29"/>
      <c r="AO1346" s="29"/>
      <c r="AP1346" s="29"/>
      <c r="AQ1346" s="29"/>
      <c r="AR1346" s="29"/>
      <c r="AS1346" s="29"/>
      <c r="AT1346" s="29"/>
      <c r="AU1346" s="29"/>
      <c r="AV1346" s="29"/>
      <c r="AW1346" s="29"/>
      <c r="AX1346" s="29"/>
      <c r="AY1346" s="29"/>
      <c r="AZ1346" s="29"/>
      <c r="BA1346" s="29"/>
      <c r="BB1346" s="29"/>
      <c r="BC1346" s="29"/>
      <c r="BD1346" s="29"/>
      <c r="BE1346" s="29"/>
      <c r="BF1346" s="29"/>
      <c r="BG1346" s="29"/>
      <c r="BH1346" s="29"/>
      <c r="BI1346" s="29"/>
      <c r="BJ1346" s="29"/>
      <c r="BK1346" s="29"/>
      <c r="BL1346" s="29"/>
      <c r="BM1346" s="29"/>
      <c r="BN1346" s="20">
        <f t="shared" si="155"/>
        <v>0</v>
      </c>
      <c r="BO1346" s="20">
        <f t="shared" si="156"/>
        <v>0</v>
      </c>
      <c r="BP1346" s="20">
        <f t="shared" si="157"/>
        <v>0</v>
      </c>
      <c r="BQ1346" s="51"/>
      <c r="BR1346" s="56"/>
      <c r="BS1346" s="111"/>
      <c r="BT1346" s="36"/>
      <c r="BU1346" s="112"/>
    </row>
    <row r="1347" s="1" customFormat="1" customHeight="1" spans="1:73">
      <c r="A1347" s="15" t="s">
        <v>2135</v>
      </c>
      <c r="B1347" s="15" t="s">
        <v>2136</v>
      </c>
      <c r="C1347" s="16">
        <v>2000</v>
      </c>
      <c r="D1347" s="29"/>
      <c r="E1347" s="30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29"/>
      <c r="AB1347" s="29"/>
      <c r="AC1347" s="29"/>
      <c r="AD1347" s="29"/>
      <c r="AE1347" s="29"/>
      <c r="AF1347" s="29"/>
      <c r="AG1347" s="30"/>
      <c r="AH1347" s="29"/>
      <c r="AI1347" s="29"/>
      <c r="AJ1347" s="29"/>
      <c r="AK1347" s="30"/>
      <c r="AL1347" s="29"/>
      <c r="AM1347" s="29"/>
      <c r="AN1347" s="29"/>
      <c r="AO1347" s="29"/>
      <c r="AP1347" s="29"/>
      <c r="AQ1347" s="29"/>
      <c r="AR1347" s="29"/>
      <c r="AS1347" s="29"/>
      <c r="AT1347" s="29"/>
      <c r="AU1347" s="29"/>
      <c r="AV1347" s="29"/>
      <c r="AW1347" s="29"/>
      <c r="AX1347" s="29"/>
      <c r="AY1347" s="29"/>
      <c r="AZ1347" s="29"/>
      <c r="BA1347" s="29"/>
      <c r="BB1347" s="29"/>
      <c r="BC1347" s="29"/>
      <c r="BD1347" s="29"/>
      <c r="BE1347" s="29"/>
      <c r="BF1347" s="29"/>
      <c r="BG1347" s="29"/>
      <c r="BH1347" s="29"/>
      <c r="BI1347" s="29"/>
      <c r="BJ1347" s="29"/>
      <c r="BK1347" s="29"/>
      <c r="BL1347" s="29"/>
      <c r="BM1347" s="29"/>
      <c r="BN1347" s="20">
        <f t="shared" si="155"/>
        <v>0</v>
      </c>
      <c r="BO1347" s="20">
        <f t="shared" si="156"/>
        <v>0</v>
      </c>
      <c r="BP1347" s="20">
        <f t="shared" si="157"/>
        <v>2000</v>
      </c>
      <c r="BQ1347" s="51"/>
      <c r="BR1347" s="56"/>
      <c r="BS1347" s="111"/>
      <c r="BT1347" s="36"/>
      <c r="BU1347" s="112"/>
    </row>
    <row r="1348" s="1" customFormat="1" customHeight="1" spans="1:73">
      <c r="A1348" s="15" t="s">
        <v>2137</v>
      </c>
      <c r="B1348" s="15" t="s">
        <v>2138</v>
      </c>
      <c r="C1348" s="16">
        <v>0</v>
      </c>
      <c r="D1348" s="29"/>
      <c r="E1348" s="30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29"/>
      <c r="AB1348" s="29"/>
      <c r="AC1348" s="29"/>
      <c r="AD1348" s="29"/>
      <c r="AE1348" s="29"/>
      <c r="AF1348" s="29"/>
      <c r="AG1348" s="30"/>
      <c r="AH1348" s="29"/>
      <c r="AI1348" s="29"/>
      <c r="AJ1348" s="29"/>
      <c r="AK1348" s="30"/>
      <c r="AL1348" s="29"/>
      <c r="AM1348" s="29"/>
      <c r="AN1348" s="29"/>
      <c r="AO1348" s="29"/>
      <c r="AP1348" s="29"/>
      <c r="AQ1348" s="29"/>
      <c r="AR1348" s="29"/>
      <c r="AS1348" s="29"/>
      <c r="AT1348" s="29"/>
      <c r="AU1348" s="29"/>
      <c r="AV1348" s="29"/>
      <c r="AW1348" s="29"/>
      <c r="AX1348" s="29"/>
      <c r="AY1348" s="29"/>
      <c r="AZ1348" s="29"/>
      <c r="BA1348" s="29"/>
      <c r="BB1348" s="29"/>
      <c r="BC1348" s="29"/>
      <c r="BD1348" s="29"/>
      <c r="BE1348" s="29"/>
      <c r="BF1348" s="29"/>
      <c r="BG1348" s="29"/>
      <c r="BH1348" s="29"/>
      <c r="BI1348" s="29"/>
      <c r="BJ1348" s="29"/>
      <c r="BK1348" s="29"/>
      <c r="BL1348" s="29"/>
      <c r="BM1348" s="29"/>
      <c r="BN1348" s="20">
        <f t="shared" si="155"/>
        <v>0</v>
      </c>
      <c r="BO1348" s="20">
        <f t="shared" si="156"/>
        <v>0</v>
      </c>
      <c r="BP1348" s="20">
        <f t="shared" si="157"/>
        <v>0</v>
      </c>
      <c r="BQ1348" s="51"/>
      <c r="BR1348" s="56"/>
      <c r="BS1348" s="111"/>
      <c r="BT1348" s="36"/>
      <c r="BU1348" s="112"/>
    </row>
    <row r="1349" s="1" customFormat="1" customHeight="1" spans="1:73">
      <c r="A1349" s="15" t="s">
        <v>2139</v>
      </c>
      <c r="B1349" s="15" t="s">
        <v>2140</v>
      </c>
      <c r="C1349" s="16">
        <v>3360</v>
      </c>
      <c r="D1349" s="29"/>
      <c r="E1349" s="30"/>
      <c r="F1349" s="29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30"/>
      <c r="X1349" s="29"/>
      <c r="Y1349" s="29"/>
      <c r="Z1349" s="29"/>
      <c r="AA1349" s="29"/>
      <c r="AB1349" s="29"/>
      <c r="AC1349" s="29"/>
      <c r="AD1349" s="29"/>
      <c r="AE1349" s="30"/>
      <c r="AF1349" s="29"/>
      <c r="AG1349" s="30"/>
      <c r="AH1349" s="29"/>
      <c r="AI1349" s="192"/>
      <c r="AJ1349" s="29"/>
      <c r="AK1349" s="30"/>
      <c r="AL1349" s="29"/>
      <c r="AM1349" s="29"/>
      <c r="AN1349" s="29"/>
      <c r="AO1349" s="29"/>
      <c r="AP1349" s="29"/>
      <c r="AQ1349" s="29"/>
      <c r="AR1349" s="29"/>
      <c r="AS1349" s="29"/>
      <c r="AT1349" s="29"/>
      <c r="AU1349" s="29"/>
      <c r="AV1349" s="29"/>
      <c r="AW1349" s="29"/>
      <c r="AX1349" s="29"/>
      <c r="AY1349" s="29"/>
      <c r="AZ1349" s="29"/>
      <c r="BA1349" s="29"/>
      <c r="BB1349" s="29"/>
      <c r="BC1349" s="29"/>
      <c r="BD1349" s="29"/>
      <c r="BE1349" s="29"/>
      <c r="BF1349" s="29"/>
      <c r="BG1349" s="29"/>
      <c r="BH1349" s="29"/>
      <c r="BI1349" s="29"/>
      <c r="BJ1349" s="29"/>
      <c r="BK1349" s="29"/>
      <c r="BL1349" s="29"/>
      <c r="BM1349" s="29"/>
      <c r="BN1349" s="20">
        <f t="shared" si="155"/>
        <v>0</v>
      </c>
      <c r="BO1349" s="20">
        <f t="shared" si="156"/>
        <v>0</v>
      </c>
      <c r="BP1349" s="20">
        <f t="shared" si="157"/>
        <v>3360</v>
      </c>
      <c r="BQ1349" s="51"/>
      <c r="BR1349" s="56"/>
      <c r="BS1349" s="111"/>
      <c r="BT1349" s="36"/>
      <c r="BU1349" s="112"/>
    </row>
    <row r="1350" s="1" customFormat="1" customHeight="1" spans="1:73">
      <c r="A1350" s="15" t="s">
        <v>2141</v>
      </c>
      <c r="B1350" s="15"/>
      <c r="C1350" s="16">
        <v>2010</v>
      </c>
      <c r="D1350" s="29"/>
      <c r="E1350" s="30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29"/>
      <c r="AB1350" s="29"/>
      <c r="AC1350" s="29"/>
      <c r="AD1350" s="29"/>
      <c r="AE1350" s="29"/>
      <c r="AF1350" s="29"/>
      <c r="AG1350" s="30"/>
      <c r="AH1350" s="29"/>
      <c r="AI1350" s="29"/>
      <c r="AJ1350" s="29"/>
      <c r="AK1350" s="30"/>
      <c r="AL1350" s="29"/>
      <c r="AM1350" s="29"/>
      <c r="AN1350" s="29"/>
      <c r="AO1350" s="29"/>
      <c r="AP1350" s="29"/>
      <c r="AQ1350" s="29"/>
      <c r="AR1350" s="29"/>
      <c r="AS1350" s="29"/>
      <c r="AT1350" s="29"/>
      <c r="AU1350" s="29"/>
      <c r="AV1350" s="29"/>
      <c r="AW1350" s="29"/>
      <c r="AX1350" s="29"/>
      <c r="AY1350" s="29"/>
      <c r="AZ1350" s="29"/>
      <c r="BA1350" s="29"/>
      <c r="BB1350" s="29"/>
      <c r="BC1350" s="29"/>
      <c r="BD1350" s="29"/>
      <c r="BE1350" s="29"/>
      <c r="BF1350" s="29"/>
      <c r="BG1350" s="29"/>
      <c r="BH1350" s="29"/>
      <c r="BI1350" s="29"/>
      <c r="BJ1350" s="29"/>
      <c r="BK1350" s="29"/>
      <c r="BL1350" s="29"/>
      <c r="BM1350" s="29"/>
      <c r="BN1350" s="20">
        <f t="shared" si="155"/>
        <v>0</v>
      </c>
      <c r="BO1350" s="20">
        <f t="shared" si="156"/>
        <v>0</v>
      </c>
      <c r="BP1350" s="20">
        <f t="shared" si="157"/>
        <v>2010</v>
      </c>
      <c r="BQ1350" s="51"/>
      <c r="BR1350" s="56"/>
      <c r="BS1350" s="111"/>
      <c r="BT1350" s="36"/>
      <c r="BU1350" s="112"/>
    </row>
    <row r="1351" s="1" customFormat="1" customHeight="1" spans="1:73">
      <c r="A1351" s="15" t="s">
        <v>2142</v>
      </c>
      <c r="B1351" s="15" t="s">
        <v>2143</v>
      </c>
      <c r="C1351" s="16">
        <v>1145</v>
      </c>
      <c r="D1351" s="29"/>
      <c r="E1351" s="30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29"/>
      <c r="AB1351" s="29"/>
      <c r="AC1351" s="29"/>
      <c r="AD1351" s="29"/>
      <c r="AE1351" s="29"/>
      <c r="AF1351" s="29"/>
      <c r="AG1351" s="29"/>
      <c r="AH1351" s="29"/>
      <c r="AI1351" s="29"/>
      <c r="AJ1351" s="29"/>
      <c r="AK1351" s="30"/>
      <c r="AL1351" s="29"/>
      <c r="AM1351" s="29"/>
      <c r="AN1351" s="29"/>
      <c r="AO1351" s="29"/>
      <c r="AP1351" s="29"/>
      <c r="AQ1351" s="29"/>
      <c r="AR1351" s="29"/>
      <c r="AS1351" s="29"/>
      <c r="AT1351" s="29"/>
      <c r="AU1351" s="29"/>
      <c r="AV1351" s="29"/>
      <c r="AW1351" s="29"/>
      <c r="AX1351" s="29"/>
      <c r="AY1351" s="29"/>
      <c r="AZ1351" s="29"/>
      <c r="BA1351" s="29"/>
      <c r="BB1351" s="29"/>
      <c r="BC1351" s="29"/>
      <c r="BD1351" s="29"/>
      <c r="BE1351" s="29"/>
      <c r="BF1351" s="29"/>
      <c r="BG1351" s="29"/>
      <c r="BH1351" s="29"/>
      <c r="BI1351" s="29"/>
      <c r="BJ1351" s="29"/>
      <c r="BK1351" s="29"/>
      <c r="BL1351" s="29"/>
      <c r="BM1351" s="29"/>
      <c r="BN1351" s="20">
        <f t="shared" si="155"/>
        <v>0</v>
      </c>
      <c r="BO1351" s="20">
        <f t="shared" si="156"/>
        <v>0</v>
      </c>
      <c r="BP1351" s="20">
        <f t="shared" si="157"/>
        <v>1145</v>
      </c>
      <c r="BQ1351" s="51"/>
      <c r="BR1351" s="56"/>
      <c r="BS1351" s="111" t="s">
        <v>2144</v>
      </c>
      <c r="BT1351" s="36"/>
      <c r="BU1351" s="112"/>
    </row>
    <row r="1352" s="1" customFormat="1" customHeight="1" spans="1:73">
      <c r="A1352" s="15" t="s">
        <v>2145</v>
      </c>
      <c r="B1352" s="15" t="s">
        <v>2146</v>
      </c>
      <c r="C1352" s="16">
        <v>130</v>
      </c>
      <c r="D1352" s="29"/>
      <c r="E1352" s="30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29"/>
      <c r="AB1352" s="29"/>
      <c r="AC1352" s="29"/>
      <c r="AD1352" s="29"/>
      <c r="AE1352" s="29"/>
      <c r="AF1352" s="29"/>
      <c r="AG1352" s="30"/>
      <c r="AH1352" s="29"/>
      <c r="AI1352" s="29"/>
      <c r="AJ1352" s="29"/>
      <c r="AK1352" s="30"/>
      <c r="AL1352" s="29"/>
      <c r="AM1352" s="29"/>
      <c r="AN1352" s="29"/>
      <c r="AO1352" s="29"/>
      <c r="AP1352" s="29"/>
      <c r="AQ1352" s="29"/>
      <c r="AR1352" s="29"/>
      <c r="AS1352" s="29"/>
      <c r="AT1352" s="29"/>
      <c r="AU1352" s="29"/>
      <c r="AV1352" s="29"/>
      <c r="AW1352" s="29"/>
      <c r="AX1352" s="29"/>
      <c r="AY1352" s="29"/>
      <c r="AZ1352" s="29"/>
      <c r="BA1352" s="29"/>
      <c r="BB1352" s="29"/>
      <c r="BC1352" s="29"/>
      <c r="BD1352" s="29"/>
      <c r="BE1352" s="29"/>
      <c r="BF1352" s="29"/>
      <c r="BG1352" s="29"/>
      <c r="BH1352" s="29"/>
      <c r="BI1352" s="29"/>
      <c r="BJ1352" s="29"/>
      <c r="BK1352" s="29"/>
      <c r="BL1352" s="29"/>
      <c r="BM1352" s="29"/>
      <c r="BN1352" s="20">
        <f t="shared" si="155"/>
        <v>0</v>
      </c>
      <c r="BO1352" s="20">
        <f t="shared" si="156"/>
        <v>0</v>
      </c>
      <c r="BP1352" s="20">
        <f t="shared" si="157"/>
        <v>130</v>
      </c>
      <c r="BQ1352" s="51"/>
      <c r="BR1352" s="56"/>
      <c r="BS1352" s="111"/>
      <c r="BT1352" s="36"/>
      <c r="BU1352" s="112"/>
    </row>
    <row r="1353" s="1" customFormat="1" customHeight="1" spans="1:73">
      <c r="A1353" s="15" t="s">
        <v>2147</v>
      </c>
      <c r="B1353" s="15" t="s">
        <v>2148</v>
      </c>
      <c r="C1353" s="16">
        <v>80</v>
      </c>
      <c r="D1353" s="29"/>
      <c r="E1353" s="30"/>
      <c r="F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29"/>
      <c r="AB1353" s="29"/>
      <c r="AC1353" s="29"/>
      <c r="AD1353" s="29"/>
      <c r="AE1353" s="29"/>
      <c r="AF1353" s="29"/>
      <c r="AG1353" s="30"/>
      <c r="AH1353" s="29"/>
      <c r="AI1353" s="29"/>
      <c r="AJ1353" s="29"/>
      <c r="AK1353" s="30"/>
      <c r="AL1353" s="29"/>
      <c r="AM1353" s="29"/>
      <c r="AN1353" s="29"/>
      <c r="AO1353" s="29"/>
      <c r="AP1353" s="29"/>
      <c r="AQ1353" s="29"/>
      <c r="AR1353" s="29"/>
      <c r="AS1353" s="29"/>
      <c r="AT1353" s="29"/>
      <c r="AU1353" s="29"/>
      <c r="AV1353" s="29"/>
      <c r="AW1353" s="29"/>
      <c r="AX1353" s="29"/>
      <c r="AY1353" s="29"/>
      <c r="AZ1353" s="29"/>
      <c r="BA1353" s="29"/>
      <c r="BB1353" s="29"/>
      <c r="BC1353" s="29"/>
      <c r="BD1353" s="29"/>
      <c r="BE1353" s="29"/>
      <c r="BF1353" s="29"/>
      <c r="BG1353" s="29"/>
      <c r="BH1353" s="29"/>
      <c r="BI1353" s="29"/>
      <c r="BJ1353" s="29"/>
      <c r="BK1353" s="29"/>
      <c r="BL1353" s="29"/>
      <c r="BM1353" s="29"/>
      <c r="BN1353" s="20">
        <f t="shared" si="155"/>
        <v>0</v>
      </c>
      <c r="BO1353" s="20">
        <f t="shared" si="156"/>
        <v>0</v>
      </c>
      <c r="BP1353" s="20">
        <f t="shared" si="157"/>
        <v>80</v>
      </c>
      <c r="BQ1353" s="51"/>
      <c r="BR1353" s="56"/>
      <c r="BS1353" s="111"/>
      <c r="BT1353" s="36"/>
      <c r="BU1353" s="112"/>
    </row>
    <row r="1354" s="1" customFormat="1" customHeight="1" spans="1:73">
      <c r="A1354" s="15" t="s">
        <v>2149</v>
      </c>
      <c r="B1354" s="15" t="s">
        <v>2150</v>
      </c>
      <c r="C1354" s="16">
        <v>190</v>
      </c>
      <c r="D1354" s="29"/>
      <c r="E1354" s="30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29"/>
      <c r="AB1354" s="29"/>
      <c r="AC1354" s="29"/>
      <c r="AD1354" s="29"/>
      <c r="AE1354" s="29"/>
      <c r="AF1354" s="29"/>
      <c r="AG1354" s="30"/>
      <c r="AH1354" s="29"/>
      <c r="AI1354" s="29"/>
      <c r="AJ1354" s="29"/>
      <c r="AK1354" s="30"/>
      <c r="AL1354" s="29"/>
      <c r="AM1354" s="29"/>
      <c r="AN1354" s="29"/>
      <c r="AO1354" s="29"/>
      <c r="AP1354" s="29"/>
      <c r="AQ1354" s="29"/>
      <c r="AR1354" s="29"/>
      <c r="AS1354" s="29"/>
      <c r="AT1354" s="29"/>
      <c r="AU1354" s="29"/>
      <c r="AV1354" s="29"/>
      <c r="AW1354" s="29"/>
      <c r="AX1354" s="29"/>
      <c r="AY1354" s="29"/>
      <c r="AZ1354" s="29"/>
      <c r="BA1354" s="29"/>
      <c r="BB1354" s="29"/>
      <c r="BC1354" s="29"/>
      <c r="BD1354" s="29"/>
      <c r="BE1354" s="29"/>
      <c r="BF1354" s="29"/>
      <c r="BG1354" s="29"/>
      <c r="BH1354" s="29"/>
      <c r="BI1354" s="29"/>
      <c r="BJ1354" s="29"/>
      <c r="BK1354" s="29"/>
      <c r="BL1354" s="29"/>
      <c r="BM1354" s="29"/>
      <c r="BN1354" s="20">
        <f t="shared" si="155"/>
        <v>0</v>
      </c>
      <c r="BO1354" s="20">
        <f t="shared" si="156"/>
        <v>0</v>
      </c>
      <c r="BP1354" s="20">
        <f t="shared" si="157"/>
        <v>190</v>
      </c>
      <c r="BQ1354" s="51"/>
      <c r="BR1354" s="56"/>
      <c r="BS1354" s="111" t="s">
        <v>2151</v>
      </c>
      <c r="BT1354" s="36"/>
      <c r="BU1354" s="112"/>
    </row>
    <row r="1355" s="1" customFormat="1" customHeight="1" spans="1:73">
      <c r="A1355" s="15" t="s">
        <v>2152</v>
      </c>
      <c r="B1355" s="15" t="s">
        <v>2153</v>
      </c>
      <c r="C1355" s="16">
        <v>3195</v>
      </c>
      <c r="D1355" s="29"/>
      <c r="E1355" s="30"/>
      <c r="F1355" s="29"/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29"/>
      <c r="AB1355" s="29"/>
      <c r="AC1355" s="29"/>
      <c r="AD1355" s="29"/>
      <c r="AE1355" s="29"/>
      <c r="AF1355" s="29"/>
      <c r="AG1355" s="30"/>
      <c r="AH1355" s="29"/>
      <c r="AI1355" s="29"/>
      <c r="AJ1355" s="29"/>
      <c r="AK1355" s="30"/>
      <c r="AL1355" s="29"/>
      <c r="AM1355" s="29"/>
      <c r="AN1355" s="29"/>
      <c r="AO1355" s="29"/>
      <c r="AP1355" s="29"/>
      <c r="AQ1355" s="29"/>
      <c r="AR1355" s="29"/>
      <c r="AS1355" s="29"/>
      <c r="AT1355" s="29"/>
      <c r="AU1355" s="29"/>
      <c r="AV1355" s="29"/>
      <c r="AW1355" s="29"/>
      <c r="AX1355" s="29"/>
      <c r="AY1355" s="29"/>
      <c r="AZ1355" s="29"/>
      <c r="BA1355" s="29"/>
      <c r="BB1355" s="29"/>
      <c r="BC1355" s="29"/>
      <c r="BD1355" s="29"/>
      <c r="BE1355" s="29"/>
      <c r="BF1355" s="29"/>
      <c r="BG1355" s="29"/>
      <c r="BH1355" s="29"/>
      <c r="BI1355" s="29"/>
      <c r="BJ1355" s="29"/>
      <c r="BK1355" s="29"/>
      <c r="BL1355" s="29"/>
      <c r="BM1355" s="29"/>
      <c r="BN1355" s="20">
        <f t="shared" si="155"/>
        <v>0</v>
      </c>
      <c r="BO1355" s="20">
        <f t="shared" si="156"/>
        <v>0</v>
      </c>
      <c r="BP1355" s="20">
        <f t="shared" si="157"/>
        <v>3195</v>
      </c>
      <c r="BQ1355" s="51"/>
      <c r="BR1355" s="56"/>
      <c r="BS1355" s="111" t="s">
        <v>2151</v>
      </c>
      <c r="BT1355" s="36"/>
      <c r="BU1355" s="112"/>
    </row>
    <row r="1356" s="1" customFormat="1" customHeight="1" spans="1:73">
      <c r="A1356" s="15" t="s">
        <v>2154</v>
      </c>
      <c r="B1356" s="15" t="s">
        <v>2155</v>
      </c>
      <c r="C1356" s="16">
        <v>-4095</v>
      </c>
      <c r="D1356" s="29">
        <v>6000</v>
      </c>
      <c r="E1356" s="30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29"/>
      <c r="AB1356" s="29"/>
      <c r="AC1356" s="29"/>
      <c r="AD1356" s="29"/>
      <c r="AE1356" s="29"/>
      <c r="AF1356" s="29"/>
      <c r="AG1356" s="29"/>
      <c r="AH1356" s="29"/>
      <c r="AI1356" s="29"/>
      <c r="AJ1356" s="29"/>
      <c r="AK1356" s="30"/>
      <c r="AL1356" s="29"/>
      <c r="AM1356" s="29"/>
      <c r="AN1356" s="29"/>
      <c r="AO1356" s="29"/>
      <c r="AP1356" s="29"/>
      <c r="AQ1356" s="29"/>
      <c r="AR1356" s="29"/>
      <c r="AS1356" s="29"/>
      <c r="AT1356" s="29"/>
      <c r="AU1356" s="29"/>
      <c r="AV1356" s="29"/>
      <c r="AW1356" s="29"/>
      <c r="AX1356" s="29"/>
      <c r="AY1356" s="29"/>
      <c r="AZ1356" s="29"/>
      <c r="BA1356" s="29"/>
      <c r="BB1356" s="29"/>
      <c r="BC1356" s="29"/>
      <c r="BD1356" s="29"/>
      <c r="BE1356" s="29"/>
      <c r="BF1356" s="29"/>
      <c r="BG1356" s="29"/>
      <c r="BH1356" s="29"/>
      <c r="BI1356" s="29"/>
      <c r="BJ1356" s="29"/>
      <c r="BK1356" s="29"/>
      <c r="BL1356" s="29"/>
      <c r="BM1356" s="29"/>
      <c r="BN1356" s="20">
        <f t="shared" si="155"/>
        <v>6000</v>
      </c>
      <c r="BO1356" s="20">
        <f t="shared" si="156"/>
        <v>0</v>
      </c>
      <c r="BP1356" s="20">
        <f t="shared" si="157"/>
        <v>1905</v>
      </c>
      <c r="BQ1356" s="51"/>
      <c r="BR1356" s="56"/>
      <c r="BS1356" s="111" t="s">
        <v>2156</v>
      </c>
      <c r="BT1356" s="36"/>
      <c r="BU1356" s="112"/>
    </row>
    <row r="1357" s="1" customFormat="1" customHeight="1" spans="1:73">
      <c r="A1357" s="15" t="s">
        <v>2157</v>
      </c>
      <c r="B1357" s="15"/>
      <c r="C1357" s="16">
        <v>1750</v>
      </c>
      <c r="D1357" s="29"/>
      <c r="E1357" s="30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29"/>
      <c r="AB1357" s="29"/>
      <c r="AC1357" s="29"/>
      <c r="AD1357" s="29"/>
      <c r="AE1357" s="29"/>
      <c r="AF1357" s="29"/>
      <c r="AG1357" s="30"/>
      <c r="AH1357" s="29"/>
      <c r="AI1357" s="29"/>
      <c r="AJ1357" s="29"/>
      <c r="AK1357" s="30"/>
      <c r="AL1357" s="29"/>
      <c r="AM1357" s="29"/>
      <c r="AN1357" s="29"/>
      <c r="AO1357" s="29"/>
      <c r="AP1357" s="29"/>
      <c r="AQ1357" s="29"/>
      <c r="AR1357" s="29"/>
      <c r="AS1357" s="29"/>
      <c r="AT1357" s="29"/>
      <c r="AU1357" s="29"/>
      <c r="AV1357" s="29"/>
      <c r="AW1357" s="29"/>
      <c r="AX1357" s="29"/>
      <c r="AY1357" s="29"/>
      <c r="AZ1357" s="29"/>
      <c r="BA1357" s="29"/>
      <c r="BB1357" s="29"/>
      <c r="BC1357" s="29"/>
      <c r="BD1357" s="29"/>
      <c r="BE1357" s="29"/>
      <c r="BF1357" s="29"/>
      <c r="BG1357" s="29"/>
      <c r="BH1357" s="29"/>
      <c r="BI1357" s="29"/>
      <c r="BJ1357" s="29"/>
      <c r="BK1357" s="29"/>
      <c r="BL1357" s="29"/>
      <c r="BM1357" s="29"/>
      <c r="BN1357" s="20">
        <f t="shared" si="155"/>
        <v>0</v>
      </c>
      <c r="BO1357" s="20">
        <f t="shared" si="156"/>
        <v>0</v>
      </c>
      <c r="BP1357" s="20">
        <f t="shared" si="157"/>
        <v>1750</v>
      </c>
      <c r="BQ1357" s="51"/>
      <c r="BR1357" s="56"/>
      <c r="BS1357" s="111" t="s">
        <v>2158</v>
      </c>
      <c r="BT1357" s="36"/>
      <c r="BU1357" s="112"/>
    </row>
    <row r="1358" s="1" customFormat="1" customHeight="1" spans="1:73">
      <c r="A1358" s="15" t="s">
        <v>2159</v>
      </c>
      <c r="B1358" s="15"/>
      <c r="C1358" s="16">
        <v>2080</v>
      </c>
      <c r="D1358" s="29"/>
      <c r="E1358" s="30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29"/>
      <c r="AB1358" s="29"/>
      <c r="AC1358" s="29"/>
      <c r="AD1358" s="29"/>
      <c r="AE1358" s="29"/>
      <c r="AF1358" s="29"/>
      <c r="AG1358" s="30"/>
      <c r="AH1358" s="29"/>
      <c r="AI1358" s="29"/>
      <c r="AJ1358" s="29"/>
      <c r="AK1358" s="30"/>
      <c r="AL1358" s="29"/>
      <c r="AM1358" s="29"/>
      <c r="AN1358" s="29"/>
      <c r="AO1358" s="29"/>
      <c r="AP1358" s="29"/>
      <c r="AQ1358" s="29"/>
      <c r="AR1358" s="29"/>
      <c r="AS1358" s="29"/>
      <c r="AT1358" s="29"/>
      <c r="AU1358" s="29"/>
      <c r="AV1358" s="29"/>
      <c r="AW1358" s="29"/>
      <c r="AX1358" s="29"/>
      <c r="AY1358" s="29"/>
      <c r="AZ1358" s="29"/>
      <c r="BA1358" s="29"/>
      <c r="BB1358" s="29"/>
      <c r="BC1358" s="29"/>
      <c r="BD1358" s="29"/>
      <c r="BE1358" s="29"/>
      <c r="BF1358" s="29"/>
      <c r="BG1358" s="29"/>
      <c r="BH1358" s="29"/>
      <c r="BI1358" s="29"/>
      <c r="BJ1358" s="29"/>
      <c r="BK1358" s="29"/>
      <c r="BL1358" s="29"/>
      <c r="BM1358" s="29"/>
      <c r="BN1358" s="20">
        <f t="shared" si="155"/>
        <v>0</v>
      </c>
      <c r="BO1358" s="20">
        <f t="shared" si="156"/>
        <v>0</v>
      </c>
      <c r="BP1358" s="20">
        <f t="shared" si="157"/>
        <v>2080</v>
      </c>
      <c r="BQ1358" s="51"/>
      <c r="BR1358" s="56"/>
      <c r="BS1358" s="111" t="s">
        <v>2077</v>
      </c>
      <c r="BT1358" s="36"/>
      <c r="BU1358" s="112"/>
    </row>
    <row r="1359" s="1" customFormat="1" customHeight="1" spans="1:73">
      <c r="A1359" s="15" t="s">
        <v>2160</v>
      </c>
      <c r="B1359" s="15"/>
      <c r="C1359" s="16">
        <v>3000</v>
      </c>
      <c r="D1359" s="29"/>
      <c r="E1359" s="30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30"/>
      <c r="X1359" s="29"/>
      <c r="Y1359" s="29"/>
      <c r="Z1359" s="29"/>
      <c r="AA1359" s="29"/>
      <c r="AB1359" s="29"/>
      <c r="AC1359" s="29"/>
      <c r="AD1359" s="29"/>
      <c r="AE1359" s="30"/>
      <c r="AF1359" s="29"/>
      <c r="AG1359" s="30"/>
      <c r="AH1359" s="29"/>
      <c r="AI1359" s="29"/>
      <c r="AJ1359" s="29"/>
      <c r="AK1359" s="30"/>
      <c r="AL1359" s="29"/>
      <c r="AM1359" s="29"/>
      <c r="AN1359" s="29"/>
      <c r="AO1359" s="29"/>
      <c r="AP1359" s="29"/>
      <c r="AQ1359" s="29"/>
      <c r="AR1359" s="29"/>
      <c r="AS1359" s="29"/>
      <c r="AT1359" s="29"/>
      <c r="AU1359" s="29"/>
      <c r="AV1359" s="29"/>
      <c r="AW1359" s="29"/>
      <c r="AX1359" s="29"/>
      <c r="AY1359" s="29"/>
      <c r="AZ1359" s="29"/>
      <c r="BA1359" s="29"/>
      <c r="BB1359" s="29"/>
      <c r="BC1359" s="29"/>
      <c r="BD1359" s="29"/>
      <c r="BE1359" s="29"/>
      <c r="BF1359" s="29"/>
      <c r="BG1359" s="29"/>
      <c r="BH1359" s="29"/>
      <c r="BI1359" s="29"/>
      <c r="BJ1359" s="29"/>
      <c r="BK1359" s="29"/>
      <c r="BL1359" s="29"/>
      <c r="BM1359" s="29"/>
      <c r="BN1359" s="20">
        <f t="shared" si="155"/>
        <v>0</v>
      </c>
      <c r="BO1359" s="20">
        <f t="shared" si="156"/>
        <v>0</v>
      </c>
      <c r="BP1359" s="20">
        <f t="shared" si="157"/>
        <v>3000</v>
      </c>
      <c r="BQ1359" s="51"/>
      <c r="BR1359" s="56"/>
      <c r="BS1359" s="111"/>
      <c r="BT1359" s="36"/>
      <c r="BU1359" s="112"/>
    </row>
    <row r="1360" s="1" customFormat="1" customHeight="1" spans="1:73">
      <c r="A1360" s="15" t="s">
        <v>2161</v>
      </c>
      <c r="B1360" s="15" t="s">
        <v>2162</v>
      </c>
      <c r="C1360" s="16">
        <v>3748</v>
      </c>
      <c r="D1360" s="29"/>
      <c r="E1360" s="30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30"/>
      <c r="X1360" s="29"/>
      <c r="Y1360" s="29"/>
      <c r="Z1360" s="29"/>
      <c r="AA1360" s="29"/>
      <c r="AB1360" s="29"/>
      <c r="AC1360" s="29"/>
      <c r="AD1360" s="29"/>
      <c r="AE1360" s="30"/>
      <c r="AF1360" s="29"/>
      <c r="AG1360" s="30"/>
      <c r="AH1360" s="29"/>
      <c r="AI1360" s="29"/>
      <c r="AJ1360" s="29"/>
      <c r="AK1360" s="30"/>
      <c r="AL1360" s="29"/>
      <c r="AM1360" s="29"/>
      <c r="AN1360" s="29"/>
      <c r="AO1360" s="29"/>
      <c r="AP1360" s="29"/>
      <c r="AQ1360" s="29"/>
      <c r="AR1360" s="29"/>
      <c r="AS1360" s="29"/>
      <c r="AT1360" s="29"/>
      <c r="AU1360" s="29"/>
      <c r="AV1360" s="29"/>
      <c r="AW1360" s="29"/>
      <c r="AX1360" s="29"/>
      <c r="AY1360" s="29"/>
      <c r="AZ1360" s="29"/>
      <c r="BA1360" s="29"/>
      <c r="BB1360" s="29"/>
      <c r="BC1360" s="29"/>
      <c r="BD1360" s="29"/>
      <c r="BE1360" s="29"/>
      <c r="BF1360" s="29"/>
      <c r="BG1360" s="29"/>
      <c r="BH1360" s="29"/>
      <c r="BI1360" s="29"/>
      <c r="BJ1360" s="29"/>
      <c r="BK1360" s="29"/>
      <c r="BL1360" s="29"/>
      <c r="BM1360" s="29"/>
      <c r="BN1360" s="20">
        <f t="shared" si="155"/>
        <v>0</v>
      </c>
      <c r="BO1360" s="20">
        <f t="shared" si="156"/>
        <v>0</v>
      </c>
      <c r="BP1360" s="20">
        <f t="shared" si="157"/>
        <v>3748</v>
      </c>
      <c r="BQ1360" s="51"/>
      <c r="BR1360" s="56"/>
      <c r="BS1360" s="111" t="s">
        <v>2163</v>
      </c>
      <c r="BT1360" s="36"/>
      <c r="BU1360" s="112"/>
    </row>
    <row r="1361" s="1" customFormat="1" customHeight="1" spans="1:73">
      <c r="A1361" s="15" t="s">
        <v>2164</v>
      </c>
      <c r="B1361" s="15"/>
      <c r="C1361" s="16">
        <v>480</v>
      </c>
      <c r="D1361" s="29"/>
      <c r="E1361" s="30"/>
      <c r="F1361" s="29"/>
      <c r="G1361" s="29"/>
      <c r="H1361" s="29"/>
      <c r="I1361" s="29"/>
      <c r="J1361" s="29"/>
      <c r="K1361" s="29"/>
      <c r="L1361" s="29"/>
      <c r="M1361" s="29"/>
      <c r="N1361" s="29"/>
      <c r="O1361" s="82"/>
      <c r="P1361" s="29"/>
      <c r="Q1361" s="29"/>
      <c r="R1361" s="29"/>
      <c r="S1361" s="29"/>
      <c r="T1361" s="29"/>
      <c r="U1361" s="29"/>
      <c r="V1361" s="29"/>
      <c r="W1361" s="29"/>
      <c r="X1361" s="29"/>
      <c r="Y1361" s="29"/>
      <c r="Z1361" s="193"/>
      <c r="AA1361" s="29"/>
      <c r="AB1361" s="29"/>
      <c r="AC1361" s="29"/>
      <c r="AD1361" s="29"/>
      <c r="AE1361" s="29"/>
      <c r="AF1361" s="29"/>
      <c r="AG1361" s="30"/>
      <c r="AH1361" s="29"/>
      <c r="AI1361" s="29"/>
      <c r="AJ1361" s="29"/>
      <c r="AK1361" s="30"/>
      <c r="AL1361" s="29"/>
      <c r="AM1361" s="18"/>
      <c r="AN1361" s="18"/>
      <c r="AO1361" s="29"/>
      <c r="AP1361" s="29"/>
      <c r="AQ1361" s="29"/>
      <c r="AR1361" s="29"/>
      <c r="AS1361" s="29"/>
      <c r="AT1361" s="29"/>
      <c r="AU1361" s="29"/>
      <c r="AV1361" s="29"/>
      <c r="AW1361" s="29"/>
      <c r="AX1361" s="29"/>
      <c r="AY1361" s="29"/>
      <c r="AZ1361" s="29"/>
      <c r="BA1361" s="29"/>
      <c r="BB1361" s="29"/>
      <c r="BC1361" s="30"/>
      <c r="BD1361" s="29"/>
      <c r="BE1361" s="29"/>
      <c r="BF1361" s="29"/>
      <c r="BG1361" s="29"/>
      <c r="BH1361" s="29"/>
      <c r="BI1361" s="29"/>
      <c r="BJ1361" s="29"/>
      <c r="BK1361" s="82"/>
      <c r="BL1361" s="29"/>
      <c r="BM1361" s="29"/>
      <c r="BN1361" s="20">
        <f t="shared" si="155"/>
        <v>0</v>
      </c>
      <c r="BO1361" s="20">
        <f t="shared" si="156"/>
        <v>0</v>
      </c>
      <c r="BP1361" s="20">
        <f t="shared" si="157"/>
        <v>480</v>
      </c>
      <c r="BQ1361" s="51"/>
      <c r="BR1361" s="56"/>
      <c r="BS1361" s="111"/>
      <c r="BT1361" s="36"/>
      <c r="BU1361" s="112"/>
    </row>
    <row r="1362" s="1" customFormat="1" customHeight="1" spans="1:73">
      <c r="A1362" s="15" t="s">
        <v>2165</v>
      </c>
      <c r="B1362" s="15"/>
      <c r="C1362" s="16">
        <v>-1580</v>
      </c>
      <c r="D1362" s="29"/>
      <c r="E1362" s="30"/>
      <c r="F1362" s="29"/>
      <c r="G1362" s="29"/>
      <c r="H1362" s="29"/>
      <c r="I1362" s="29"/>
      <c r="J1362" s="29"/>
      <c r="K1362" s="29"/>
      <c r="L1362" s="29"/>
      <c r="M1362" s="29"/>
      <c r="N1362" s="29"/>
      <c r="O1362" s="82"/>
      <c r="P1362" s="29"/>
      <c r="Q1362" s="29"/>
      <c r="R1362" s="29"/>
      <c r="S1362" s="29"/>
      <c r="T1362" s="29"/>
      <c r="U1362" s="29"/>
      <c r="V1362" s="29"/>
      <c r="W1362" s="29"/>
      <c r="X1362" s="29"/>
      <c r="Y1362" s="29"/>
      <c r="Z1362" s="193"/>
      <c r="AA1362" s="29"/>
      <c r="AB1362" s="29"/>
      <c r="AC1362" s="29"/>
      <c r="AD1362" s="29"/>
      <c r="AE1362" s="29"/>
      <c r="AF1362" s="29"/>
      <c r="AG1362" s="30"/>
      <c r="AH1362" s="29"/>
      <c r="AI1362" s="29"/>
      <c r="AJ1362" s="29"/>
      <c r="AK1362" s="30"/>
      <c r="AL1362" s="29"/>
      <c r="AM1362" s="18"/>
      <c r="AN1362" s="18"/>
      <c r="AO1362" s="29"/>
      <c r="AP1362" s="29"/>
      <c r="AQ1362" s="29"/>
      <c r="AR1362" s="29"/>
      <c r="AS1362" s="29"/>
      <c r="AT1362" s="29"/>
      <c r="AU1362" s="29"/>
      <c r="AV1362" s="29"/>
      <c r="AW1362" s="29"/>
      <c r="AX1362" s="29"/>
      <c r="AY1362" s="29"/>
      <c r="AZ1362" s="29"/>
      <c r="BA1362" s="29"/>
      <c r="BB1362" s="29"/>
      <c r="BC1362" s="30"/>
      <c r="BD1362" s="29"/>
      <c r="BE1362" s="29"/>
      <c r="BF1362" s="29"/>
      <c r="BG1362" s="29"/>
      <c r="BH1362" s="29"/>
      <c r="BI1362" s="29"/>
      <c r="BJ1362" s="29"/>
      <c r="BK1362" s="82"/>
      <c r="BL1362" s="29"/>
      <c r="BM1362" s="29"/>
      <c r="BN1362" s="20">
        <f t="shared" si="155"/>
        <v>0</v>
      </c>
      <c r="BO1362" s="20">
        <f t="shared" si="156"/>
        <v>0</v>
      </c>
      <c r="BP1362" s="20">
        <f t="shared" si="157"/>
        <v>-1580</v>
      </c>
      <c r="BQ1362" s="51"/>
      <c r="BR1362" s="56"/>
      <c r="BS1362" s="111"/>
      <c r="BT1362" s="36"/>
      <c r="BU1362" s="112"/>
    </row>
    <row r="1363" s="1" customFormat="1" customHeight="1" spans="1:73">
      <c r="A1363" s="15" t="s">
        <v>2166</v>
      </c>
      <c r="B1363" s="15" t="s">
        <v>2167</v>
      </c>
      <c r="C1363" s="16">
        <v>6090</v>
      </c>
      <c r="D1363" s="29"/>
      <c r="E1363" s="30"/>
      <c r="F1363" s="29"/>
      <c r="G1363" s="29"/>
      <c r="H1363" s="29"/>
      <c r="I1363" s="29"/>
      <c r="J1363" s="29"/>
      <c r="K1363" s="29"/>
      <c r="L1363" s="29"/>
      <c r="M1363" s="29"/>
      <c r="N1363" s="29"/>
      <c r="O1363" s="82"/>
      <c r="P1363" s="29"/>
      <c r="Q1363" s="30"/>
      <c r="R1363" s="29"/>
      <c r="S1363" s="29"/>
      <c r="T1363" s="29"/>
      <c r="U1363" s="29"/>
      <c r="V1363" s="29"/>
      <c r="W1363" s="29"/>
      <c r="X1363" s="29"/>
      <c r="Y1363" s="29"/>
      <c r="Z1363" s="29"/>
      <c r="AA1363" s="29"/>
      <c r="AB1363" s="29"/>
      <c r="AC1363" s="190"/>
      <c r="AD1363" s="29"/>
      <c r="AE1363" s="190"/>
      <c r="AF1363" s="29"/>
      <c r="AG1363" s="30"/>
      <c r="AH1363" s="29"/>
      <c r="AI1363" s="29"/>
      <c r="AJ1363" s="29"/>
      <c r="AK1363" s="30"/>
      <c r="AL1363" s="29"/>
      <c r="AM1363" s="29"/>
      <c r="AN1363" s="18"/>
      <c r="AO1363" s="29"/>
      <c r="AP1363" s="29"/>
      <c r="AQ1363" s="29"/>
      <c r="AR1363" s="29"/>
      <c r="AS1363" s="29"/>
      <c r="AT1363" s="29"/>
      <c r="AU1363" s="29"/>
      <c r="AV1363" s="29"/>
      <c r="AW1363" s="29"/>
      <c r="AX1363" s="29"/>
      <c r="AY1363" s="29"/>
      <c r="AZ1363" s="29"/>
      <c r="BA1363" s="29"/>
      <c r="BB1363" s="29"/>
      <c r="BC1363" s="29"/>
      <c r="BD1363" s="29"/>
      <c r="BE1363" s="29"/>
      <c r="BF1363" s="29"/>
      <c r="BG1363" s="29"/>
      <c r="BH1363" s="29"/>
      <c r="BI1363" s="29"/>
      <c r="BJ1363" s="29"/>
      <c r="BK1363" s="190"/>
      <c r="BL1363" s="29"/>
      <c r="BM1363" s="29"/>
      <c r="BN1363" s="20">
        <f t="shared" si="155"/>
        <v>0</v>
      </c>
      <c r="BO1363" s="20">
        <f t="shared" si="156"/>
        <v>0</v>
      </c>
      <c r="BP1363" s="20">
        <f t="shared" si="157"/>
        <v>6090</v>
      </c>
      <c r="BQ1363" s="51"/>
      <c r="BR1363" s="56"/>
      <c r="BS1363" s="111"/>
      <c r="BT1363" s="36"/>
      <c r="BU1363" s="112"/>
    </row>
    <row r="1364" s="1" customFormat="1" customHeight="1" spans="1:73">
      <c r="A1364" s="15" t="s">
        <v>2168</v>
      </c>
      <c r="B1364" s="15" t="s">
        <v>2169</v>
      </c>
      <c r="C1364" s="16">
        <v>15108</v>
      </c>
      <c r="D1364" s="29"/>
      <c r="E1364" s="30"/>
      <c r="F1364" s="29"/>
      <c r="G1364" s="29"/>
      <c r="H1364" s="29"/>
      <c r="I1364" s="29"/>
      <c r="J1364" s="29"/>
      <c r="K1364" s="29"/>
      <c r="L1364" s="29"/>
      <c r="M1364" s="29"/>
      <c r="N1364" s="29"/>
      <c r="O1364" s="30"/>
      <c r="P1364" s="29"/>
      <c r="Q1364" s="30"/>
      <c r="R1364" s="29"/>
      <c r="S1364" s="29"/>
      <c r="T1364" s="29"/>
      <c r="U1364" s="29"/>
      <c r="V1364" s="29"/>
      <c r="W1364" s="29"/>
      <c r="X1364" s="29"/>
      <c r="Y1364" s="29"/>
      <c r="Z1364" s="29"/>
      <c r="AA1364" s="29"/>
      <c r="AB1364" s="29"/>
      <c r="AC1364" s="29"/>
      <c r="AD1364" s="29"/>
      <c r="AE1364" s="29"/>
      <c r="AF1364" s="29"/>
      <c r="AG1364" s="30"/>
      <c r="AH1364" s="29"/>
      <c r="AI1364" s="29"/>
      <c r="AJ1364" s="29"/>
      <c r="AK1364" s="30"/>
      <c r="AL1364" s="29"/>
      <c r="AM1364" s="29"/>
      <c r="AN1364" s="18"/>
      <c r="AO1364" s="29"/>
      <c r="AP1364" s="29"/>
      <c r="AQ1364" s="29"/>
      <c r="AR1364" s="29"/>
      <c r="AS1364" s="29"/>
      <c r="AT1364" s="29"/>
      <c r="AU1364" s="29"/>
      <c r="AV1364" s="29"/>
      <c r="AW1364" s="29"/>
      <c r="AX1364" s="29"/>
      <c r="AY1364" s="29"/>
      <c r="AZ1364" s="29"/>
      <c r="BA1364" s="29"/>
      <c r="BB1364" s="29"/>
      <c r="BC1364" s="29"/>
      <c r="BD1364" s="29"/>
      <c r="BE1364" s="29"/>
      <c r="BF1364" s="29"/>
      <c r="BG1364" s="29"/>
      <c r="BH1364" s="29"/>
      <c r="BI1364" s="29"/>
      <c r="BJ1364" s="29"/>
      <c r="BK1364" s="29"/>
      <c r="BL1364" s="29"/>
      <c r="BM1364" s="29"/>
      <c r="BN1364" s="20">
        <f t="shared" si="155"/>
        <v>0</v>
      </c>
      <c r="BO1364" s="20">
        <f t="shared" si="156"/>
        <v>0</v>
      </c>
      <c r="BP1364" s="20">
        <f t="shared" si="157"/>
        <v>15108</v>
      </c>
      <c r="BQ1364" s="51"/>
      <c r="BR1364" s="56"/>
      <c r="BS1364" s="111" t="s">
        <v>2170</v>
      </c>
      <c r="BT1364" s="36"/>
      <c r="BU1364" s="112"/>
    </row>
    <row r="1365" s="1" customFormat="1" customHeight="1" spans="1:73">
      <c r="A1365" s="15" t="s">
        <v>2171</v>
      </c>
      <c r="B1365" s="15" t="s">
        <v>2172</v>
      </c>
      <c r="C1365" s="16">
        <v>5373</v>
      </c>
      <c r="D1365" s="29"/>
      <c r="E1365" s="29"/>
      <c r="F1365" s="29"/>
      <c r="G1365" s="29"/>
      <c r="H1365" s="29"/>
      <c r="I1365" s="29">
        <v>28500</v>
      </c>
      <c r="J1365" s="29"/>
      <c r="K1365" s="29">
        <v>120</v>
      </c>
      <c r="L1365" s="29"/>
      <c r="M1365" s="29">
        <v>60</v>
      </c>
      <c r="N1365" s="29"/>
      <c r="O1365" s="29"/>
      <c r="P1365" s="29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29"/>
      <c r="AB1365" s="29"/>
      <c r="AC1365" s="29"/>
      <c r="AD1365" s="29"/>
      <c r="AE1365" s="29"/>
      <c r="AF1365" s="29"/>
      <c r="AG1365" s="30"/>
      <c r="AH1365" s="29"/>
      <c r="AI1365" s="29"/>
      <c r="AJ1365" s="29"/>
      <c r="AK1365" s="30"/>
      <c r="AL1365" s="29"/>
      <c r="AM1365" s="29"/>
      <c r="AN1365" s="18"/>
      <c r="AO1365" s="29"/>
      <c r="AP1365" s="29"/>
      <c r="AQ1365" s="29"/>
      <c r="AR1365" s="29"/>
      <c r="AS1365" s="29"/>
      <c r="AT1365" s="29"/>
      <c r="AU1365" s="29"/>
      <c r="AV1365" s="29"/>
      <c r="AW1365" s="29"/>
      <c r="AX1365" s="29"/>
      <c r="AY1365" s="29"/>
      <c r="AZ1365" s="29"/>
      <c r="BA1365" s="29"/>
      <c r="BB1365" s="29"/>
      <c r="BC1365" s="29"/>
      <c r="BD1365" s="29"/>
      <c r="BE1365" s="29"/>
      <c r="BF1365" s="29"/>
      <c r="BG1365" s="29"/>
      <c r="BH1365" s="29"/>
      <c r="BI1365" s="29"/>
      <c r="BJ1365" s="29"/>
      <c r="BK1365" s="29"/>
      <c r="BL1365" s="29"/>
      <c r="BM1365" s="29"/>
      <c r="BN1365" s="20">
        <f t="shared" si="155"/>
        <v>0</v>
      </c>
      <c r="BO1365" s="20">
        <f t="shared" si="156"/>
        <v>28680</v>
      </c>
      <c r="BP1365" s="20">
        <f t="shared" si="157"/>
        <v>-23307</v>
      </c>
      <c r="BQ1365" s="51"/>
      <c r="BR1365" s="56"/>
      <c r="BS1365" s="111"/>
      <c r="BT1365" s="36"/>
      <c r="BU1365" s="112"/>
    </row>
    <row r="1366" s="1" customFormat="1" customHeight="1" spans="1:73">
      <c r="A1366" s="15" t="s">
        <v>2173</v>
      </c>
      <c r="B1366" s="15" t="s">
        <v>2174</v>
      </c>
      <c r="C1366" s="16">
        <v>19893</v>
      </c>
      <c r="D1366" s="29"/>
      <c r="E1366" s="30"/>
      <c r="F1366" s="29"/>
      <c r="G1366" s="29"/>
      <c r="H1366" s="29"/>
      <c r="I1366" s="29"/>
      <c r="J1366" s="29"/>
      <c r="K1366" s="29">
        <v>120</v>
      </c>
      <c r="L1366" s="29"/>
      <c r="M1366" s="29"/>
      <c r="N1366" s="29"/>
      <c r="O1366" s="30"/>
      <c r="P1366" s="29"/>
      <c r="Q1366" s="30"/>
      <c r="R1366" s="29"/>
      <c r="S1366" s="29"/>
      <c r="T1366" s="29"/>
      <c r="U1366" s="29"/>
      <c r="V1366" s="29"/>
      <c r="W1366" s="29"/>
      <c r="X1366" s="29"/>
      <c r="Y1366" s="29"/>
      <c r="Z1366" s="29"/>
      <c r="AA1366" s="29"/>
      <c r="AB1366" s="29"/>
      <c r="AC1366" s="29"/>
      <c r="AD1366" s="29"/>
      <c r="AE1366" s="29"/>
      <c r="AF1366" s="29"/>
      <c r="AG1366" s="30"/>
      <c r="AH1366" s="29"/>
      <c r="AI1366" s="29"/>
      <c r="AJ1366" s="29"/>
      <c r="AK1366" s="30"/>
      <c r="AL1366" s="29"/>
      <c r="AM1366" s="29"/>
      <c r="AN1366" s="18"/>
      <c r="AO1366" s="29"/>
      <c r="AP1366" s="29"/>
      <c r="AQ1366" s="29"/>
      <c r="AR1366" s="29"/>
      <c r="AS1366" s="29"/>
      <c r="AT1366" s="29"/>
      <c r="AU1366" s="29"/>
      <c r="AV1366" s="29"/>
      <c r="AW1366" s="29"/>
      <c r="AX1366" s="29"/>
      <c r="AY1366" s="29"/>
      <c r="AZ1366" s="29"/>
      <c r="BA1366" s="29"/>
      <c r="BB1366" s="29"/>
      <c r="BC1366" s="29"/>
      <c r="BD1366" s="29"/>
      <c r="BE1366" s="29"/>
      <c r="BF1366" s="29"/>
      <c r="BG1366" s="29"/>
      <c r="BH1366" s="29"/>
      <c r="BI1366" s="29"/>
      <c r="BJ1366" s="29"/>
      <c r="BK1366" s="29"/>
      <c r="BL1366" s="29"/>
      <c r="BM1366" s="29"/>
      <c r="BN1366" s="20">
        <f t="shared" si="155"/>
        <v>0</v>
      </c>
      <c r="BO1366" s="20">
        <f t="shared" si="156"/>
        <v>120</v>
      </c>
      <c r="BP1366" s="20">
        <f t="shared" si="157"/>
        <v>19773</v>
      </c>
      <c r="BQ1366" s="51"/>
      <c r="BR1366" s="56"/>
      <c r="BS1366" s="111"/>
      <c r="BT1366" s="36"/>
      <c r="BU1366" s="112"/>
    </row>
    <row r="1367" s="1" customFormat="1" customHeight="1" spans="1:73">
      <c r="A1367" s="15" t="s">
        <v>2175</v>
      </c>
      <c r="B1367" s="15" t="s">
        <v>2176</v>
      </c>
      <c r="C1367" s="16">
        <v>3865</v>
      </c>
      <c r="D1367" s="29"/>
      <c r="E1367" s="30"/>
      <c r="F1367" s="29"/>
      <c r="G1367" s="29"/>
      <c r="H1367" s="29"/>
      <c r="I1367" s="29">
        <v>110</v>
      </c>
      <c r="J1367" s="29"/>
      <c r="K1367" s="29"/>
      <c r="L1367" s="29"/>
      <c r="M1367" s="29"/>
      <c r="N1367" s="29"/>
      <c r="O1367" s="29"/>
      <c r="P1367" s="29"/>
      <c r="Q1367" s="30"/>
      <c r="R1367" s="29"/>
      <c r="S1367" s="29"/>
      <c r="T1367" s="29"/>
      <c r="U1367" s="29"/>
      <c r="V1367" s="29"/>
      <c r="W1367" s="29"/>
      <c r="X1367" s="29"/>
      <c r="Y1367" s="29"/>
      <c r="Z1367" s="29"/>
      <c r="AA1367" s="29"/>
      <c r="AB1367" s="29"/>
      <c r="AC1367" s="29"/>
      <c r="AD1367" s="29"/>
      <c r="AE1367" s="30"/>
      <c r="AF1367" s="29"/>
      <c r="AG1367" s="30"/>
      <c r="AH1367" s="29"/>
      <c r="AI1367" s="29"/>
      <c r="AJ1367" s="29"/>
      <c r="AK1367" s="30"/>
      <c r="AL1367" s="29"/>
      <c r="AM1367" s="31"/>
      <c r="AN1367" s="29"/>
      <c r="AO1367" s="29"/>
      <c r="AP1367" s="29"/>
      <c r="AQ1367" s="29"/>
      <c r="AR1367" s="29"/>
      <c r="AS1367" s="29"/>
      <c r="AT1367" s="29"/>
      <c r="AU1367" s="29"/>
      <c r="AV1367" s="29"/>
      <c r="AW1367" s="29"/>
      <c r="AX1367" s="29"/>
      <c r="AY1367" s="29"/>
      <c r="AZ1367" s="29"/>
      <c r="BA1367" s="29"/>
      <c r="BB1367" s="29"/>
      <c r="BC1367" s="29"/>
      <c r="BD1367" s="29"/>
      <c r="BE1367" s="29"/>
      <c r="BF1367" s="29"/>
      <c r="BG1367" s="29"/>
      <c r="BH1367" s="29"/>
      <c r="BI1367" s="29"/>
      <c r="BJ1367" s="29"/>
      <c r="BK1367" s="29"/>
      <c r="BL1367" s="29"/>
      <c r="BM1367" s="29"/>
      <c r="BN1367" s="20">
        <f t="shared" si="155"/>
        <v>0</v>
      </c>
      <c r="BO1367" s="20">
        <f t="shared" si="156"/>
        <v>110</v>
      </c>
      <c r="BP1367" s="20">
        <f t="shared" si="157"/>
        <v>3755</v>
      </c>
      <c r="BQ1367" s="51"/>
      <c r="BR1367" s="56"/>
      <c r="BS1367" s="111"/>
      <c r="BT1367" s="36"/>
      <c r="BU1367" s="112"/>
    </row>
    <row r="1368" s="1" customFormat="1" customHeight="1" spans="1:73">
      <c r="A1368" s="15" t="s">
        <v>2177</v>
      </c>
      <c r="B1368" s="15" t="s">
        <v>2178</v>
      </c>
      <c r="C1368" s="16">
        <v>3179</v>
      </c>
      <c r="D1368" s="29"/>
      <c r="E1368" s="30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  <c r="AA1368" s="29"/>
      <c r="AB1368" s="29"/>
      <c r="AC1368" s="29"/>
      <c r="AD1368" s="29"/>
      <c r="AE1368" s="18"/>
      <c r="AF1368" s="29"/>
      <c r="AG1368" s="30"/>
      <c r="AH1368" s="29"/>
      <c r="AI1368" s="30"/>
      <c r="AJ1368" s="29"/>
      <c r="AK1368" s="30"/>
      <c r="AL1368" s="29"/>
      <c r="AM1368" s="29"/>
      <c r="AN1368" s="29"/>
      <c r="AO1368" s="29"/>
      <c r="AP1368" s="29"/>
      <c r="AQ1368" s="29"/>
      <c r="AR1368" s="29"/>
      <c r="AS1368" s="29"/>
      <c r="AT1368" s="29"/>
      <c r="AU1368" s="29"/>
      <c r="AV1368" s="29"/>
      <c r="AW1368" s="29"/>
      <c r="AX1368" s="29"/>
      <c r="AY1368" s="29"/>
      <c r="AZ1368" s="29"/>
      <c r="BA1368" s="30"/>
      <c r="BB1368" s="29"/>
      <c r="BC1368" s="29"/>
      <c r="BD1368" s="29"/>
      <c r="BE1368" s="29"/>
      <c r="BF1368" s="29"/>
      <c r="BG1368" s="29"/>
      <c r="BH1368" s="29"/>
      <c r="BI1368" s="29"/>
      <c r="BJ1368" s="29"/>
      <c r="BK1368" s="29"/>
      <c r="BL1368" s="29"/>
      <c r="BM1368" s="29"/>
      <c r="BN1368" s="20">
        <f t="shared" si="155"/>
        <v>0</v>
      </c>
      <c r="BO1368" s="20">
        <f t="shared" si="156"/>
        <v>0</v>
      </c>
      <c r="BP1368" s="20">
        <f t="shared" si="157"/>
        <v>3179</v>
      </c>
      <c r="BQ1368" s="51"/>
      <c r="BR1368" s="56"/>
      <c r="BS1368" s="111"/>
      <c r="BT1368" s="36"/>
      <c r="BU1368" s="112"/>
    </row>
    <row r="1369" s="1" customFormat="1" customHeight="1" spans="1:73">
      <c r="A1369" s="15" t="s">
        <v>2179</v>
      </c>
      <c r="B1369" s="15" t="s">
        <v>2180</v>
      </c>
      <c r="C1369" s="16">
        <v>1685</v>
      </c>
      <c r="D1369" s="29"/>
      <c r="E1369" s="30"/>
      <c r="F1369" s="29"/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30"/>
      <c r="R1369" s="29"/>
      <c r="S1369" s="29"/>
      <c r="T1369" s="29"/>
      <c r="U1369" s="29"/>
      <c r="V1369" s="29"/>
      <c r="W1369" s="29"/>
      <c r="X1369" s="29"/>
      <c r="Y1369" s="29"/>
      <c r="Z1369" s="29"/>
      <c r="AA1369" s="29"/>
      <c r="AB1369" s="29"/>
      <c r="AC1369" s="29"/>
      <c r="AD1369" s="29"/>
      <c r="AE1369" s="29"/>
      <c r="AF1369" s="29"/>
      <c r="AG1369" s="30"/>
      <c r="AH1369" s="29"/>
      <c r="AI1369" s="30"/>
      <c r="AJ1369" s="29"/>
      <c r="AK1369" s="30"/>
      <c r="AL1369" s="29"/>
      <c r="AM1369" s="29"/>
      <c r="AN1369" s="29"/>
      <c r="AO1369" s="29"/>
      <c r="AP1369" s="29"/>
      <c r="AQ1369" s="29"/>
      <c r="AR1369" s="29"/>
      <c r="AS1369" s="29"/>
      <c r="AT1369" s="29"/>
      <c r="AU1369" s="29"/>
      <c r="AV1369" s="29"/>
      <c r="AW1369" s="29"/>
      <c r="AX1369" s="29"/>
      <c r="AY1369" s="29"/>
      <c r="AZ1369" s="29"/>
      <c r="BA1369" s="29"/>
      <c r="BB1369" s="29"/>
      <c r="BC1369" s="29"/>
      <c r="BD1369" s="29"/>
      <c r="BE1369" s="29"/>
      <c r="BF1369" s="29"/>
      <c r="BG1369" s="29"/>
      <c r="BH1369" s="29"/>
      <c r="BI1369" s="29"/>
      <c r="BJ1369" s="29"/>
      <c r="BK1369" s="190"/>
      <c r="BL1369" s="29"/>
      <c r="BM1369" s="29"/>
      <c r="BN1369" s="20">
        <f t="shared" si="155"/>
        <v>0</v>
      </c>
      <c r="BO1369" s="20">
        <f t="shared" si="156"/>
        <v>0</v>
      </c>
      <c r="BP1369" s="20">
        <f t="shared" si="157"/>
        <v>1685</v>
      </c>
      <c r="BQ1369" s="51"/>
      <c r="BR1369" s="56"/>
      <c r="BS1369" s="111" t="s">
        <v>2170</v>
      </c>
      <c r="BT1369" s="36" t="s">
        <v>2181</v>
      </c>
      <c r="BU1369" s="112"/>
    </row>
    <row r="1370" s="1" customFormat="1" customHeight="1" spans="1:73">
      <c r="A1370" s="15" t="s">
        <v>2182</v>
      </c>
      <c r="B1370" s="15" t="s">
        <v>2183</v>
      </c>
      <c r="C1370" s="16">
        <v>3590</v>
      </c>
      <c r="D1370" s="29"/>
      <c r="E1370" s="30"/>
      <c r="F1370" s="29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  <c r="AA1370" s="29"/>
      <c r="AB1370" s="29"/>
      <c r="AC1370" s="29"/>
      <c r="AD1370" s="29"/>
      <c r="AE1370" s="18"/>
      <c r="AF1370" s="29"/>
      <c r="AG1370" s="30"/>
      <c r="AH1370" s="29"/>
      <c r="AI1370" s="29"/>
      <c r="AJ1370" s="29"/>
      <c r="AK1370" s="30"/>
      <c r="AL1370" s="29"/>
      <c r="AM1370" s="29"/>
      <c r="AN1370" s="29"/>
      <c r="AO1370" s="29"/>
      <c r="AP1370" s="29"/>
      <c r="AQ1370" s="29"/>
      <c r="AR1370" s="29"/>
      <c r="AS1370" s="29"/>
      <c r="AT1370" s="29"/>
      <c r="AU1370" s="29"/>
      <c r="AV1370" s="29"/>
      <c r="AW1370" s="29"/>
      <c r="AX1370" s="29"/>
      <c r="AY1370" s="29"/>
      <c r="AZ1370" s="29"/>
      <c r="BA1370" s="29"/>
      <c r="BB1370" s="29"/>
      <c r="BC1370" s="29"/>
      <c r="BD1370" s="29"/>
      <c r="BE1370" s="29"/>
      <c r="BF1370" s="29"/>
      <c r="BG1370" s="29"/>
      <c r="BH1370" s="29"/>
      <c r="BI1370" s="29"/>
      <c r="BJ1370" s="29"/>
      <c r="BK1370" s="190"/>
      <c r="BL1370" s="29"/>
      <c r="BM1370" s="29"/>
      <c r="BN1370" s="20">
        <f t="shared" si="155"/>
        <v>0</v>
      </c>
      <c r="BO1370" s="20">
        <f t="shared" si="156"/>
        <v>0</v>
      </c>
      <c r="BP1370" s="20">
        <f t="shared" si="157"/>
        <v>3590</v>
      </c>
      <c r="BQ1370" s="51"/>
      <c r="BR1370" s="56"/>
      <c r="BS1370" s="111" t="s">
        <v>2184</v>
      </c>
      <c r="BT1370" s="36"/>
      <c r="BU1370" s="112"/>
    </row>
    <row r="1371" s="1" customFormat="1" customHeight="1" spans="1:73">
      <c r="A1371" s="15" t="s">
        <v>2185</v>
      </c>
      <c r="B1371" s="15" t="s">
        <v>2186</v>
      </c>
      <c r="C1371" s="16">
        <v>3590</v>
      </c>
      <c r="D1371" s="29"/>
      <c r="E1371" s="30"/>
      <c r="F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  <c r="AA1371" s="29"/>
      <c r="AB1371" s="29"/>
      <c r="AC1371" s="29"/>
      <c r="AD1371" s="29"/>
      <c r="AE1371" s="18"/>
      <c r="AF1371" s="29"/>
      <c r="AG1371" s="30"/>
      <c r="AH1371" s="29"/>
      <c r="AI1371" s="29"/>
      <c r="AJ1371" s="29"/>
      <c r="AK1371" s="30"/>
      <c r="AL1371" s="29"/>
      <c r="AM1371" s="29"/>
      <c r="AN1371" s="29"/>
      <c r="AO1371" s="29"/>
      <c r="AP1371" s="29"/>
      <c r="AQ1371" s="29"/>
      <c r="AR1371" s="29"/>
      <c r="AS1371" s="29"/>
      <c r="AT1371" s="29"/>
      <c r="AU1371" s="29"/>
      <c r="AV1371" s="29"/>
      <c r="AW1371" s="29"/>
      <c r="AX1371" s="29"/>
      <c r="AY1371" s="29"/>
      <c r="AZ1371" s="29"/>
      <c r="BA1371" s="29"/>
      <c r="BB1371" s="29"/>
      <c r="BC1371" s="29"/>
      <c r="BD1371" s="29"/>
      <c r="BE1371" s="29"/>
      <c r="BF1371" s="29"/>
      <c r="BG1371" s="29"/>
      <c r="BH1371" s="29"/>
      <c r="BI1371" s="29"/>
      <c r="BJ1371" s="29"/>
      <c r="BK1371" s="190"/>
      <c r="BL1371" s="29"/>
      <c r="BM1371" s="29"/>
      <c r="BN1371" s="20">
        <f t="shared" si="155"/>
        <v>0</v>
      </c>
      <c r="BO1371" s="20">
        <f t="shared" si="156"/>
        <v>0</v>
      </c>
      <c r="BP1371" s="20">
        <f t="shared" si="157"/>
        <v>3590</v>
      </c>
      <c r="BQ1371" s="51"/>
      <c r="BR1371" s="56"/>
      <c r="BS1371" s="111" t="s">
        <v>2184</v>
      </c>
      <c r="BT1371" s="36"/>
      <c r="BU1371" s="112"/>
    </row>
    <row r="1372" s="1" customFormat="1" customHeight="1" spans="1:73">
      <c r="A1372" s="15" t="s">
        <v>2187</v>
      </c>
      <c r="B1372" s="15" t="s">
        <v>2188</v>
      </c>
      <c r="C1372" s="16">
        <v>475</v>
      </c>
      <c r="D1372" s="29"/>
      <c r="E1372" s="30"/>
      <c r="F1372" s="29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  <c r="AA1372" s="29"/>
      <c r="AB1372" s="29"/>
      <c r="AC1372" s="29"/>
      <c r="AD1372" s="29"/>
      <c r="AE1372" s="18"/>
      <c r="AF1372" s="29"/>
      <c r="AG1372" s="30"/>
      <c r="AH1372" s="29"/>
      <c r="AI1372" s="29"/>
      <c r="AJ1372" s="29"/>
      <c r="AK1372" s="30"/>
      <c r="AL1372" s="29"/>
      <c r="AM1372" s="29"/>
      <c r="AN1372" s="29"/>
      <c r="AO1372" s="29"/>
      <c r="AP1372" s="29"/>
      <c r="AQ1372" s="29"/>
      <c r="AR1372" s="29"/>
      <c r="AS1372" s="29"/>
      <c r="AT1372" s="29"/>
      <c r="AU1372" s="29"/>
      <c r="AV1372" s="29"/>
      <c r="AW1372" s="29"/>
      <c r="AX1372" s="29"/>
      <c r="AY1372" s="29"/>
      <c r="AZ1372" s="29"/>
      <c r="BA1372" s="29"/>
      <c r="BB1372" s="29"/>
      <c r="BC1372" s="29"/>
      <c r="BD1372" s="29"/>
      <c r="BE1372" s="29"/>
      <c r="BF1372" s="29"/>
      <c r="BG1372" s="29"/>
      <c r="BH1372" s="29"/>
      <c r="BI1372" s="29"/>
      <c r="BJ1372" s="29"/>
      <c r="BK1372" s="190"/>
      <c r="BL1372" s="29"/>
      <c r="BM1372" s="29"/>
      <c r="BN1372" s="20">
        <f t="shared" si="155"/>
        <v>0</v>
      </c>
      <c r="BO1372" s="20">
        <f t="shared" si="156"/>
        <v>0</v>
      </c>
      <c r="BP1372" s="20">
        <f t="shared" si="157"/>
        <v>475</v>
      </c>
      <c r="BQ1372" s="51"/>
      <c r="BR1372" s="56"/>
      <c r="BS1372" s="111" t="s">
        <v>2184</v>
      </c>
      <c r="BT1372" s="36"/>
      <c r="BU1372" s="112"/>
    </row>
    <row r="1373" s="1" customFormat="1" customHeight="1" spans="1:73">
      <c r="A1373" s="15" t="s">
        <v>2189</v>
      </c>
      <c r="B1373" s="15" t="s">
        <v>2190</v>
      </c>
      <c r="C1373" s="16">
        <v>590</v>
      </c>
      <c r="D1373" s="29"/>
      <c r="E1373" s="30"/>
      <c r="F1373" s="29"/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  <c r="AA1373" s="29"/>
      <c r="AB1373" s="29"/>
      <c r="AC1373" s="29"/>
      <c r="AD1373" s="29"/>
      <c r="AE1373" s="18"/>
      <c r="AF1373" s="29"/>
      <c r="AG1373" s="30"/>
      <c r="AH1373" s="29"/>
      <c r="AI1373" s="29"/>
      <c r="AJ1373" s="29"/>
      <c r="AK1373" s="30"/>
      <c r="AL1373" s="29"/>
      <c r="AM1373" s="29"/>
      <c r="AN1373" s="29"/>
      <c r="AO1373" s="29"/>
      <c r="AP1373" s="29"/>
      <c r="AQ1373" s="29"/>
      <c r="AR1373" s="29"/>
      <c r="AS1373" s="29"/>
      <c r="AT1373" s="29"/>
      <c r="AU1373" s="29"/>
      <c r="AV1373" s="29"/>
      <c r="AW1373" s="29"/>
      <c r="AX1373" s="29"/>
      <c r="AY1373" s="29"/>
      <c r="AZ1373" s="29"/>
      <c r="BA1373" s="29"/>
      <c r="BB1373" s="29"/>
      <c r="BC1373" s="29"/>
      <c r="BD1373" s="29"/>
      <c r="BE1373" s="29"/>
      <c r="BF1373" s="29"/>
      <c r="BG1373" s="29"/>
      <c r="BH1373" s="29"/>
      <c r="BI1373" s="29"/>
      <c r="BJ1373" s="29"/>
      <c r="BK1373" s="190"/>
      <c r="BL1373" s="29"/>
      <c r="BM1373" s="29"/>
      <c r="BN1373" s="20">
        <f t="shared" si="155"/>
        <v>0</v>
      </c>
      <c r="BO1373" s="20">
        <f t="shared" si="156"/>
        <v>0</v>
      </c>
      <c r="BP1373" s="20">
        <f t="shared" si="157"/>
        <v>590</v>
      </c>
      <c r="BQ1373" s="51"/>
      <c r="BR1373" s="56"/>
      <c r="BS1373" s="111" t="s">
        <v>2184</v>
      </c>
      <c r="BT1373" s="36"/>
      <c r="BU1373" s="112"/>
    </row>
    <row r="1374" s="1" customFormat="1" customHeight="1" spans="1:73">
      <c r="A1374" s="15" t="s">
        <v>2191</v>
      </c>
      <c r="B1374" s="15" t="s">
        <v>2192</v>
      </c>
      <c r="C1374" s="16">
        <v>225</v>
      </c>
      <c r="D1374" s="29"/>
      <c r="E1374" s="30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29"/>
      <c r="AB1374" s="29"/>
      <c r="AC1374" s="29"/>
      <c r="AD1374" s="29"/>
      <c r="AE1374" s="29"/>
      <c r="AF1374" s="29"/>
      <c r="AG1374" s="30"/>
      <c r="AH1374" s="29"/>
      <c r="AI1374" s="30"/>
      <c r="AJ1374" s="29"/>
      <c r="AK1374" s="30"/>
      <c r="AL1374" s="29"/>
      <c r="AM1374" s="29"/>
      <c r="AN1374" s="29"/>
      <c r="AO1374" s="29"/>
      <c r="AP1374" s="29"/>
      <c r="AQ1374" s="29"/>
      <c r="AR1374" s="29"/>
      <c r="AS1374" s="29"/>
      <c r="AT1374" s="29"/>
      <c r="AU1374" s="29"/>
      <c r="AV1374" s="29"/>
      <c r="AW1374" s="29"/>
      <c r="AX1374" s="29"/>
      <c r="AY1374" s="29"/>
      <c r="AZ1374" s="29"/>
      <c r="BA1374" s="29"/>
      <c r="BB1374" s="29"/>
      <c r="BC1374" s="29"/>
      <c r="BD1374" s="29"/>
      <c r="BE1374" s="29"/>
      <c r="BF1374" s="29"/>
      <c r="BG1374" s="29"/>
      <c r="BH1374" s="29"/>
      <c r="BI1374" s="29"/>
      <c r="BJ1374" s="29"/>
      <c r="BK1374" s="29"/>
      <c r="BL1374" s="29"/>
      <c r="BM1374" s="29"/>
      <c r="BN1374" s="20">
        <f t="shared" si="155"/>
        <v>0</v>
      </c>
      <c r="BO1374" s="20">
        <f t="shared" si="156"/>
        <v>0</v>
      </c>
      <c r="BP1374" s="20">
        <f t="shared" si="157"/>
        <v>225</v>
      </c>
      <c r="BQ1374" s="51"/>
      <c r="BR1374" s="56"/>
      <c r="BS1374" s="111" t="s">
        <v>2170</v>
      </c>
      <c r="BT1374" s="36" t="s">
        <v>2193</v>
      </c>
      <c r="BU1374" s="112"/>
    </row>
    <row r="1375" s="1" customFormat="1" customHeight="1" spans="1:73">
      <c r="A1375" s="15" t="s">
        <v>2194</v>
      </c>
      <c r="B1375" s="15" t="s">
        <v>2162</v>
      </c>
      <c r="C1375" s="16">
        <v>3470</v>
      </c>
      <c r="D1375" s="29"/>
      <c r="E1375" s="30"/>
      <c r="F1375" s="29"/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29"/>
      <c r="AB1375" s="29"/>
      <c r="AC1375" s="29"/>
      <c r="AD1375" s="29"/>
      <c r="AE1375" s="18"/>
      <c r="AF1375" s="29"/>
      <c r="AG1375" s="30"/>
      <c r="AH1375" s="29"/>
      <c r="AI1375" s="30"/>
      <c r="AJ1375" s="29"/>
      <c r="AK1375" s="30"/>
      <c r="AL1375" s="29"/>
      <c r="AM1375" s="29"/>
      <c r="AN1375" s="29"/>
      <c r="AO1375" s="29"/>
      <c r="AP1375" s="29"/>
      <c r="AQ1375" s="30"/>
      <c r="AR1375" s="29"/>
      <c r="AS1375" s="29"/>
      <c r="AT1375" s="29"/>
      <c r="AU1375" s="29"/>
      <c r="AV1375" s="29"/>
      <c r="AW1375" s="29"/>
      <c r="AX1375" s="29"/>
      <c r="AY1375" s="29"/>
      <c r="AZ1375" s="29"/>
      <c r="BA1375" s="29"/>
      <c r="BB1375" s="29"/>
      <c r="BC1375" s="29"/>
      <c r="BD1375" s="29"/>
      <c r="BE1375" s="29"/>
      <c r="BF1375" s="29"/>
      <c r="BG1375" s="29"/>
      <c r="BH1375" s="29"/>
      <c r="BI1375" s="29"/>
      <c r="BJ1375" s="29"/>
      <c r="BK1375" s="29"/>
      <c r="BL1375" s="29"/>
      <c r="BM1375" s="29"/>
      <c r="BN1375" s="20">
        <f t="shared" si="155"/>
        <v>0</v>
      </c>
      <c r="BO1375" s="20">
        <f t="shared" si="156"/>
        <v>0</v>
      </c>
      <c r="BP1375" s="20">
        <f t="shared" si="157"/>
        <v>3470</v>
      </c>
      <c r="BQ1375" s="51"/>
      <c r="BR1375" s="56"/>
      <c r="BS1375" s="111"/>
      <c r="BT1375" s="36"/>
      <c r="BU1375" s="112"/>
    </row>
    <row r="1376" s="1" customFormat="1" customHeight="1" spans="1:73">
      <c r="A1376" s="15" t="s">
        <v>2195</v>
      </c>
      <c r="B1376" s="15" t="s">
        <v>2196</v>
      </c>
      <c r="C1376" s="16">
        <v>3650</v>
      </c>
      <c r="D1376" s="29"/>
      <c r="E1376" s="30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29"/>
      <c r="AB1376" s="29"/>
      <c r="AC1376" s="29"/>
      <c r="AD1376" s="29"/>
      <c r="AE1376" s="18"/>
      <c r="AF1376" s="29"/>
      <c r="AG1376" s="30"/>
      <c r="AH1376" s="29"/>
      <c r="AI1376" s="30"/>
      <c r="AJ1376" s="29"/>
      <c r="AK1376" s="30"/>
      <c r="AL1376" s="29"/>
      <c r="AM1376" s="29"/>
      <c r="AN1376" s="29"/>
      <c r="AO1376" s="29"/>
      <c r="AP1376" s="29"/>
      <c r="AQ1376" s="30"/>
      <c r="AR1376" s="29"/>
      <c r="AS1376" s="29"/>
      <c r="AT1376" s="29"/>
      <c r="AU1376" s="29"/>
      <c r="AV1376" s="29"/>
      <c r="AW1376" s="29"/>
      <c r="AX1376" s="29"/>
      <c r="AY1376" s="29"/>
      <c r="AZ1376" s="29"/>
      <c r="BA1376" s="29"/>
      <c r="BB1376" s="29"/>
      <c r="BC1376" s="29"/>
      <c r="BD1376" s="29"/>
      <c r="BE1376" s="29"/>
      <c r="BF1376" s="29"/>
      <c r="BG1376" s="29"/>
      <c r="BH1376" s="29"/>
      <c r="BI1376" s="29"/>
      <c r="BJ1376" s="29"/>
      <c r="BK1376" s="29"/>
      <c r="BL1376" s="29"/>
      <c r="BM1376" s="29"/>
      <c r="BN1376" s="20">
        <f t="shared" si="155"/>
        <v>0</v>
      </c>
      <c r="BO1376" s="20">
        <f t="shared" si="156"/>
        <v>0</v>
      </c>
      <c r="BP1376" s="20">
        <f t="shared" si="157"/>
        <v>3650</v>
      </c>
      <c r="BQ1376" s="51"/>
      <c r="BR1376" s="56"/>
      <c r="BS1376" s="111" t="s">
        <v>2197</v>
      </c>
      <c r="BT1376" s="36"/>
      <c r="BU1376" s="112"/>
    </row>
    <row r="1377" s="1" customFormat="1" customHeight="1" spans="1:73">
      <c r="A1377" s="15" t="s">
        <v>2198</v>
      </c>
      <c r="B1377" s="15" t="s">
        <v>2199</v>
      </c>
      <c r="C1377" s="16">
        <v>766</v>
      </c>
      <c r="D1377" s="29"/>
      <c r="E1377" s="30"/>
      <c r="F1377" s="29"/>
      <c r="G1377" s="29"/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29"/>
      <c r="AB1377" s="29"/>
      <c r="AC1377" s="29"/>
      <c r="AD1377" s="29"/>
      <c r="AE1377" s="31"/>
      <c r="AF1377" s="29"/>
      <c r="AG1377" s="30"/>
      <c r="AH1377" s="29"/>
      <c r="AI1377" s="29"/>
      <c r="AJ1377" s="29"/>
      <c r="AK1377" s="30"/>
      <c r="AL1377" s="29"/>
      <c r="AM1377" s="29"/>
      <c r="AN1377" s="29"/>
      <c r="AO1377" s="29"/>
      <c r="AP1377" s="29"/>
      <c r="AQ1377" s="29"/>
      <c r="AR1377" s="29"/>
      <c r="AS1377" s="29"/>
      <c r="AT1377" s="29"/>
      <c r="AU1377" s="29"/>
      <c r="AV1377" s="29"/>
      <c r="AW1377" s="29"/>
      <c r="AX1377" s="29"/>
      <c r="AY1377" s="29"/>
      <c r="AZ1377" s="29"/>
      <c r="BA1377" s="29"/>
      <c r="BB1377" s="29"/>
      <c r="BC1377" s="29"/>
      <c r="BD1377" s="29"/>
      <c r="BE1377" s="29"/>
      <c r="BF1377" s="29"/>
      <c r="BG1377" s="29"/>
      <c r="BH1377" s="29"/>
      <c r="BI1377" s="29"/>
      <c r="BJ1377" s="29"/>
      <c r="BK1377" s="29"/>
      <c r="BL1377" s="29"/>
      <c r="BM1377" s="29"/>
      <c r="BN1377" s="20">
        <f t="shared" si="155"/>
        <v>0</v>
      </c>
      <c r="BO1377" s="20">
        <f t="shared" si="156"/>
        <v>0</v>
      </c>
      <c r="BP1377" s="20">
        <f t="shared" si="157"/>
        <v>766</v>
      </c>
      <c r="BQ1377" s="51"/>
      <c r="BR1377" s="56"/>
      <c r="BS1377" s="111"/>
      <c r="BT1377" s="36"/>
      <c r="BU1377" s="112"/>
    </row>
    <row r="1378" s="1" customFormat="1" customHeight="1" spans="1:73">
      <c r="A1378" s="15" t="s">
        <v>2200</v>
      </c>
      <c r="B1378" s="15" t="s">
        <v>2201</v>
      </c>
      <c r="C1378" s="16">
        <v>1169</v>
      </c>
      <c r="D1378" s="29"/>
      <c r="E1378" s="30"/>
      <c r="F1378" s="29"/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82"/>
      <c r="T1378" s="29"/>
      <c r="U1378" s="29"/>
      <c r="V1378" s="29"/>
      <c r="W1378" s="29"/>
      <c r="X1378" s="29"/>
      <c r="Y1378" s="29"/>
      <c r="Z1378" s="29"/>
      <c r="AA1378" s="29"/>
      <c r="AB1378" s="29"/>
      <c r="AC1378" s="29"/>
      <c r="AD1378" s="29"/>
      <c r="AE1378" s="29"/>
      <c r="AF1378" s="29"/>
      <c r="AG1378" s="30"/>
      <c r="AH1378" s="29"/>
      <c r="AI1378" s="29"/>
      <c r="AJ1378" s="29"/>
      <c r="AK1378" s="30"/>
      <c r="AL1378" s="29"/>
      <c r="AM1378" s="29"/>
      <c r="AN1378" s="29"/>
      <c r="AO1378" s="29"/>
      <c r="AP1378" s="29"/>
      <c r="AQ1378" s="29"/>
      <c r="AR1378" s="29"/>
      <c r="AS1378" s="29"/>
      <c r="AT1378" s="29"/>
      <c r="AU1378" s="29"/>
      <c r="AV1378" s="29"/>
      <c r="AW1378" s="29"/>
      <c r="AX1378" s="29"/>
      <c r="AY1378" s="29"/>
      <c r="AZ1378" s="29"/>
      <c r="BA1378" s="29"/>
      <c r="BB1378" s="29"/>
      <c r="BC1378" s="29"/>
      <c r="BD1378" s="29"/>
      <c r="BE1378" s="29"/>
      <c r="BF1378" s="29"/>
      <c r="BG1378" s="29"/>
      <c r="BH1378" s="29"/>
      <c r="BI1378" s="29"/>
      <c r="BJ1378" s="29"/>
      <c r="BK1378" s="29"/>
      <c r="BL1378" s="29"/>
      <c r="BM1378" s="29"/>
      <c r="BN1378" s="20">
        <f t="shared" si="155"/>
        <v>0</v>
      </c>
      <c r="BO1378" s="20">
        <f t="shared" si="156"/>
        <v>0</v>
      </c>
      <c r="BP1378" s="20">
        <f t="shared" si="157"/>
        <v>1169</v>
      </c>
      <c r="BQ1378" s="51"/>
      <c r="BR1378" s="56"/>
      <c r="BS1378" s="111"/>
      <c r="BT1378" s="36"/>
      <c r="BU1378" s="112"/>
    </row>
    <row r="1379" s="1" customFormat="1" customHeight="1" spans="1:73">
      <c r="A1379" s="15" t="s">
        <v>2202</v>
      </c>
      <c r="B1379" s="15" t="s">
        <v>2203</v>
      </c>
      <c r="C1379" s="16">
        <v>3030</v>
      </c>
      <c r="D1379" s="29"/>
      <c r="E1379" s="30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29"/>
      <c r="AB1379" s="29"/>
      <c r="AC1379" s="29"/>
      <c r="AD1379" s="29"/>
      <c r="AE1379" s="82"/>
      <c r="AF1379" s="29"/>
      <c r="AG1379" s="30"/>
      <c r="AH1379" s="29"/>
      <c r="AI1379" s="29"/>
      <c r="AJ1379" s="29"/>
      <c r="AK1379" s="30"/>
      <c r="AL1379" s="29"/>
      <c r="AM1379" s="29"/>
      <c r="AN1379" s="29"/>
      <c r="AO1379" s="29"/>
      <c r="AP1379" s="29"/>
      <c r="AQ1379" s="29"/>
      <c r="AR1379" s="29"/>
      <c r="AS1379" s="30"/>
      <c r="AT1379" s="29"/>
      <c r="AU1379" s="29"/>
      <c r="AV1379" s="29"/>
      <c r="AW1379" s="29"/>
      <c r="AX1379" s="29"/>
      <c r="AY1379" s="29"/>
      <c r="AZ1379" s="29"/>
      <c r="BA1379" s="29"/>
      <c r="BB1379" s="29"/>
      <c r="BC1379" s="29"/>
      <c r="BD1379" s="29"/>
      <c r="BE1379" s="29"/>
      <c r="BF1379" s="29"/>
      <c r="BG1379" s="29"/>
      <c r="BH1379" s="29"/>
      <c r="BI1379" s="29"/>
      <c r="BJ1379" s="29"/>
      <c r="BK1379" s="29"/>
      <c r="BL1379" s="29"/>
      <c r="BM1379" s="29"/>
      <c r="BN1379" s="20">
        <f t="shared" si="155"/>
        <v>0</v>
      </c>
      <c r="BO1379" s="20">
        <f t="shared" si="156"/>
        <v>0</v>
      </c>
      <c r="BP1379" s="20">
        <f t="shared" si="157"/>
        <v>3030</v>
      </c>
      <c r="BQ1379" s="51"/>
      <c r="BR1379" s="56"/>
      <c r="BS1379" s="111"/>
      <c r="BT1379" s="36"/>
      <c r="BU1379" s="112"/>
    </row>
    <row r="1380" s="1" customFormat="1" customHeight="1" spans="1:73">
      <c r="A1380" s="15" t="s">
        <v>2204</v>
      </c>
      <c r="B1380" s="15" t="s">
        <v>2205</v>
      </c>
      <c r="C1380" s="16">
        <v>3031</v>
      </c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  <c r="AA1380" s="29"/>
      <c r="AB1380" s="29"/>
      <c r="AC1380" s="29"/>
      <c r="AD1380" s="29"/>
      <c r="AE1380" s="82"/>
      <c r="AF1380" s="29"/>
      <c r="AG1380" s="30"/>
      <c r="AH1380" s="29"/>
      <c r="AI1380" s="30"/>
      <c r="AJ1380" s="29"/>
      <c r="AK1380" s="30"/>
      <c r="AL1380" s="29"/>
      <c r="AM1380" s="18"/>
      <c r="AN1380" s="29"/>
      <c r="AO1380" s="29"/>
      <c r="AP1380" s="29"/>
      <c r="AQ1380" s="29"/>
      <c r="AR1380" s="29"/>
      <c r="AS1380" s="30"/>
      <c r="AT1380" s="29"/>
      <c r="AU1380" s="29"/>
      <c r="AV1380" s="29"/>
      <c r="AW1380" s="29"/>
      <c r="AX1380" s="29"/>
      <c r="AY1380" s="29"/>
      <c r="AZ1380" s="29"/>
      <c r="BA1380" s="29"/>
      <c r="BB1380" s="29"/>
      <c r="BC1380" s="29"/>
      <c r="BD1380" s="29"/>
      <c r="BE1380" s="29"/>
      <c r="BF1380" s="29"/>
      <c r="BG1380" s="29"/>
      <c r="BH1380" s="29"/>
      <c r="BI1380" s="29"/>
      <c r="BJ1380" s="29"/>
      <c r="BK1380" s="29"/>
      <c r="BL1380" s="29"/>
      <c r="BM1380" s="29"/>
      <c r="BN1380" s="20">
        <f t="shared" si="155"/>
        <v>0</v>
      </c>
      <c r="BO1380" s="20">
        <f t="shared" si="156"/>
        <v>0</v>
      </c>
      <c r="BP1380" s="20">
        <f t="shared" si="157"/>
        <v>3031</v>
      </c>
      <c r="BQ1380" s="51"/>
      <c r="BR1380" s="56"/>
      <c r="BS1380" s="111" t="s">
        <v>2206</v>
      </c>
      <c r="BT1380" s="36"/>
      <c r="BU1380" s="112"/>
    </row>
    <row r="1381" s="1" customFormat="1" customHeight="1" spans="1:73">
      <c r="A1381" s="15" t="s">
        <v>2207</v>
      </c>
      <c r="B1381" s="15" t="s">
        <v>2208</v>
      </c>
      <c r="C1381" s="16">
        <v>2720</v>
      </c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  <c r="AA1381" s="29"/>
      <c r="AB1381" s="29"/>
      <c r="AC1381" s="29"/>
      <c r="AD1381" s="29"/>
      <c r="AE1381" s="82"/>
      <c r="AF1381" s="29"/>
      <c r="AG1381" s="30"/>
      <c r="AH1381" s="29"/>
      <c r="AI1381" s="30"/>
      <c r="AJ1381" s="29"/>
      <c r="AK1381" s="29"/>
      <c r="AL1381" s="29"/>
      <c r="AM1381" s="82"/>
      <c r="AN1381" s="29"/>
      <c r="AO1381" s="29"/>
      <c r="AP1381" s="29"/>
      <c r="AQ1381" s="29"/>
      <c r="AR1381" s="29"/>
      <c r="AS1381" s="30"/>
      <c r="AT1381" s="29"/>
      <c r="AU1381" s="29"/>
      <c r="AV1381" s="29"/>
      <c r="AW1381" s="29"/>
      <c r="AX1381" s="29"/>
      <c r="AY1381" s="29"/>
      <c r="AZ1381" s="29"/>
      <c r="BA1381" s="29"/>
      <c r="BB1381" s="29"/>
      <c r="BC1381" s="29"/>
      <c r="BD1381" s="29"/>
      <c r="BE1381" s="29"/>
      <c r="BF1381" s="29"/>
      <c r="BG1381" s="29"/>
      <c r="BH1381" s="29"/>
      <c r="BI1381" s="29"/>
      <c r="BJ1381" s="29"/>
      <c r="BK1381" s="29"/>
      <c r="BL1381" s="29"/>
      <c r="BM1381" s="29"/>
      <c r="BN1381" s="20">
        <f t="shared" si="155"/>
        <v>0</v>
      </c>
      <c r="BO1381" s="20">
        <f t="shared" si="156"/>
        <v>0</v>
      </c>
      <c r="BP1381" s="20">
        <f t="shared" si="157"/>
        <v>2720</v>
      </c>
      <c r="BQ1381" s="51"/>
      <c r="BR1381" s="56"/>
      <c r="BS1381" s="111" t="s">
        <v>2206</v>
      </c>
      <c r="BT1381" s="167" t="s">
        <v>2209</v>
      </c>
      <c r="BU1381" s="112"/>
    </row>
    <row r="1382" s="1" customFormat="1" customHeight="1" spans="1:73">
      <c r="A1382" s="15" t="s">
        <v>2210</v>
      </c>
      <c r="B1382" s="15" t="s">
        <v>2211</v>
      </c>
      <c r="C1382" s="16">
        <v>2035</v>
      </c>
      <c r="D1382" s="29"/>
      <c r="E1382" s="30"/>
      <c r="F1382" s="29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29"/>
      <c r="AB1382" s="29"/>
      <c r="AC1382" s="29"/>
      <c r="AD1382" s="29"/>
      <c r="AE1382" s="82"/>
      <c r="AF1382" s="29"/>
      <c r="AG1382" s="30"/>
      <c r="AH1382" s="29"/>
      <c r="AI1382" s="29"/>
      <c r="AJ1382" s="29"/>
      <c r="AK1382" s="30"/>
      <c r="AL1382" s="29"/>
      <c r="AM1382" s="18"/>
      <c r="AN1382" s="29"/>
      <c r="AO1382" s="29"/>
      <c r="AP1382" s="29"/>
      <c r="AQ1382" s="30"/>
      <c r="AR1382" s="29"/>
      <c r="AS1382" s="30"/>
      <c r="AT1382" s="29"/>
      <c r="AU1382" s="29"/>
      <c r="AV1382" s="29"/>
      <c r="AW1382" s="29"/>
      <c r="AX1382" s="29"/>
      <c r="AY1382" s="29"/>
      <c r="AZ1382" s="29"/>
      <c r="BA1382" s="29"/>
      <c r="BB1382" s="29"/>
      <c r="BC1382" s="29"/>
      <c r="BD1382" s="29"/>
      <c r="BE1382" s="29"/>
      <c r="BF1382" s="29"/>
      <c r="BG1382" s="29"/>
      <c r="BH1382" s="29"/>
      <c r="BI1382" s="29"/>
      <c r="BJ1382" s="29"/>
      <c r="BK1382" s="29"/>
      <c r="BL1382" s="29"/>
      <c r="BM1382" s="29"/>
      <c r="BN1382" s="20">
        <f t="shared" si="155"/>
        <v>0</v>
      </c>
      <c r="BO1382" s="20">
        <f t="shared" si="156"/>
        <v>0</v>
      </c>
      <c r="BP1382" s="20">
        <f t="shared" si="157"/>
        <v>2035</v>
      </c>
      <c r="BQ1382" s="51"/>
      <c r="BR1382" s="56"/>
      <c r="BS1382" s="110" t="s">
        <v>2212</v>
      </c>
      <c r="BT1382" s="36"/>
      <c r="BU1382" s="112"/>
    </row>
    <row r="1383" s="1" customFormat="1" customHeight="1" spans="1:73">
      <c r="A1383" s="15" t="s">
        <v>2213</v>
      </c>
      <c r="B1383" s="15" t="s">
        <v>2214</v>
      </c>
      <c r="C1383" s="16">
        <v>1460</v>
      </c>
      <c r="D1383" s="29"/>
      <c r="E1383" s="30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  <c r="AA1383" s="29"/>
      <c r="AB1383" s="29"/>
      <c r="AC1383" s="29"/>
      <c r="AD1383" s="29"/>
      <c r="AE1383" s="30"/>
      <c r="AF1383" s="29"/>
      <c r="AG1383" s="30"/>
      <c r="AH1383" s="29"/>
      <c r="AI1383" s="29"/>
      <c r="AJ1383" s="29"/>
      <c r="AK1383" s="30"/>
      <c r="AL1383" s="29"/>
      <c r="AM1383" s="29"/>
      <c r="AN1383" s="29"/>
      <c r="AO1383" s="29"/>
      <c r="AP1383" s="29"/>
      <c r="AQ1383" s="30"/>
      <c r="AR1383" s="29"/>
      <c r="AS1383" s="29"/>
      <c r="AT1383" s="29"/>
      <c r="AU1383" s="29"/>
      <c r="AV1383" s="29"/>
      <c r="AW1383" s="29"/>
      <c r="AX1383" s="29"/>
      <c r="AY1383" s="29"/>
      <c r="AZ1383" s="29"/>
      <c r="BA1383" s="29"/>
      <c r="BB1383" s="29"/>
      <c r="BC1383" s="29"/>
      <c r="BD1383" s="29"/>
      <c r="BE1383" s="29"/>
      <c r="BF1383" s="29"/>
      <c r="BG1383" s="29"/>
      <c r="BH1383" s="29"/>
      <c r="BI1383" s="29"/>
      <c r="BJ1383" s="29"/>
      <c r="BK1383" s="29"/>
      <c r="BL1383" s="29"/>
      <c r="BM1383" s="29"/>
      <c r="BN1383" s="20">
        <f t="shared" si="155"/>
        <v>0</v>
      </c>
      <c r="BO1383" s="20">
        <f t="shared" si="156"/>
        <v>0</v>
      </c>
      <c r="BP1383" s="20">
        <f t="shared" si="157"/>
        <v>1460</v>
      </c>
      <c r="BQ1383" s="51"/>
      <c r="BR1383" s="56"/>
      <c r="BS1383" s="111"/>
      <c r="BT1383" s="36"/>
      <c r="BU1383" s="112"/>
    </row>
    <row r="1384" s="1" customFormat="1" customHeight="1" spans="1:73">
      <c r="A1384" s="15" t="s">
        <v>2215</v>
      </c>
      <c r="B1384" s="15"/>
      <c r="C1384" s="16">
        <v>100</v>
      </c>
      <c r="D1384" s="29"/>
      <c r="E1384" s="30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  <c r="AA1384" s="29"/>
      <c r="AB1384" s="29"/>
      <c r="AC1384" s="29"/>
      <c r="AD1384" s="29"/>
      <c r="AE1384" s="30"/>
      <c r="AF1384" s="29"/>
      <c r="AG1384" s="30"/>
      <c r="AH1384" s="29"/>
      <c r="AI1384" s="29"/>
      <c r="AJ1384" s="29"/>
      <c r="AK1384" s="30"/>
      <c r="AL1384" s="29"/>
      <c r="AM1384" s="29"/>
      <c r="AN1384" s="29"/>
      <c r="AO1384" s="29"/>
      <c r="AP1384" s="29"/>
      <c r="AQ1384" s="29"/>
      <c r="AR1384" s="29"/>
      <c r="AS1384" s="29"/>
      <c r="AT1384" s="29"/>
      <c r="AU1384" s="29"/>
      <c r="AV1384" s="29"/>
      <c r="AW1384" s="29"/>
      <c r="AX1384" s="29"/>
      <c r="AY1384" s="29"/>
      <c r="AZ1384" s="29"/>
      <c r="BA1384" s="29"/>
      <c r="BB1384" s="29"/>
      <c r="BC1384" s="29"/>
      <c r="BD1384" s="29"/>
      <c r="BE1384" s="29"/>
      <c r="BF1384" s="29"/>
      <c r="BG1384" s="29"/>
      <c r="BH1384" s="29"/>
      <c r="BI1384" s="29"/>
      <c r="BJ1384" s="29"/>
      <c r="BK1384" s="29"/>
      <c r="BL1384" s="29"/>
      <c r="BM1384" s="29"/>
      <c r="BN1384" s="20">
        <f t="shared" si="155"/>
        <v>0</v>
      </c>
      <c r="BO1384" s="20">
        <f t="shared" si="156"/>
        <v>0</v>
      </c>
      <c r="BP1384" s="20">
        <f t="shared" si="157"/>
        <v>100</v>
      </c>
      <c r="BQ1384" s="51"/>
      <c r="BR1384" s="56"/>
      <c r="BS1384" s="111"/>
      <c r="BT1384" s="36"/>
      <c r="BU1384" s="112"/>
    </row>
    <row r="1385" s="1" customFormat="1" customHeight="1" spans="1:73">
      <c r="A1385" s="28" t="s">
        <v>2216</v>
      </c>
      <c r="B1385" s="15" t="s">
        <v>2217</v>
      </c>
      <c r="C1385" s="16">
        <v>2850</v>
      </c>
      <c r="D1385" s="29"/>
      <c r="E1385" s="30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30"/>
      <c r="R1385" s="29"/>
      <c r="S1385" s="29"/>
      <c r="T1385" s="29"/>
      <c r="U1385" s="29"/>
      <c r="V1385" s="29"/>
      <c r="W1385" s="29"/>
      <c r="X1385" s="29"/>
      <c r="Y1385" s="29"/>
      <c r="Z1385" s="29"/>
      <c r="AA1385" s="29"/>
      <c r="AB1385" s="29"/>
      <c r="AC1385" s="29"/>
      <c r="AD1385" s="29"/>
      <c r="AE1385" s="30"/>
      <c r="AF1385" s="29"/>
      <c r="AG1385" s="30"/>
      <c r="AH1385" s="29"/>
      <c r="AI1385" s="29"/>
      <c r="AJ1385" s="29"/>
      <c r="AK1385" s="29"/>
      <c r="AL1385" s="29"/>
      <c r="AM1385" s="29"/>
      <c r="AN1385" s="29"/>
      <c r="AO1385" s="29"/>
      <c r="AP1385" s="29"/>
      <c r="AQ1385" s="30"/>
      <c r="AR1385" s="29"/>
      <c r="AS1385" s="82"/>
      <c r="AT1385" s="29"/>
      <c r="AU1385" s="29"/>
      <c r="AV1385" s="29"/>
      <c r="AW1385" s="29"/>
      <c r="AX1385" s="29"/>
      <c r="AY1385" s="29"/>
      <c r="AZ1385" s="29"/>
      <c r="BA1385" s="29"/>
      <c r="BB1385" s="29"/>
      <c r="BC1385" s="29"/>
      <c r="BD1385" s="29"/>
      <c r="BE1385" s="29"/>
      <c r="BF1385" s="29"/>
      <c r="BG1385" s="29"/>
      <c r="BH1385" s="29"/>
      <c r="BI1385" s="29"/>
      <c r="BJ1385" s="29"/>
      <c r="BK1385" s="29"/>
      <c r="BL1385" s="29"/>
      <c r="BM1385" s="29"/>
      <c r="BN1385" s="20">
        <f t="shared" ref="BN1385:BN1448" si="158">D1385+F1385+H1385+J1385+L1385+N1385+P1385+R1385+T1385+V1385+X1385+Z1385+AB1385+AD1385+AF1385+AH1385+AJ1385+AL1385+AN1385+AP1385+AR1385+AT1385+AV1385+AX1385+AZ1385+BB1385+BD1385+BF1385+BH1385+BJ1385+BL1385</f>
        <v>0</v>
      </c>
      <c r="BO1385" s="20">
        <f t="shared" ref="BO1385:BO1448" si="159">E1385+G1385+I1385+K1385+M1385+O1385+Q1385+S1385+U1385+W1385+Y1385+AA1385+AC1385+AE1385+AG1385+AI1385+AK1385+AM1385+AO1385+AQ1385+AS1385+AU1385+AW1385+AY1385+BA1385+BC1385+BE1385+BG1385+BI1385+BK1385+BM1385</f>
        <v>0</v>
      </c>
      <c r="BP1385" s="20">
        <f t="shared" ref="BP1385:BP1448" si="160">C1385+BN1385-BO1385</f>
        <v>2850</v>
      </c>
      <c r="BQ1385" s="51"/>
      <c r="BR1385" s="56"/>
      <c r="BS1385" s="111" t="s">
        <v>2218</v>
      </c>
      <c r="BT1385" s="36"/>
      <c r="BU1385" s="112"/>
    </row>
    <row r="1386" s="1" customFormat="1" customHeight="1" spans="1:73">
      <c r="A1386" s="15" t="s">
        <v>2219</v>
      </c>
      <c r="B1386" s="15" t="s">
        <v>2220</v>
      </c>
      <c r="C1386" s="16">
        <v>3620</v>
      </c>
      <c r="D1386" s="29"/>
      <c r="E1386" s="30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30"/>
      <c r="R1386" s="29"/>
      <c r="S1386" s="29"/>
      <c r="T1386" s="29"/>
      <c r="U1386" s="29"/>
      <c r="V1386" s="29"/>
      <c r="W1386" s="29"/>
      <c r="X1386" s="29"/>
      <c r="Y1386" s="29"/>
      <c r="Z1386" s="29"/>
      <c r="AA1386" s="29"/>
      <c r="AB1386" s="29"/>
      <c r="AC1386" s="29"/>
      <c r="AD1386" s="29"/>
      <c r="AE1386" s="30"/>
      <c r="AF1386" s="29"/>
      <c r="AG1386" s="30"/>
      <c r="AH1386" s="29"/>
      <c r="AI1386" s="29"/>
      <c r="AJ1386" s="29"/>
      <c r="AK1386" s="30"/>
      <c r="AL1386" s="29"/>
      <c r="AM1386" s="29"/>
      <c r="AN1386" s="29"/>
      <c r="AO1386" s="29"/>
      <c r="AP1386" s="29"/>
      <c r="AQ1386" s="30"/>
      <c r="AR1386" s="29"/>
      <c r="AS1386" s="82"/>
      <c r="AT1386" s="29"/>
      <c r="AU1386" s="29"/>
      <c r="AV1386" s="29"/>
      <c r="AW1386" s="29"/>
      <c r="AX1386" s="29"/>
      <c r="AY1386" s="29"/>
      <c r="AZ1386" s="29"/>
      <c r="BA1386" s="29"/>
      <c r="BB1386" s="29"/>
      <c r="BC1386" s="29"/>
      <c r="BD1386" s="29"/>
      <c r="BE1386" s="29"/>
      <c r="BF1386" s="29"/>
      <c r="BG1386" s="29"/>
      <c r="BH1386" s="29"/>
      <c r="BI1386" s="29"/>
      <c r="BJ1386" s="29"/>
      <c r="BK1386" s="29"/>
      <c r="BL1386" s="29"/>
      <c r="BM1386" s="29"/>
      <c r="BN1386" s="20">
        <f t="shared" si="158"/>
        <v>0</v>
      </c>
      <c r="BO1386" s="20">
        <f t="shared" si="159"/>
        <v>0</v>
      </c>
      <c r="BP1386" s="20">
        <f t="shared" si="160"/>
        <v>3620</v>
      </c>
      <c r="BQ1386" s="51"/>
      <c r="BR1386" s="56"/>
      <c r="BS1386" s="111" t="s">
        <v>2218</v>
      </c>
      <c r="BT1386" s="36"/>
      <c r="BU1386" s="112"/>
    </row>
    <row r="1387" s="1" customFormat="1" customHeight="1" spans="1:73">
      <c r="A1387" s="15" t="s">
        <v>2221</v>
      </c>
      <c r="B1387" s="15" t="s">
        <v>2222</v>
      </c>
      <c r="C1387" s="16">
        <v>2175</v>
      </c>
      <c r="D1387" s="29"/>
      <c r="E1387" s="30"/>
      <c r="F1387" s="29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30"/>
      <c r="R1387" s="29"/>
      <c r="S1387" s="29"/>
      <c r="T1387" s="29"/>
      <c r="U1387" s="29"/>
      <c r="V1387" s="29"/>
      <c r="W1387" s="29"/>
      <c r="X1387" s="29"/>
      <c r="Y1387" s="29"/>
      <c r="Z1387" s="29"/>
      <c r="AA1387" s="29"/>
      <c r="AB1387" s="29"/>
      <c r="AC1387" s="29"/>
      <c r="AD1387" s="29"/>
      <c r="AE1387" s="30"/>
      <c r="AF1387" s="29"/>
      <c r="AG1387" s="30"/>
      <c r="AH1387" s="29"/>
      <c r="AI1387" s="29"/>
      <c r="AJ1387" s="29"/>
      <c r="AK1387" s="29"/>
      <c r="AL1387" s="29"/>
      <c r="AM1387" s="29"/>
      <c r="AN1387" s="29"/>
      <c r="AO1387" s="29"/>
      <c r="AP1387" s="29"/>
      <c r="AQ1387" s="30"/>
      <c r="AR1387" s="29"/>
      <c r="AS1387" s="82"/>
      <c r="AT1387" s="29"/>
      <c r="AU1387" s="29"/>
      <c r="AV1387" s="29"/>
      <c r="AW1387" s="29"/>
      <c r="AX1387" s="29"/>
      <c r="AY1387" s="29"/>
      <c r="AZ1387" s="29"/>
      <c r="BA1387" s="29"/>
      <c r="BB1387" s="29"/>
      <c r="BC1387" s="29"/>
      <c r="BD1387" s="29"/>
      <c r="BE1387" s="29"/>
      <c r="BF1387" s="29"/>
      <c r="BG1387" s="29"/>
      <c r="BH1387" s="29"/>
      <c r="BI1387" s="29"/>
      <c r="BJ1387" s="29"/>
      <c r="BK1387" s="29"/>
      <c r="BL1387" s="29"/>
      <c r="BM1387" s="29"/>
      <c r="BN1387" s="20">
        <f t="shared" si="158"/>
        <v>0</v>
      </c>
      <c r="BO1387" s="20">
        <f t="shared" si="159"/>
        <v>0</v>
      </c>
      <c r="BP1387" s="20">
        <f t="shared" si="160"/>
        <v>2175</v>
      </c>
      <c r="BQ1387" s="51"/>
      <c r="BR1387" s="56"/>
      <c r="BS1387" s="111" t="s">
        <v>2218</v>
      </c>
      <c r="BT1387" s="36"/>
      <c r="BU1387" s="112"/>
    </row>
    <row r="1388" s="1" customFormat="1" customHeight="1" spans="1:73">
      <c r="A1388" s="15" t="s">
        <v>2223</v>
      </c>
      <c r="B1388" s="15" t="s">
        <v>2224</v>
      </c>
      <c r="C1388" s="16">
        <v>2660</v>
      </c>
      <c r="D1388" s="29"/>
      <c r="E1388" s="30"/>
      <c r="F1388" s="29"/>
      <c r="G1388" s="29"/>
      <c r="H1388" s="29"/>
      <c r="I1388" s="29"/>
      <c r="J1388" s="29"/>
      <c r="K1388" s="29"/>
      <c r="L1388" s="29"/>
      <c r="M1388" s="30"/>
      <c r="N1388" s="29"/>
      <c r="O1388" s="29"/>
      <c r="P1388" s="29"/>
      <c r="Q1388" s="30"/>
      <c r="R1388" s="29"/>
      <c r="S1388" s="29"/>
      <c r="T1388" s="29"/>
      <c r="U1388" s="29"/>
      <c r="V1388" s="29"/>
      <c r="W1388" s="29"/>
      <c r="X1388" s="29"/>
      <c r="Y1388" s="29"/>
      <c r="Z1388" s="29"/>
      <c r="AA1388" s="29"/>
      <c r="AB1388" s="29"/>
      <c r="AC1388" s="29"/>
      <c r="AD1388" s="29"/>
      <c r="AE1388" s="30"/>
      <c r="AF1388" s="29"/>
      <c r="AG1388" s="30"/>
      <c r="AH1388" s="29"/>
      <c r="AI1388" s="29"/>
      <c r="AJ1388" s="29"/>
      <c r="AK1388" s="29"/>
      <c r="AL1388" s="29"/>
      <c r="AM1388" s="29"/>
      <c r="AN1388" s="29"/>
      <c r="AO1388" s="29"/>
      <c r="AP1388" s="29"/>
      <c r="AQ1388" s="30"/>
      <c r="AR1388" s="29"/>
      <c r="AS1388" s="82"/>
      <c r="AT1388" s="29"/>
      <c r="AU1388" s="29"/>
      <c r="AV1388" s="29"/>
      <c r="AW1388" s="29"/>
      <c r="AX1388" s="29"/>
      <c r="AY1388" s="29"/>
      <c r="AZ1388" s="29"/>
      <c r="BA1388" s="29"/>
      <c r="BB1388" s="29"/>
      <c r="BC1388" s="29"/>
      <c r="BD1388" s="29"/>
      <c r="BE1388" s="29"/>
      <c r="BF1388" s="29"/>
      <c r="BG1388" s="29"/>
      <c r="BH1388" s="29"/>
      <c r="BI1388" s="29"/>
      <c r="BJ1388" s="29"/>
      <c r="BK1388" s="29"/>
      <c r="BL1388" s="29"/>
      <c r="BM1388" s="29"/>
      <c r="BN1388" s="20">
        <f t="shared" si="158"/>
        <v>0</v>
      </c>
      <c r="BO1388" s="20">
        <f t="shared" si="159"/>
        <v>0</v>
      </c>
      <c r="BP1388" s="20">
        <f t="shared" si="160"/>
        <v>2660</v>
      </c>
      <c r="BQ1388" s="51"/>
      <c r="BR1388" s="56"/>
      <c r="BS1388" s="111"/>
      <c r="BT1388" s="36"/>
      <c r="BU1388" s="112"/>
    </row>
    <row r="1389" s="1" customFormat="1" customHeight="1" spans="1:73">
      <c r="A1389" s="15" t="s">
        <v>2225</v>
      </c>
      <c r="B1389" s="15" t="s">
        <v>2226</v>
      </c>
      <c r="C1389" s="16">
        <v>1150</v>
      </c>
      <c r="D1389" s="29"/>
      <c r="E1389" s="30"/>
      <c r="F1389" s="29"/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  <c r="AA1389" s="29"/>
      <c r="AB1389" s="29"/>
      <c r="AC1389" s="29"/>
      <c r="AD1389" s="29"/>
      <c r="AE1389" s="29"/>
      <c r="AF1389" s="29"/>
      <c r="AG1389" s="30"/>
      <c r="AH1389" s="29"/>
      <c r="AI1389" s="29"/>
      <c r="AJ1389" s="29"/>
      <c r="AK1389" s="30"/>
      <c r="AL1389" s="29"/>
      <c r="AM1389" s="29"/>
      <c r="AN1389" s="29"/>
      <c r="AO1389" s="29"/>
      <c r="AP1389" s="29"/>
      <c r="AQ1389" s="29"/>
      <c r="AR1389" s="29"/>
      <c r="AS1389" s="29"/>
      <c r="AT1389" s="29"/>
      <c r="AU1389" s="29"/>
      <c r="AV1389" s="29"/>
      <c r="AW1389" s="29"/>
      <c r="AX1389" s="29"/>
      <c r="AY1389" s="29"/>
      <c r="AZ1389" s="29"/>
      <c r="BA1389" s="29"/>
      <c r="BB1389" s="29"/>
      <c r="BC1389" s="29"/>
      <c r="BD1389" s="29"/>
      <c r="BE1389" s="29"/>
      <c r="BF1389" s="29"/>
      <c r="BG1389" s="29"/>
      <c r="BH1389" s="29"/>
      <c r="BI1389" s="29"/>
      <c r="BJ1389" s="29"/>
      <c r="BK1389" s="29"/>
      <c r="BL1389" s="29"/>
      <c r="BM1389" s="29"/>
      <c r="BN1389" s="20">
        <f t="shared" si="158"/>
        <v>0</v>
      </c>
      <c r="BO1389" s="20">
        <f t="shared" si="159"/>
        <v>0</v>
      </c>
      <c r="BP1389" s="20">
        <f t="shared" si="160"/>
        <v>1150</v>
      </c>
      <c r="BQ1389" s="51"/>
      <c r="BR1389" s="56"/>
      <c r="BS1389" s="111"/>
      <c r="BT1389" s="36"/>
      <c r="BU1389" s="112"/>
    </row>
    <row r="1390" s="1" customFormat="1" customHeight="1" spans="1:73">
      <c r="A1390" s="15" t="s">
        <v>2227</v>
      </c>
      <c r="B1390" s="15" t="s">
        <v>2228</v>
      </c>
      <c r="C1390" s="16">
        <v>2260</v>
      </c>
      <c r="D1390" s="29"/>
      <c r="E1390" s="30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29"/>
      <c r="AB1390" s="29"/>
      <c r="AC1390" s="29"/>
      <c r="AD1390" s="29"/>
      <c r="AE1390" s="29"/>
      <c r="AF1390" s="29"/>
      <c r="AG1390" s="30"/>
      <c r="AH1390" s="29"/>
      <c r="AI1390" s="29"/>
      <c r="AJ1390" s="29"/>
      <c r="AK1390" s="30"/>
      <c r="AL1390" s="29"/>
      <c r="AM1390" s="29"/>
      <c r="AN1390" s="29"/>
      <c r="AO1390" s="29"/>
      <c r="AP1390" s="29"/>
      <c r="AQ1390" s="29"/>
      <c r="AR1390" s="29"/>
      <c r="AS1390" s="29"/>
      <c r="AT1390" s="29"/>
      <c r="AU1390" s="29"/>
      <c r="AV1390" s="29"/>
      <c r="AW1390" s="29"/>
      <c r="AX1390" s="29"/>
      <c r="AY1390" s="29"/>
      <c r="AZ1390" s="29"/>
      <c r="BA1390" s="29"/>
      <c r="BB1390" s="29"/>
      <c r="BC1390" s="29"/>
      <c r="BD1390" s="29"/>
      <c r="BE1390" s="29"/>
      <c r="BF1390" s="29"/>
      <c r="BG1390" s="29"/>
      <c r="BH1390" s="29"/>
      <c r="BI1390" s="29"/>
      <c r="BJ1390" s="29"/>
      <c r="BK1390" s="29"/>
      <c r="BL1390" s="29"/>
      <c r="BM1390" s="29"/>
      <c r="BN1390" s="20">
        <f t="shared" si="158"/>
        <v>0</v>
      </c>
      <c r="BO1390" s="20">
        <f t="shared" si="159"/>
        <v>0</v>
      </c>
      <c r="BP1390" s="20">
        <f t="shared" si="160"/>
        <v>2260</v>
      </c>
      <c r="BQ1390" s="51"/>
      <c r="BR1390" s="56"/>
      <c r="BS1390" s="111"/>
      <c r="BT1390" s="36"/>
      <c r="BU1390" s="112"/>
    </row>
    <row r="1391" s="1" customFormat="1" customHeight="1" spans="1:73">
      <c r="A1391" s="15" t="s">
        <v>2229</v>
      </c>
      <c r="B1391" s="15" t="s">
        <v>2230</v>
      </c>
      <c r="C1391" s="16">
        <v>1300</v>
      </c>
      <c r="D1391" s="29"/>
      <c r="E1391" s="30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29"/>
      <c r="AB1391" s="29"/>
      <c r="AC1391" s="29"/>
      <c r="AD1391" s="29"/>
      <c r="AE1391" s="29"/>
      <c r="AF1391" s="29"/>
      <c r="AG1391" s="30"/>
      <c r="AH1391" s="29"/>
      <c r="AI1391" s="29"/>
      <c r="AJ1391" s="29"/>
      <c r="AK1391" s="30"/>
      <c r="AL1391" s="29"/>
      <c r="AM1391" s="29"/>
      <c r="AN1391" s="29"/>
      <c r="AO1391" s="29"/>
      <c r="AP1391" s="29"/>
      <c r="AQ1391" s="29"/>
      <c r="AR1391" s="29"/>
      <c r="AS1391" s="29"/>
      <c r="AT1391" s="29"/>
      <c r="AU1391" s="29"/>
      <c r="AV1391" s="29"/>
      <c r="AW1391" s="29"/>
      <c r="AX1391" s="29"/>
      <c r="AY1391" s="29"/>
      <c r="AZ1391" s="29"/>
      <c r="BA1391" s="29"/>
      <c r="BB1391" s="29"/>
      <c r="BC1391" s="29"/>
      <c r="BD1391" s="29"/>
      <c r="BE1391" s="29"/>
      <c r="BF1391" s="29"/>
      <c r="BG1391" s="29"/>
      <c r="BH1391" s="29"/>
      <c r="BI1391" s="29"/>
      <c r="BJ1391" s="29"/>
      <c r="BK1391" s="29"/>
      <c r="BL1391" s="29"/>
      <c r="BM1391" s="29"/>
      <c r="BN1391" s="20">
        <f t="shared" si="158"/>
        <v>0</v>
      </c>
      <c r="BO1391" s="20">
        <f t="shared" si="159"/>
        <v>0</v>
      </c>
      <c r="BP1391" s="20">
        <f t="shared" si="160"/>
        <v>1300</v>
      </c>
      <c r="BQ1391" s="51"/>
      <c r="BR1391" s="56"/>
      <c r="BS1391" s="111"/>
      <c r="BT1391" s="36"/>
      <c r="BU1391" s="112"/>
    </row>
    <row r="1392" s="1" customFormat="1" customHeight="1" spans="1:73">
      <c r="A1392" s="15" t="s">
        <v>2231</v>
      </c>
      <c r="B1392" s="15" t="s">
        <v>2232</v>
      </c>
      <c r="C1392" s="16">
        <v>2587</v>
      </c>
      <c r="D1392" s="29"/>
      <c r="E1392" s="30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29"/>
      <c r="AB1392" s="29"/>
      <c r="AC1392" s="29"/>
      <c r="AD1392" s="29"/>
      <c r="AE1392" s="29"/>
      <c r="AF1392" s="29"/>
      <c r="AG1392" s="30"/>
      <c r="AH1392" s="29"/>
      <c r="AI1392" s="29"/>
      <c r="AJ1392" s="29"/>
      <c r="AK1392" s="30"/>
      <c r="AL1392" s="29"/>
      <c r="AM1392" s="29"/>
      <c r="AN1392" s="29"/>
      <c r="AO1392" s="29"/>
      <c r="AP1392" s="29"/>
      <c r="AQ1392" s="29"/>
      <c r="AR1392" s="29"/>
      <c r="AS1392" s="29"/>
      <c r="AT1392" s="29"/>
      <c r="AU1392" s="29"/>
      <c r="AV1392" s="29"/>
      <c r="AW1392" s="29"/>
      <c r="AX1392" s="29"/>
      <c r="AY1392" s="29"/>
      <c r="AZ1392" s="29"/>
      <c r="BA1392" s="29"/>
      <c r="BB1392" s="29"/>
      <c r="BC1392" s="29"/>
      <c r="BD1392" s="29"/>
      <c r="BE1392" s="29"/>
      <c r="BF1392" s="29"/>
      <c r="BG1392" s="29"/>
      <c r="BH1392" s="29"/>
      <c r="BI1392" s="29"/>
      <c r="BJ1392" s="29"/>
      <c r="BK1392" s="29"/>
      <c r="BL1392" s="29"/>
      <c r="BM1392" s="29"/>
      <c r="BN1392" s="20">
        <f t="shared" si="158"/>
        <v>0</v>
      </c>
      <c r="BO1392" s="20">
        <f t="shared" si="159"/>
        <v>0</v>
      </c>
      <c r="BP1392" s="20">
        <f t="shared" si="160"/>
        <v>2587</v>
      </c>
      <c r="BQ1392" s="51"/>
      <c r="BR1392" s="56"/>
      <c r="BS1392" s="111" t="s">
        <v>2233</v>
      </c>
      <c r="BT1392" s="36"/>
      <c r="BU1392" s="112"/>
    </row>
    <row r="1393" s="1" customFormat="1" customHeight="1" spans="1:73">
      <c r="A1393" s="15" t="s">
        <v>2234</v>
      </c>
      <c r="B1393" s="15" t="s">
        <v>2235</v>
      </c>
      <c r="C1393" s="16">
        <v>1700</v>
      </c>
      <c r="D1393" s="29"/>
      <c r="E1393" s="30"/>
      <c r="F1393" s="29"/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  <c r="AA1393" s="29"/>
      <c r="AB1393" s="29"/>
      <c r="AC1393" s="29"/>
      <c r="AD1393" s="29"/>
      <c r="AE1393" s="29"/>
      <c r="AF1393" s="29"/>
      <c r="AG1393" s="30"/>
      <c r="AH1393" s="29"/>
      <c r="AI1393" s="29"/>
      <c r="AJ1393" s="29"/>
      <c r="AK1393" s="30"/>
      <c r="AL1393" s="29"/>
      <c r="AM1393" s="30"/>
      <c r="AN1393" s="29"/>
      <c r="AO1393" s="29"/>
      <c r="AP1393" s="29"/>
      <c r="AQ1393" s="29"/>
      <c r="AR1393" s="29"/>
      <c r="AS1393" s="30"/>
      <c r="AT1393" s="29"/>
      <c r="AU1393" s="29"/>
      <c r="AV1393" s="29"/>
      <c r="AW1393" s="29"/>
      <c r="AX1393" s="29"/>
      <c r="AY1393" s="29"/>
      <c r="AZ1393" s="29"/>
      <c r="BA1393" s="29"/>
      <c r="BB1393" s="29"/>
      <c r="BC1393" s="29"/>
      <c r="BD1393" s="29"/>
      <c r="BE1393" s="29"/>
      <c r="BF1393" s="29"/>
      <c r="BG1393" s="29"/>
      <c r="BH1393" s="29"/>
      <c r="BI1393" s="29"/>
      <c r="BJ1393" s="29"/>
      <c r="BK1393" s="29"/>
      <c r="BL1393" s="29"/>
      <c r="BM1393" s="29"/>
      <c r="BN1393" s="20">
        <f t="shared" si="158"/>
        <v>0</v>
      </c>
      <c r="BO1393" s="20">
        <f t="shared" si="159"/>
        <v>0</v>
      </c>
      <c r="BP1393" s="20">
        <f t="shared" si="160"/>
        <v>1700</v>
      </c>
      <c r="BQ1393" s="51"/>
      <c r="BR1393" s="56"/>
      <c r="BS1393" s="177" t="s">
        <v>2236</v>
      </c>
      <c r="BT1393" s="36"/>
      <c r="BU1393" s="112"/>
    </row>
    <row r="1394" s="1" customFormat="1" customHeight="1" spans="1:73">
      <c r="A1394" s="15" t="s">
        <v>2237</v>
      </c>
      <c r="B1394" s="15" t="s">
        <v>2238</v>
      </c>
      <c r="C1394" s="16">
        <v>2300</v>
      </c>
      <c r="D1394" s="29"/>
      <c r="E1394" s="30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  <c r="AA1394" s="29"/>
      <c r="AB1394" s="29"/>
      <c r="AC1394" s="29"/>
      <c r="AD1394" s="29"/>
      <c r="AE1394" s="18"/>
      <c r="AF1394" s="29"/>
      <c r="AG1394" s="30"/>
      <c r="AH1394" s="29"/>
      <c r="AI1394" s="29"/>
      <c r="AJ1394" s="29"/>
      <c r="AK1394" s="30"/>
      <c r="AL1394" s="29"/>
      <c r="AM1394" s="29"/>
      <c r="AN1394" s="29"/>
      <c r="AO1394" s="29"/>
      <c r="AP1394" s="29"/>
      <c r="AQ1394" s="29"/>
      <c r="AR1394" s="29"/>
      <c r="AS1394" s="29"/>
      <c r="AT1394" s="29"/>
      <c r="AU1394" s="29"/>
      <c r="AV1394" s="29"/>
      <c r="AW1394" s="29"/>
      <c r="AX1394" s="29"/>
      <c r="AY1394" s="29"/>
      <c r="AZ1394" s="29"/>
      <c r="BA1394" s="29"/>
      <c r="BB1394" s="29"/>
      <c r="BC1394" s="29"/>
      <c r="BD1394" s="29"/>
      <c r="BE1394" s="29"/>
      <c r="BF1394" s="29"/>
      <c r="BG1394" s="29"/>
      <c r="BH1394" s="29"/>
      <c r="BI1394" s="29"/>
      <c r="BJ1394" s="29"/>
      <c r="BK1394" s="190"/>
      <c r="BL1394" s="29"/>
      <c r="BM1394" s="29"/>
      <c r="BN1394" s="20">
        <f t="shared" si="158"/>
        <v>0</v>
      </c>
      <c r="BO1394" s="20">
        <f t="shared" si="159"/>
        <v>0</v>
      </c>
      <c r="BP1394" s="20">
        <f t="shared" si="160"/>
        <v>2300</v>
      </c>
      <c r="BQ1394" s="51"/>
      <c r="BR1394" s="56"/>
      <c r="BS1394" s="177" t="s">
        <v>2236</v>
      </c>
      <c r="BT1394" s="36"/>
      <c r="BU1394" s="112"/>
    </row>
    <row r="1395" s="1" customFormat="1" customHeight="1" spans="1:73">
      <c r="A1395" s="15" t="s">
        <v>2239</v>
      </c>
      <c r="B1395" s="15" t="s">
        <v>2240</v>
      </c>
      <c r="C1395" s="16">
        <v>1360</v>
      </c>
      <c r="D1395" s="29"/>
      <c r="E1395" s="30"/>
      <c r="F1395" s="29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  <c r="AA1395" s="29"/>
      <c r="AB1395" s="29"/>
      <c r="AC1395" s="29"/>
      <c r="AD1395" s="29"/>
      <c r="AE1395" s="29"/>
      <c r="AF1395" s="29"/>
      <c r="AG1395" s="30"/>
      <c r="AH1395" s="29"/>
      <c r="AI1395" s="29"/>
      <c r="AJ1395" s="29"/>
      <c r="AK1395" s="30"/>
      <c r="AL1395" s="29"/>
      <c r="AM1395" s="29"/>
      <c r="AN1395" s="29"/>
      <c r="AO1395" s="29"/>
      <c r="AP1395" s="29"/>
      <c r="AQ1395" s="29"/>
      <c r="AR1395" s="29"/>
      <c r="AS1395" s="29"/>
      <c r="AT1395" s="29"/>
      <c r="AU1395" s="29"/>
      <c r="AV1395" s="29"/>
      <c r="AW1395" s="29"/>
      <c r="AX1395" s="29"/>
      <c r="AY1395" s="29"/>
      <c r="AZ1395" s="29"/>
      <c r="BA1395" s="29"/>
      <c r="BB1395" s="29"/>
      <c r="BC1395" s="29"/>
      <c r="BD1395" s="29"/>
      <c r="BE1395" s="29"/>
      <c r="BF1395" s="29"/>
      <c r="BG1395" s="29"/>
      <c r="BH1395" s="29"/>
      <c r="BI1395" s="29"/>
      <c r="BJ1395" s="29"/>
      <c r="BK1395" s="29"/>
      <c r="BL1395" s="29"/>
      <c r="BM1395" s="29"/>
      <c r="BN1395" s="20">
        <f t="shared" si="158"/>
        <v>0</v>
      </c>
      <c r="BO1395" s="20">
        <f t="shared" si="159"/>
        <v>0</v>
      </c>
      <c r="BP1395" s="20">
        <f t="shared" si="160"/>
        <v>1360</v>
      </c>
      <c r="BQ1395" s="51"/>
      <c r="BR1395" s="56"/>
      <c r="BS1395" s="177"/>
      <c r="BT1395" s="36"/>
      <c r="BU1395" s="112"/>
    </row>
    <row r="1396" s="1" customFormat="1" customHeight="1" spans="1:73">
      <c r="A1396" s="15" t="s">
        <v>2241</v>
      </c>
      <c r="B1396" s="15" t="s">
        <v>2238</v>
      </c>
      <c r="C1396" s="16">
        <v>1335</v>
      </c>
      <c r="D1396" s="29"/>
      <c r="E1396" s="30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  <c r="AC1396" s="29"/>
      <c r="AD1396" s="29"/>
      <c r="AE1396" s="29"/>
      <c r="AF1396" s="29"/>
      <c r="AG1396" s="30"/>
      <c r="AH1396" s="29"/>
      <c r="AI1396" s="29"/>
      <c r="AJ1396" s="29"/>
      <c r="AK1396" s="30"/>
      <c r="AL1396" s="29"/>
      <c r="AM1396" s="29"/>
      <c r="AN1396" s="29"/>
      <c r="AO1396" s="29"/>
      <c r="AP1396" s="29"/>
      <c r="AQ1396" s="29"/>
      <c r="AR1396" s="29"/>
      <c r="AS1396" s="29"/>
      <c r="AT1396" s="29"/>
      <c r="AU1396" s="82"/>
      <c r="AV1396" s="29"/>
      <c r="AW1396" s="29"/>
      <c r="AX1396" s="29"/>
      <c r="AY1396" s="29"/>
      <c r="AZ1396" s="29"/>
      <c r="BA1396" s="29"/>
      <c r="BB1396" s="29"/>
      <c r="BC1396" s="29"/>
      <c r="BD1396" s="29"/>
      <c r="BE1396" s="29"/>
      <c r="BF1396" s="29"/>
      <c r="BG1396" s="29"/>
      <c r="BH1396" s="29"/>
      <c r="BI1396" s="29"/>
      <c r="BJ1396" s="29"/>
      <c r="BK1396" s="29"/>
      <c r="BL1396" s="29"/>
      <c r="BM1396" s="29"/>
      <c r="BN1396" s="20">
        <f t="shared" si="158"/>
        <v>0</v>
      </c>
      <c r="BO1396" s="20">
        <f t="shared" si="159"/>
        <v>0</v>
      </c>
      <c r="BP1396" s="20">
        <f t="shared" si="160"/>
        <v>1335</v>
      </c>
      <c r="BQ1396" s="51"/>
      <c r="BR1396" s="56"/>
      <c r="BS1396" s="111"/>
      <c r="BT1396" s="36"/>
      <c r="BU1396" s="112"/>
    </row>
    <row r="1397" s="1" customFormat="1" customHeight="1" spans="1:73">
      <c r="A1397" s="15" t="s">
        <v>2242</v>
      </c>
      <c r="B1397" s="15" t="s">
        <v>2243</v>
      </c>
      <c r="C1397" s="16">
        <v>1780</v>
      </c>
      <c r="D1397" s="29"/>
      <c r="E1397" s="30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29"/>
      <c r="AB1397" s="29"/>
      <c r="AC1397" s="29"/>
      <c r="AD1397" s="29"/>
      <c r="AE1397" s="29"/>
      <c r="AF1397" s="29"/>
      <c r="AG1397" s="30"/>
      <c r="AH1397" s="29"/>
      <c r="AI1397" s="29"/>
      <c r="AJ1397" s="29"/>
      <c r="AK1397" s="30"/>
      <c r="AL1397" s="29"/>
      <c r="AM1397" s="29"/>
      <c r="AN1397" s="29"/>
      <c r="AO1397" s="29"/>
      <c r="AP1397" s="29"/>
      <c r="AQ1397" s="29"/>
      <c r="AR1397" s="29"/>
      <c r="AS1397" s="29"/>
      <c r="AT1397" s="29"/>
      <c r="AU1397" s="82"/>
      <c r="AV1397" s="29"/>
      <c r="AW1397" s="29"/>
      <c r="AX1397" s="29"/>
      <c r="AY1397" s="29"/>
      <c r="AZ1397" s="29"/>
      <c r="BA1397" s="29"/>
      <c r="BB1397" s="29"/>
      <c r="BC1397" s="29"/>
      <c r="BD1397" s="29"/>
      <c r="BE1397" s="29"/>
      <c r="BF1397" s="29"/>
      <c r="BG1397" s="29"/>
      <c r="BH1397" s="29"/>
      <c r="BI1397" s="29"/>
      <c r="BJ1397" s="29"/>
      <c r="BK1397" s="29"/>
      <c r="BL1397" s="29"/>
      <c r="BM1397" s="29"/>
      <c r="BN1397" s="20">
        <f t="shared" si="158"/>
        <v>0</v>
      </c>
      <c r="BO1397" s="20">
        <f t="shared" si="159"/>
        <v>0</v>
      </c>
      <c r="BP1397" s="20">
        <f t="shared" si="160"/>
        <v>1780</v>
      </c>
      <c r="BQ1397" s="51"/>
      <c r="BR1397" s="56"/>
      <c r="BS1397" s="111"/>
      <c r="BT1397" s="36"/>
      <c r="BU1397" s="112"/>
    </row>
    <row r="1398" s="1" customFormat="1" customHeight="1" spans="1:73">
      <c r="A1398" s="15" t="s">
        <v>2244</v>
      </c>
      <c r="B1398" s="15" t="s">
        <v>2245</v>
      </c>
      <c r="C1398" s="16">
        <v>1730</v>
      </c>
      <c r="D1398" s="29"/>
      <c r="E1398" s="30"/>
      <c r="F1398" s="29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29"/>
      <c r="AB1398" s="29"/>
      <c r="AC1398" s="29"/>
      <c r="AD1398" s="29"/>
      <c r="AE1398" s="29"/>
      <c r="AF1398" s="29"/>
      <c r="AG1398" s="30"/>
      <c r="AH1398" s="29"/>
      <c r="AI1398" s="29"/>
      <c r="AJ1398" s="29"/>
      <c r="AK1398" s="30"/>
      <c r="AL1398" s="29"/>
      <c r="AM1398" s="29"/>
      <c r="AN1398" s="29"/>
      <c r="AO1398" s="29"/>
      <c r="AP1398" s="29"/>
      <c r="AQ1398" s="29"/>
      <c r="AR1398" s="29"/>
      <c r="AS1398" s="29"/>
      <c r="AT1398" s="29"/>
      <c r="AU1398" s="82"/>
      <c r="AV1398" s="29"/>
      <c r="AW1398" s="29"/>
      <c r="AX1398" s="29"/>
      <c r="AY1398" s="29"/>
      <c r="AZ1398" s="29"/>
      <c r="BA1398" s="29"/>
      <c r="BB1398" s="29"/>
      <c r="BC1398" s="29"/>
      <c r="BD1398" s="29"/>
      <c r="BE1398" s="29"/>
      <c r="BF1398" s="29"/>
      <c r="BG1398" s="29"/>
      <c r="BH1398" s="29"/>
      <c r="BI1398" s="29"/>
      <c r="BJ1398" s="29"/>
      <c r="BK1398" s="29"/>
      <c r="BL1398" s="29"/>
      <c r="BM1398" s="29"/>
      <c r="BN1398" s="20">
        <f t="shared" si="158"/>
        <v>0</v>
      </c>
      <c r="BO1398" s="20">
        <f t="shared" si="159"/>
        <v>0</v>
      </c>
      <c r="BP1398" s="20">
        <f t="shared" si="160"/>
        <v>1730</v>
      </c>
      <c r="BQ1398" s="51"/>
      <c r="BR1398" s="56"/>
      <c r="BS1398" s="111"/>
      <c r="BT1398" s="36"/>
      <c r="BU1398" s="112"/>
    </row>
    <row r="1399" s="1" customFormat="1" customHeight="1" spans="1:73">
      <c r="A1399" s="15" t="s">
        <v>2246</v>
      </c>
      <c r="B1399" s="15" t="s">
        <v>2247</v>
      </c>
      <c r="C1399" s="16">
        <v>694</v>
      </c>
      <c r="D1399" s="29"/>
      <c r="E1399" s="30"/>
      <c r="F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29"/>
      <c r="AB1399" s="29"/>
      <c r="AC1399" s="29"/>
      <c r="AD1399" s="29"/>
      <c r="AE1399" s="29"/>
      <c r="AF1399" s="29"/>
      <c r="AG1399" s="30"/>
      <c r="AH1399" s="29"/>
      <c r="AI1399" s="29"/>
      <c r="AJ1399" s="29"/>
      <c r="AK1399" s="30"/>
      <c r="AL1399" s="29"/>
      <c r="AM1399" s="29"/>
      <c r="AN1399" s="29"/>
      <c r="AO1399" s="29"/>
      <c r="AP1399" s="29"/>
      <c r="AQ1399" s="29"/>
      <c r="AR1399" s="29"/>
      <c r="AS1399" s="29"/>
      <c r="AT1399" s="29"/>
      <c r="AU1399" s="82"/>
      <c r="AV1399" s="29"/>
      <c r="AW1399" s="29"/>
      <c r="AX1399" s="29"/>
      <c r="AY1399" s="29"/>
      <c r="AZ1399" s="29"/>
      <c r="BA1399" s="29"/>
      <c r="BB1399" s="29"/>
      <c r="BC1399" s="29"/>
      <c r="BD1399" s="29"/>
      <c r="BE1399" s="29"/>
      <c r="BF1399" s="29"/>
      <c r="BG1399" s="29"/>
      <c r="BH1399" s="29"/>
      <c r="BI1399" s="29"/>
      <c r="BJ1399" s="29"/>
      <c r="BK1399" s="29"/>
      <c r="BL1399" s="29"/>
      <c r="BM1399" s="29"/>
      <c r="BN1399" s="20">
        <f t="shared" si="158"/>
        <v>0</v>
      </c>
      <c r="BO1399" s="20">
        <f t="shared" si="159"/>
        <v>0</v>
      </c>
      <c r="BP1399" s="20">
        <f t="shared" si="160"/>
        <v>694</v>
      </c>
      <c r="BQ1399" s="51"/>
      <c r="BR1399" s="56"/>
      <c r="BS1399" s="111" t="s">
        <v>2248</v>
      </c>
      <c r="BT1399" s="36"/>
      <c r="BU1399" s="112"/>
    </row>
    <row r="1400" s="1" customFormat="1" customHeight="1" spans="1:73">
      <c r="A1400" s="15" t="s">
        <v>2249</v>
      </c>
      <c r="B1400" s="15" t="s">
        <v>2250</v>
      </c>
      <c r="C1400" s="16">
        <v>5410</v>
      </c>
      <c r="D1400" s="29"/>
      <c r="E1400" s="30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29"/>
      <c r="AB1400" s="29"/>
      <c r="AC1400" s="29"/>
      <c r="AD1400" s="29"/>
      <c r="AE1400" s="29"/>
      <c r="AF1400" s="29"/>
      <c r="AG1400" s="30"/>
      <c r="AH1400" s="29"/>
      <c r="AI1400" s="29"/>
      <c r="AJ1400" s="29"/>
      <c r="AK1400" s="30"/>
      <c r="AL1400" s="29"/>
      <c r="AM1400" s="29"/>
      <c r="AN1400" s="29"/>
      <c r="AO1400" s="29"/>
      <c r="AP1400" s="29"/>
      <c r="AQ1400" s="29"/>
      <c r="AR1400" s="29"/>
      <c r="AS1400" s="29"/>
      <c r="AT1400" s="29"/>
      <c r="AU1400" s="29"/>
      <c r="AV1400" s="29"/>
      <c r="AW1400" s="29"/>
      <c r="AX1400" s="29"/>
      <c r="AY1400" s="29"/>
      <c r="AZ1400" s="29"/>
      <c r="BA1400" s="29"/>
      <c r="BB1400" s="29"/>
      <c r="BC1400" s="29"/>
      <c r="BD1400" s="29"/>
      <c r="BE1400" s="29"/>
      <c r="BF1400" s="29"/>
      <c r="BG1400" s="29"/>
      <c r="BH1400" s="29"/>
      <c r="BI1400" s="29"/>
      <c r="BJ1400" s="29"/>
      <c r="BK1400" s="29"/>
      <c r="BL1400" s="29"/>
      <c r="BM1400" s="29"/>
      <c r="BN1400" s="20">
        <f t="shared" si="158"/>
        <v>0</v>
      </c>
      <c r="BO1400" s="20">
        <f t="shared" si="159"/>
        <v>0</v>
      </c>
      <c r="BP1400" s="20">
        <f t="shared" si="160"/>
        <v>5410</v>
      </c>
      <c r="BQ1400" s="51"/>
      <c r="BR1400" s="56"/>
      <c r="BS1400" s="111"/>
      <c r="BT1400" s="36"/>
      <c r="BU1400" s="112"/>
    </row>
    <row r="1401" s="1" customFormat="1" customHeight="1" spans="1:73">
      <c r="A1401" s="15" t="s">
        <v>2251</v>
      </c>
      <c r="B1401" s="15" t="s">
        <v>2250</v>
      </c>
      <c r="C1401" s="16">
        <v>1549</v>
      </c>
      <c r="D1401" s="29"/>
      <c r="E1401" s="29"/>
      <c r="F1401" s="29"/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29"/>
      <c r="AB1401" s="29"/>
      <c r="AC1401" s="29"/>
      <c r="AD1401" s="29"/>
      <c r="AE1401" s="29"/>
      <c r="AF1401" s="29"/>
      <c r="AG1401" s="30"/>
      <c r="AH1401" s="29"/>
      <c r="AI1401" s="29"/>
      <c r="AJ1401" s="29"/>
      <c r="AK1401" s="30"/>
      <c r="AL1401" s="29"/>
      <c r="AM1401" s="29"/>
      <c r="AN1401" s="29"/>
      <c r="AO1401" s="29"/>
      <c r="AP1401" s="29"/>
      <c r="AQ1401" s="29"/>
      <c r="AR1401" s="29"/>
      <c r="AS1401" s="29"/>
      <c r="AT1401" s="29"/>
      <c r="AU1401" s="29"/>
      <c r="AV1401" s="29"/>
      <c r="AW1401" s="29"/>
      <c r="AX1401" s="29"/>
      <c r="AY1401" s="29"/>
      <c r="AZ1401" s="29"/>
      <c r="BA1401" s="29"/>
      <c r="BB1401" s="29"/>
      <c r="BC1401" s="29"/>
      <c r="BD1401" s="29"/>
      <c r="BE1401" s="29"/>
      <c r="BF1401" s="29"/>
      <c r="BG1401" s="29"/>
      <c r="BH1401" s="29"/>
      <c r="BI1401" s="29"/>
      <c r="BJ1401" s="29"/>
      <c r="BK1401" s="29"/>
      <c r="BL1401" s="29"/>
      <c r="BM1401" s="29"/>
      <c r="BN1401" s="20">
        <f t="shared" si="158"/>
        <v>0</v>
      </c>
      <c r="BO1401" s="20">
        <f t="shared" si="159"/>
        <v>0</v>
      </c>
      <c r="BP1401" s="20">
        <f t="shared" si="160"/>
        <v>1549</v>
      </c>
      <c r="BQ1401" s="51"/>
      <c r="BR1401" s="56"/>
      <c r="BS1401" s="111"/>
      <c r="BT1401" s="36"/>
      <c r="BU1401" s="112"/>
    </row>
    <row r="1402" s="1" customFormat="1" customHeight="1" spans="1:73">
      <c r="A1402" s="15" t="s">
        <v>2252</v>
      </c>
      <c r="B1402" s="15" t="s">
        <v>2250</v>
      </c>
      <c r="C1402" s="16">
        <v>3975</v>
      </c>
      <c r="D1402" s="29"/>
      <c r="E1402" s="30"/>
      <c r="F1402" s="29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  <c r="AA1402" s="29"/>
      <c r="AB1402" s="29"/>
      <c r="AC1402" s="29"/>
      <c r="AD1402" s="29"/>
      <c r="AE1402" s="29"/>
      <c r="AF1402" s="29"/>
      <c r="AG1402" s="30"/>
      <c r="AH1402" s="29"/>
      <c r="AI1402" s="29"/>
      <c r="AJ1402" s="29"/>
      <c r="AK1402" s="30"/>
      <c r="AL1402" s="29"/>
      <c r="AM1402" s="29"/>
      <c r="AN1402" s="29"/>
      <c r="AO1402" s="29"/>
      <c r="AP1402" s="29"/>
      <c r="AQ1402" s="29"/>
      <c r="AR1402" s="29"/>
      <c r="AS1402" s="30"/>
      <c r="AT1402" s="29"/>
      <c r="AU1402" s="29"/>
      <c r="AV1402" s="29"/>
      <c r="AW1402" s="29"/>
      <c r="AX1402" s="29"/>
      <c r="AY1402" s="29"/>
      <c r="AZ1402" s="29"/>
      <c r="BA1402" s="29"/>
      <c r="BB1402" s="29"/>
      <c r="BC1402" s="29"/>
      <c r="BD1402" s="29"/>
      <c r="BE1402" s="29"/>
      <c r="BF1402" s="29"/>
      <c r="BG1402" s="29"/>
      <c r="BH1402" s="29"/>
      <c r="BI1402" s="29"/>
      <c r="BJ1402" s="29"/>
      <c r="BK1402" s="82"/>
      <c r="BL1402" s="29"/>
      <c r="BM1402" s="29"/>
      <c r="BN1402" s="20">
        <f t="shared" si="158"/>
        <v>0</v>
      </c>
      <c r="BO1402" s="20">
        <f t="shared" si="159"/>
        <v>0</v>
      </c>
      <c r="BP1402" s="20">
        <f t="shared" si="160"/>
        <v>3975</v>
      </c>
      <c r="BQ1402" s="51"/>
      <c r="BR1402" s="56"/>
      <c r="BS1402" s="111"/>
      <c r="BT1402" s="36"/>
      <c r="BU1402" s="112"/>
    </row>
    <row r="1403" s="1" customFormat="1" customHeight="1" spans="1:73">
      <c r="A1403" s="15" t="s">
        <v>2253</v>
      </c>
      <c r="B1403" s="15" t="s">
        <v>2254</v>
      </c>
      <c r="C1403" s="16">
        <v>2587</v>
      </c>
      <c r="D1403" s="29"/>
      <c r="E1403" s="30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  <c r="AA1403" s="29"/>
      <c r="AB1403" s="29"/>
      <c r="AC1403" s="29"/>
      <c r="AD1403" s="29"/>
      <c r="AE1403" s="29"/>
      <c r="AF1403" s="29"/>
      <c r="AG1403" s="30"/>
      <c r="AH1403" s="29"/>
      <c r="AI1403" s="29"/>
      <c r="AJ1403" s="29"/>
      <c r="AK1403" s="30"/>
      <c r="AL1403" s="29"/>
      <c r="AM1403" s="29"/>
      <c r="AN1403" s="29"/>
      <c r="AO1403" s="29"/>
      <c r="AP1403" s="29"/>
      <c r="AQ1403" s="29"/>
      <c r="AR1403" s="29"/>
      <c r="AS1403" s="30"/>
      <c r="AT1403" s="29"/>
      <c r="AU1403" s="29"/>
      <c r="AV1403" s="29"/>
      <c r="AW1403" s="29"/>
      <c r="AX1403" s="29"/>
      <c r="AY1403" s="29"/>
      <c r="AZ1403" s="29"/>
      <c r="BA1403" s="29"/>
      <c r="BB1403" s="29"/>
      <c r="BC1403" s="29"/>
      <c r="BD1403" s="29"/>
      <c r="BE1403" s="29"/>
      <c r="BF1403" s="29"/>
      <c r="BG1403" s="29"/>
      <c r="BH1403" s="29"/>
      <c r="BI1403" s="29"/>
      <c r="BJ1403" s="29"/>
      <c r="BK1403" s="29"/>
      <c r="BL1403" s="29"/>
      <c r="BM1403" s="29"/>
      <c r="BN1403" s="20">
        <f t="shared" si="158"/>
        <v>0</v>
      </c>
      <c r="BO1403" s="20">
        <f t="shared" si="159"/>
        <v>0</v>
      </c>
      <c r="BP1403" s="20">
        <f t="shared" si="160"/>
        <v>2587</v>
      </c>
      <c r="BQ1403" s="51"/>
      <c r="BR1403" s="56"/>
      <c r="BS1403" s="111"/>
      <c r="BT1403" s="36"/>
      <c r="BU1403" s="112"/>
    </row>
    <row r="1404" s="1" customFormat="1" customHeight="1" spans="1:73">
      <c r="A1404" s="28" t="s">
        <v>2255</v>
      </c>
      <c r="B1404" s="15" t="s">
        <v>2245</v>
      </c>
      <c r="C1404" s="16">
        <v>3853</v>
      </c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  <c r="AA1404" s="29"/>
      <c r="AB1404" s="29"/>
      <c r="AC1404" s="29"/>
      <c r="AD1404" s="29"/>
      <c r="AE1404" s="29"/>
      <c r="AF1404" s="29"/>
      <c r="AG1404" s="30"/>
      <c r="AH1404" s="29"/>
      <c r="AI1404" s="29"/>
      <c r="AJ1404" s="29"/>
      <c r="AK1404" s="30"/>
      <c r="AL1404" s="29"/>
      <c r="AM1404" s="29"/>
      <c r="AN1404" s="29"/>
      <c r="AO1404" s="29"/>
      <c r="AP1404" s="29"/>
      <c r="AQ1404" s="29"/>
      <c r="AR1404" s="29"/>
      <c r="AS1404" s="30"/>
      <c r="AT1404" s="29"/>
      <c r="AU1404" s="29"/>
      <c r="AV1404" s="29"/>
      <c r="AW1404" s="29"/>
      <c r="AX1404" s="29"/>
      <c r="AY1404" s="29"/>
      <c r="AZ1404" s="29"/>
      <c r="BA1404" s="29"/>
      <c r="BB1404" s="29"/>
      <c r="BC1404" s="29"/>
      <c r="BD1404" s="29"/>
      <c r="BE1404" s="29"/>
      <c r="BF1404" s="29"/>
      <c r="BG1404" s="29"/>
      <c r="BH1404" s="29"/>
      <c r="BI1404" s="29"/>
      <c r="BJ1404" s="29"/>
      <c r="BK1404" s="82"/>
      <c r="BL1404" s="29"/>
      <c r="BM1404" s="29"/>
      <c r="BN1404" s="20">
        <f t="shared" si="158"/>
        <v>0</v>
      </c>
      <c r="BO1404" s="20">
        <f t="shared" si="159"/>
        <v>0</v>
      </c>
      <c r="BP1404" s="20">
        <f t="shared" si="160"/>
        <v>3853</v>
      </c>
      <c r="BQ1404" s="51"/>
      <c r="BR1404" s="56"/>
      <c r="BS1404" s="111"/>
      <c r="BT1404" s="36"/>
      <c r="BU1404" s="112"/>
    </row>
    <row r="1405" s="1" customFormat="1" customHeight="1" spans="1:73">
      <c r="A1405" s="15" t="s">
        <v>2256</v>
      </c>
      <c r="B1405" s="15" t="s">
        <v>2257</v>
      </c>
      <c r="C1405" s="16">
        <v>3654</v>
      </c>
      <c r="D1405" s="29"/>
      <c r="E1405" s="30"/>
      <c r="F1405" s="29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29"/>
      <c r="AB1405" s="29"/>
      <c r="AC1405" s="29"/>
      <c r="AD1405" s="29"/>
      <c r="AE1405" s="29"/>
      <c r="AF1405" s="29"/>
      <c r="AG1405" s="30"/>
      <c r="AH1405" s="29"/>
      <c r="AI1405" s="29"/>
      <c r="AJ1405" s="29"/>
      <c r="AK1405" s="30"/>
      <c r="AL1405" s="29"/>
      <c r="AM1405" s="29"/>
      <c r="AN1405" s="29"/>
      <c r="AO1405" s="29"/>
      <c r="AP1405" s="29"/>
      <c r="AQ1405" s="29"/>
      <c r="AR1405" s="29"/>
      <c r="AS1405" s="30"/>
      <c r="AT1405" s="29"/>
      <c r="AU1405" s="29"/>
      <c r="AV1405" s="29"/>
      <c r="AW1405" s="29"/>
      <c r="AX1405" s="29"/>
      <c r="AY1405" s="29"/>
      <c r="AZ1405" s="29"/>
      <c r="BA1405" s="29"/>
      <c r="BB1405" s="29"/>
      <c r="BC1405" s="29"/>
      <c r="BD1405" s="29"/>
      <c r="BE1405" s="29"/>
      <c r="BF1405" s="29"/>
      <c r="BG1405" s="29"/>
      <c r="BH1405" s="29"/>
      <c r="BI1405" s="29"/>
      <c r="BJ1405" s="29"/>
      <c r="BK1405" s="29"/>
      <c r="BL1405" s="29"/>
      <c r="BM1405" s="29"/>
      <c r="BN1405" s="20">
        <f t="shared" si="158"/>
        <v>0</v>
      </c>
      <c r="BO1405" s="20">
        <f t="shared" si="159"/>
        <v>0</v>
      </c>
      <c r="BP1405" s="20">
        <f t="shared" si="160"/>
        <v>3654</v>
      </c>
      <c r="BQ1405" s="51"/>
      <c r="BR1405" s="56"/>
      <c r="BS1405" s="111"/>
      <c r="BT1405" s="36"/>
      <c r="BU1405" s="112"/>
    </row>
    <row r="1406" s="1" customFormat="1" customHeight="1" spans="1:73">
      <c r="A1406" s="15" t="s">
        <v>2258</v>
      </c>
      <c r="B1406" s="15" t="s">
        <v>2238</v>
      </c>
      <c r="C1406" s="16">
        <v>1082</v>
      </c>
      <c r="D1406" s="29"/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30"/>
      <c r="R1406" s="29"/>
      <c r="S1406" s="29"/>
      <c r="T1406" s="29"/>
      <c r="U1406" s="29"/>
      <c r="V1406" s="29"/>
      <c r="W1406" s="29"/>
      <c r="X1406" s="29"/>
      <c r="Y1406" s="29"/>
      <c r="Z1406" s="29"/>
      <c r="AA1406" s="29"/>
      <c r="AB1406" s="29"/>
      <c r="AC1406" s="29"/>
      <c r="AD1406" s="29"/>
      <c r="AE1406" s="29"/>
      <c r="AF1406" s="29"/>
      <c r="AG1406" s="30"/>
      <c r="AH1406" s="29"/>
      <c r="AI1406" s="29"/>
      <c r="AJ1406" s="29"/>
      <c r="AK1406" s="30"/>
      <c r="AL1406" s="29"/>
      <c r="AM1406" s="29"/>
      <c r="AN1406" s="29"/>
      <c r="AO1406" s="29"/>
      <c r="AP1406" s="29"/>
      <c r="AQ1406" s="29"/>
      <c r="AR1406" s="29"/>
      <c r="AS1406" s="29"/>
      <c r="AT1406" s="29"/>
      <c r="AU1406" s="29"/>
      <c r="AV1406" s="29"/>
      <c r="AW1406" s="29"/>
      <c r="AX1406" s="29"/>
      <c r="AY1406" s="29"/>
      <c r="AZ1406" s="29"/>
      <c r="BA1406" s="29"/>
      <c r="BB1406" s="29"/>
      <c r="BC1406" s="29"/>
      <c r="BD1406" s="29"/>
      <c r="BE1406" s="29"/>
      <c r="BF1406" s="29"/>
      <c r="BG1406" s="29"/>
      <c r="BH1406" s="29"/>
      <c r="BI1406" s="29"/>
      <c r="BJ1406" s="29"/>
      <c r="BK1406" s="29"/>
      <c r="BL1406" s="29"/>
      <c r="BM1406" s="29"/>
      <c r="BN1406" s="20">
        <f t="shared" si="158"/>
        <v>0</v>
      </c>
      <c r="BO1406" s="20">
        <f t="shared" si="159"/>
        <v>0</v>
      </c>
      <c r="BP1406" s="20">
        <f t="shared" si="160"/>
        <v>1082</v>
      </c>
      <c r="BQ1406" s="51"/>
      <c r="BR1406" s="56"/>
      <c r="BS1406" s="111"/>
      <c r="BT1406" s="36"/>
      <c r="BU1406" s="112"/>
    </row>
    <row r="1407" s="1" customFormat="1" customHeight="1" spans="1:73">
      <c r="A1407" s="15" t="s">
        <v>2259</v>
      </c>
      <c r="B1407" s="15" t="s">
        <v>2260</v>
      </c>
      <c r="C1407" s="16">
        <v>650</v>
      </c>
      <c r="D1407" s="29"/>
      <c r="E1407" s="30"/>
      <c r="F1407" s="29"/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  <c r="AA1407" s="29"/>
      <c r="AB1407" s="29"/>
      <c r="AC1407" s="29"/>
      <c r="AD1407" s="29"/>
      <c r="AE1407" s="29"/>
      <c r="AF1407" s="29"/>
      <c r="AG1407" s="30"/>
      <c r="AH1407" s="29"/>
      <c r="AI1407" s="29"/>
      <c r="AJ1407" s="29"/>
      <c r="AK1407" s="30"/>
      <c r="AL1407" s="29"/>
      <c r="AM1407" s="29"/>
      <c r="AN1407" s="29"/>
      <c r="AO1407" s="29"/>
      <c r="AP1407" s="29"/>
      <c r="AQ1407" s="30"/>
      <c r="AR1407" s="29"/>
      <c r="AS1407" s="29"/>
      <c r="AT1407" s="29"/>
      <c r="AU1407" s="29"/>
      <c r="AV1407" s="29"/>
      <c r="AW1407" s="29"/>
      <c r="AX1407" s="29"/>
      <c r="AY1407" s="29"/>
      <c r="AZ1407" s="29"/>
      <c r="BA1407" s="29"/>
      <c r="BB1407" s="29"/>
      <c r="BC1407" s="29"/>
      <c r="BD1407" s="29"/>
      <c r="BE1407" s="29"/>
      <c r="BF1407" s="29"/>
      <c r="BG1407" s="29"/>
      <c r="BH1407" s="29"/>
      <c r="BI1407" s="29"/>
      <c r="BJ1407" s="29"/>
      <c r="BK1407" s="29"/>
      <c r="BL1407" s="29"/>
      <c r="BM1407" s="29"/>
      <c r="BN1407" s="20">
        <f t="shared" si="158"/>
        <v>0</v>
      </c>
      <c r="BO1407" s="20">
        <f t="shared" si="159"/>
        <v>0</v>
      </c>
      <c r="BP1407" s="20">
        <f t="shared" si="160"/>
        <v>650</v>
      </c>
      <c r="BQ1407" s="51"/>
      <c r="BR1407" s="56"/>
      <c r="BS1407" s="111" t="s">
        <v>2261</v>
      </c>
      <c r="BT1407" s="36" t="s">
        <v>2262</v>
      </c>
      <c r="BU1407" s="112"/>
    </row>
    <row r="1408" s="1" customFormat="1" customHeight="1" spans="1:73">
      <c r="A1408" s="15" t="s">
        <v>2263</v>
      </c>
      <c r="B1408" s="15" t="s">
        <v>2254</v>
      </c>
      <c r="C1408" s="16">
        <v>1500</v>
      </c>
      <c r="D1408" s="29"/>
      <c r="E1408" s="30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  <c r="AA1408" s="29"/>
      <c r="AB1408" s="29"/>
      <c r="AC1408" s="29"/>
      <c r="AD1408" s="29"/>
      <c r="AE1408" s="29"/>
      <c r="AF1408" s="29"/>
      <c r="AG1408" s="30"/>
      <c r="AH1408" s="29"/>
      <c r="AI1408" s="29"/>
      <c r="AJ1408" s="29"/>
      <c r="AK1408" s="30"/>
      <c r="AL1408" s="29"/>
      <c r="AM1408" s="29"/>
      <c r="AN1408" s="29"/>
      <c r="AO1408" s="29"/>
      <c r="AP1408" s="29"/>
      <c r="AQ1408" s="29"/>
      <c r="AR1408" s="29"/>
      <c r="AS1408" s="82"/>
      <c r="AT1408" s="29"/>
      <c r="AU1408" s="29"/>
      <c r="AV1408" s="29"/>
      <c r="AW1408" s="29"/>
      <c r="AX1408" s="29"/>
      <c r="AY1408" s="29"/>
      <c r="AZ1408" s="29"/>
      <c r="BA1408" s="29"/>
      <c r="BB1408" s="29"/>
      <c r="BC1408" s="29"/>
      <c r="BD1408" s="29"/>
      <c r="BE1408" s="29"/>
      <c r="BF1408" s="29"/>
      <c r="BG1408" s="29"/>
      <c r="BH1408" s="29"/>
      <c r="BI1408" s="29"/>
      <c r="BJ1408" s="29"/>
      <c r="BK1408" s="29"/>
      <c r="BL1408" s="29"/>
      <c r="BM1408" s="29"/>
      <c r="BN1408" s="20">
        <f t="shared" si="158"/>
        <v>0</v>
      </c>
      <c r="BO1408" s="20">
        <f t="shared" si="159"/>
        <v>0</v>
      </c>
      <c r="BP1408" s="20">
        <f t="shared" si="160"/>
        <v>1500</v>
      </c>
      <c r="BQ1408" s="51"/>
      <c r="BR1408" s="56"/>
      <c r="BS1408" s="111"/>
      <c r="BT1408" s="36"/>
      <c r="BU1408" s="112"/>
    </row>
    <row r="1409" s="1" customFormat="1" customHeight="1" spans="1:73">
      <c r="A1409" s="15" t="s">
        <v>2264</v>
      </c>
      <c r="B1409" s="15" t="s">
        <v>2243</v>
      </c>
      <c r="C1409" s="16">
        <v>1110</v>
      </c>
      <c r="D1409" s="29"/>
      <c r="E1409" s="30"/>
      <c r="F1409" s="29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  <c r="AA1409" s="29"/>
      <c r="AB1409" s="29"/>
      <c r="AC1409" s="29"/>
      <c r="AD1409" s="29"/>
      <c r="AE1409" s="29"/>
      <c r="AF1409" s="29"/>
      <c r="AG1409" s="30"/>
      <c r="AH1409" s="29"/>
      <c r="AI1409" s="29"/>
      <c r="AJ1409" s="29"/>
      <c r="AK1409" s="30"/>
      <c r="AL1409" s="29"/>
      <c r="AM1409" s="29"/>
      <c r="AN1409" s="29"/>
      <c r="AO1409" s="29"/>
      <c r="AP1409" s="29"/>
      <c r="AQ1409" s="29"/>
      <c r="AR1409" s="29"/>
      <c r="AS1409" s="29"/>
      <c r="AT1409" s="29"/>
      <c r="AU1409" s="29"/>
      <c r="AV1409" s="29"/>
      <c r="AW1409" s="29"/>
      <c r="AX1409" s="29"/>
      <c r="AY1409" s="29"/>
      <c r="AZ1409" s="29"/>
      <c r="BA1409" s="29"/>
      <c r="BB1409" s="29"/>
      <c r="BC1409" s="29"/>
      <c r="BD1409" s="29"/>
      <c r="BE1409" s="29"/>
      <c r="BF1409" s="29"/>
      <c r="BG1409" s="29"/>
      <c r="BH1409" s="29"/>
      <c r="BI1409" s="29"/>
      <c r="BJ1409" s="29"/>
      <c r="BK1409" s="29"/>
      <c r="BL1409" s="29"/>
      <c r="BM1409" s="29"/>
      <c r="BN1409" s="20">
        <f t="shared" si="158"/>
        <v>0</v>
      </c>
      <c r="BO1409" s="20">
        <f t="shared" si="159"/>
        <v>0</v>
      </c>
      <c r="BP1409" s="20">
        <f t="shared" si="160"/>
        <v>1110</v>
      </c>
      <c r="BQ1409" s="51"/>
      <c r="BR1409" s="56"/>
      <c r="BS1409" s="111"/>
      <c r="BT1409" s="36"/>
      <c r="BU1409" s="112"/>
    </row>
    <row r="1410" s="1" customFormat="1" customHeight="1" spans="1:73">
      <c r="A1410" s="15" t="s">
        <v>2265</v>
      </c>
      <c r="B1410" s="15" t="s">
        <v>2245</v>
      </c>
      <c r="C1410" s="16">
        <v>529</v>
      </c>
      <c r="D1410" s="29"/>
      <c r="E1410" s="30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29"/>
      <c r="AB1410" s="29"/>
      <c r="AC1410" s="29"/>
      <c r="AD1410" s="29"/>
      <c r="AE1410" s="29"/>
      <c r="AF1410" s="29"/>
      <c r="AG1410" s="30"/>
      <c r="AH1410" s="29"/>
      <c r="AI1410" s="29"/>
      <c r="AJ1410" s="29"/>
      <c r="AK1410" s="30"/>
      <c r="AL1410" s="29"/>
      <c r="AM1410" s="29"/>
      <c r="AN1410" s="29"/>
      <c r="AO1410" s="29"/>
      <c r="AP1410" s="29"/>
      <c r="AQ1410" s="29"/>
      <c r="AR1410" s="29"/>
      <c r="AS1410" s="29"/>
      <c r="AT1410" s="29"/>
      <c r="AU1410" s="82"/>
      <c r="AV1410" s="29"/>
      <c r="AW1410" s="29"/>
      <c r="AX1410" s="29"/>
      <c r="AY1410" s="29"/>
      <c r="AZ1410" s="29"/>
      <c r="BA1410" s="29"/>
      <c r="BB1410" s="29"/>
      <c r="BC1410" s="29"/>
      <c r="BD1410" s="29"/>
      <c r="BE1410" s="29"/>
      <c r="BF1410" s="29"/>
      <c r="BG1410" s="29"/>
      <c r="BH1410" s="29"/>
      <c r="BI1410" s="29"/>
      <c r="BJ1410" s="29"/>
      <c r="BK1410" s="29"/>
      <c r="BL1410" s="29"/>
      <c r="BM1410" s="29"/>
      <c r="BN1410" s="20">
        <f t="shared" si="158"/>
        <v>0</v>
      </c>
      <c r="BO1410" s="20">
        <f t="shared" si="159"/>
        <v>0</v>
      </c>
      <c r="BP1410" s="20">
        <f t="shared" si="160"/>
        <v>529</v>
      </c>
      <c r="BQ1410" s="51"/>
      <c r="BR1410" s="56"/>
      <c r="BS1410" s="111"/>
      <c r="BT1410" s="36"/>
      <c r="BU1410" s="112"/>
    </row>
    <row r="1411" s="1" customFormat="1" customHeight="1" spans="1:73">
      <c r="A1411" s="15" t="s">
        <v>2266</v>
      </c>
      <c r="B1411" s="15" t="s">
        <v>2243</v>
      </c>
      <c r="C1411" s="16">
        <v>680</v>
      </c>
      <c r="D1411" s="29"/>
      <c r="E1411" s="30"/>
      <c r="F1411" s="29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  <c r="AA1411" s="29"/>
      <c r="AB1411" s="29"/>
      <c r="AC1411" s="29"/>
      <c r="AD1411" s="29"/>
      <c r="AE1411" s="29"/>
      <c r="AF1411" s="29"/>
      <c r="AG1411" s="30"/>
      <c r="AH1411" s="29"/>
      <c r="AI1411" s="29"/>
      <c r="AJ1411" s="29"/>
      <c r="AK1411" s="30"/>
      <c r="AL1411" s="29"/>
      <c r="AM1411" s="29"/>
      <c r="AN1411" s="29"/>
      <c r="AO1411" s="29"/>
      <c r="AP1411" s="29"/>
      <c r="AQ1411" s="30"/>
      <c r="AR1411" s="29"/>
      <c r="AS1411" s="29"/>
      <c r="AT1411" s="29"/>
      <c r="AU1411" s="29"/>
      <c r="AV1411" s="29"/>
      <c r="AW1411" s="29"/>
      <c r="AX1411" s="29"/>
      <c r="AY1411" s="29"/>
      <c r="AZ1411" s="29"/>
      <c r="BA1411" s="29"/>
      <c r="BB1411" s="29"/>
      <c r="BC1411" s="29"/>
      <c r="BD1411" s="29"/>
      <c r="BE1411" s="29"/>
      <c r="BF1411" s="29"/>
      <c r="BG1411" s="29"/>
      <c r="BH1411" s="29"/>
      <c r="BI1411" s="29"/>
      <c r="BJ1411" s="29"/>
      <c r="BK1411" s="29"/>
      <c r="BL1411" s="29"/>
      <c r="BM1411" s="29"/>
      <c r="BN1411" s="20">
        <f t="shared" si="158"/>
        <v>0</v>
      </c>
      <c r="BO1411" s="20">
        <f t="shared" si="159"/>
        <v>0</v>
      </c>
      <c r="BP1411" s="20">
        <f t="shared" si="160"/>
        <v>680</v>
      </c>
      <c r="BQ1411" s="51"/>
      <c r="BR1411" s="56"/>
      <c r="BS1411" s="111"/>
      <c r="BT1411" s="36"/>
      <c r="BU1411" s="112"/>
    </row>
    <row r="1412" s="1" customFormat="1" customHeight="1" spans="1:73">
      <c r="A1412" s="15" t="s">
        <v>2267</v>
      </c>
      <c r="B1412" s="15" t="s">
        <v>2268</v>
      </c>
      <c r="C1412" s="16">
        <v>230</v>
      </c>
      <c r="D1412" s="29"/>
      <c r="E1412" s="30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  <c r="AA1412" s="29"/>
      <c r="AB1412" s="29"/>
      <c r="AC1412" s="29"/>
      <c r="AD1412" s="29"/>
      <c r="AE1412" s="29"/>
      <c r="AF1412" s="29"/>
      <c r="AG1412" s="30"/>
      <c r="AH1412" s="29"/>
      <c r="AI1412" s="29"/>
      <c r="AJ1412" s="29"/>
      <c r="AK1412" s="30"/>
      <c r="AL1412" s="29"/>
      <c r="AM1412" s="29"/>
      <c r="AN1412" s="29"/>
      <c r="AO1412" s="29"/>
      <c r="AP1412" s="29"/>
      <c r="AQ1412" s="30"/>
      <c r="AR1412" s="29"/>
      <c r="AS1412" s="29"/>
      <c r="AT1412" s="29"/>
      <c r="AU1412" s="29"/>
      <c r="AV1412" s="29"/>
      <c r="AW1412" s="29"/>
      <c r="AX1412" s="29"/>
      <c r="AY1412" s="29"/>
      <c r="AZ1412" s="29"/>
      <c r="BA1412" s="29"/>
      <c r="BB1412" s="29"/>
      <c r="BC1412" s="29"/>
      <c r="BD1412" s="29"/>
      <c r="BE1412" s="29"/>
      <c r="BF1412" s="29"/>
      <c r="BG1412" s="29"/>
      <c r="BH1412" s="29"/>
      <c r="BI1412" s="29"/>
      <c r="BJ1412" s="29"/>
      <c r="BK1412" s="29"/>
      <c r="BL1412" s="29"/>
      <c r="BM1412" s="29"/>
      <c r="BN1412" s="20">
        <f t="shared" si="158"/>
        <v>0</v>
      </c>
      <c r="BO1412" s="20">
        <f t="shared" si="159"/>
        <v>0</v>
      </c>
      <c r="BP1412" s="20">
        <f t="shared" si="160"/>
        <v>230</v>
      </c>
      <c r="BQ1412" s="51"/>
      <c r="BR1412" s="56"/>
      <c r="BS1412" s="111" t="s">
        <v>2269</v>
      </c>
      <c r="BT1412" s="36"/>
      <c r="BU1412" s="112"/>
    </row>
    <row r="1413" s="1" customFormat="1" customHeight="1" spans="1:73">
      <c r="A1413" s="15" t="s">
        <v>2270</v>
      </c>
      <c r="B1413" s="15" t="s">
        <v>2271</v>
      </c>
      <c r="C1413" s="16">
        <v>2170</v>
      </c>
      <c r="D1413" s="29"/>
      <c r="E1413" s="30"/>
      <c r="F1413" s="29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  <c r="AA1413" s="29"/>
      <c r="AB1413" s="29"/>
      <c r="AC1413" s="29"/>
      <c r="AD1413" s="29"/>
      <c r="AE1413" s="29"/>
      <c r="AF1413" s="29"/>
      <c r="AG1413" s="30"/>
      <c r="AH1413" s="29"/>
      <c r="AI1413" s="29"/>
      <c r="AJ1413" s="29"/>
      <c r="AK1413" s="30"/>
      <c r="AL1413" s="29"/>
      <c r="AM1413" s="29"/>
      <c r="AN1413" s="29"/>
      <c r="AO1413" s="29"/>
      <c r="AP1413" s="29"/>
      <c r="AQ1413" s="30"/>
      <c r="AR1413" s="29"/>
      <c r="AS1413" s="29"/>
      <c r="AT1413" s="29"/>
      <c r="AU1413" s="29"/>
      <c r="AV1413" s="29"/>
      <c r="AW1413" s="29"/>
      <c r="AX1413" s="29"/>
      <c r="AY1413" s="29"/>
      <c r="AZ1413" s="29"/>
      <c r="BA1413" s="29"/>
      <c r="BB1413" s="29"/>
      <c r="BC1413" s="29"/>
      <c r="BD1413" s="29"/>
      <c r="BE1413" s="29"/>
      <c r="BF1413" s="29"/>
      <c r="BG1413" s="29"/>
      <c r="BH1413" s="29"/>
      <c r="BI1413" s="29"/>
      <c r="BJ1413" s="29"/>
      <c r="BK1413" s="29"/>
      <c r="BL1413" s="29"/>
      <c r="BM1413" s="29"/>
      <c r="BN1413" s="20">
        <f t="shared" si="158"/>
        <v>0</v>
      </c>
      <c r="BO1413" s="20">
        <f t="shared" si="159"/>
        <v>0</v>
      </c>
      <c r="BP1413" s="20">
        <f t="shared" si="160"/>
        <v>2170</v>
      </c>
      <c r="BQ1413" s="51"/>
      <c r="BR1413" s="56"/>
      <c r="BS1413" s="111"/>
      <c r="BT1413" s="36"/>
      <c r="BU1413" s="112"/>
    </row>
    <row r="1414" s="1" customFormat="1" customHeight="1" spans="1:73">
      <c r="A1414" s="15" t="s">
        <v>2272</v>
      </c>
      <c r="B1414" s="15" t="s">
        <v>2273</v>
      </c>
      <c r="C1414" s="16">
        <v>1970</v>
      </c>
      <c r="D1414" s="29"/>
      <c r="E1414" s="30"/>
      <c r="F1414" s="29"/>
      <c r="G1414" s="29"/>
      <c r="H1414" s="29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29"/>
      <c r="AB1414" s="29"/>
      <c r="AC1414" s="29"/>
      <c r="AD1414" s="29"/>
      <c r="AE1414" s="29"/>
      <c r="AF1414" s="29"/>
      <c r="AG1414" s="30"/>
      <c r="AH1414" s="29"/>
      <c r="AI1414" s="29"/>
      <c r="AJ1414" s="29"/>
      <c r="AK1414" s="30"/>
      <c r="AL1414" s="29"/>
      <c r="AM1414" s="29"/>
      <c r="AN1414" s="29"/>
      <c r="AO1414" s="29"/>
      <c r="AP1414" s="29"/>
      <c r="AQ1414" s="30"/>
      <c r="AR1414" s="29"/>
      <c r="AS1414" s="29"/>
      <c r="AT1414" s="29"/>
      <c r="AU1414" s="29"/>
      <c r="AV1414" s="29"/>
      <c r="AW1414" s="29"/>
      <c r="AX1414" s="29"/>
      <c r="AY1414" s="29"/>
      <c r="AZ1414" s="29"/>
      <c r="BA1414" s="29"/>
      <c r="BB1414" s="29"/>
      <c r="BC1414" s="29"/>
      <c r="BD1414" s="29"/>
      <c r="BE1414" s="29"/>
      <c r="BF1414" s="29"/>
      <c r="BG1414" s="29"/>
      <c r="BH1414" s="29"/>
      <c r="BI1414" s="29"/>
      <c r="BJ1414" s="29"/>
      <c r="BK1414" s="29"/>
      <c r="BL1414" s="29"/>
      <c r="BM1414" s="29"/>
      <c r="BN1414" s="20">
        <f t="shared" si="158"/>
        <v>0</v>
      </c>
      <c r="BO1414" s="20">
        <f t="shared" si="159"/>
        <v>0</v>
      </c>
      <c r="BP1414" s="20">
        <f t="shared" si="160"/>
        <v>1970</v>
      </c>
      <c r="BQ1414" s="51"/>
      <c r="BR1414" s="56"/>
      <c r="BS1414" s="111"/>
      <c r="BT1414" s="36"/>
      <c r="BU1414" s="112"/>
    </row>
    <row r="1415" s="1" customFormat="1" customHeight="1" spans="1:73">
      <c r="A1415" s="15" t="s">
        <v>2274</v>
      </c>
      <c r="B1415" s="15" t="s">
        <v>2275</v>
      </c>
      <c r="C1415" s="16">
        <v>3247</v>
      </c>
      <c r="D1415" s="29"/>
      <c r="E1415" s="30"/>
      <c r="F1415" s="29"/>
      <c r="G1415" s="29"/>
      <c r="H1415" s="29"/>
      <c r="I1415" s="29">
        <v>6100</v>
      </c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  <c r="AA1415" s="29"/>
      <c r="AB1415" s="29"/>
      <c r="AC1415" s="29"/>
      <c r="AD1415" s="29"/>
      <c r="AE1415" s="29"/>
      <c r="AF1415" s="29"/>
      <c r="AG1415" s="30"/>
      <c r="AH1415" s="29"/>
      <c r="AI1415" s="29"/>
      <c r="AJ1415" s="29"/>
      <c r="AK1415" s="29"/>
      <c r="AL1415" s="29"/>
      <c r="AM1415" s="29"/>
      <c r="AN1415" s="29"/>
      <c r="AO1415" s="29"/>
      <c r="AP1415" s="29"/>
      <c r="AQ1415" s="30"/>
      <c r="AR1415" s="29"/>
      <c r="AS1415" s="29"/>
      <c r="AT1415" s="29"/>
      <c r="AU1415" s="29"/>
      <c r="AV1415" s="29"/>
      <c r="AW1415" s="29"/>
      <c r="AX1415" s="29"/>
      <c r="AY1415" s="29"/>
      <c r="AZ1415" s="29"/>
      <c r="BA1415" s="29"/>
      <c r="BB1415" s="29"/>
      <c r="BC1415" s="29"/>
      <c r="BD1415" s="29"/>
      <c r="BE1415" s="29"/>
      <c r="BF1415" s="29"/>
      <c r="BG1415" s="29"/>
      <c r="BH1415" s="29"/>
      <c r="BI1415" s="29"/>
      <c r="BJ1415" s="29"/>
      <c r="BK1415" s="29"/>
      <c r="BL1415" s="29"/>
      <c r="BM1415" s="29"/>
      <c r="BN1415" s="20">
        <f t="shared" si="158"/>
        <v>0</v>
      </c>
      <c r="BO1415" s="20">
        <f t="shared" si="159"/>
        <v>6100</v>
      </c>
      <c r="BP1415" s="20">
        <f t="shared" si="160"/>
        <v>-2853</v>
      </c>
      <c r="BQ1415" s="51"/>
      <c r="BR1415" s="56"/>
      <c r="BS1415" s="111"/>
      <c r="BT1415" s="36"/>
      <c r="BU1415" s="112"/>
    </row>
    <row r="1416" s="1" customFormat="1" customHeight="1" spans="1:73">
      <c r="A1416" s="15" t="s">
        <v>2276</v>
      </c>
      <c r="B1416" s="15" t="s">
        <v>2277</v>
      </c>
      <c r="C1416" s="16">
        <v>1086</v>
      </c>
      <c r="D1416" s="29"/>
      <c r="E1416" s="30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  <c r="AA1416" s="29"/>
      <c r="AB1416" s="29"/>
      <c r="AC1416" s="29"/>
      <c r="AD1416" s="29"/>
      <c r="AE1416" s="29"/>
      <c r="AF1416" s="29"/>
      <c r="AG1416" s="30"/>
      <c r="AH1416" s="29"/>
      <c r="AI1416" s="29"/>
      <c r="AJ1416" s="29"/>
      <c r="AK1416" s="30"/>
      <c r="AL1416" s="29"/>
      <c r="AM1416" s="29"/>
      <c r="AN1416" s="29"/>
      <c r="AO1416" s="29"/>
      <c r="AP1416" s="29"/>
      <c r="AQ1416" s="30"/>
      <c r="AR1416" s="29"/>
      <c r="AS1416" s="29"/>
      <c r="AT1416" s="29"/>
      <c r="AU1416" s="29"/>
      <c r="AV1416" s="29"/>
      <c r="AW1416" s="29"/>
      <c r="AX1416" s="29"/>
      <c r="AY1416" s="29"/>
      <c r="AZ1416" s="29"/>
      <c r="BA1416" s="29"/>
      <c r="BB1416" s="29"/>
      <c r="BC1416" s="29"/>
      <c r="BD1416" s="29"/>
      <c r="BE1416" s="29"/>
      <c r="BF1416" s="29"/>
      <c r="BG1416" s="29"/>
      <c r="BH1416" s="29"/>
      <c r="BI1416" s="29"/>
      <c r="BJ1416" s="29"/>
      <c r="BK1416" s="29"/>
      <c r="BL1416" s="29"/>
      <c r="BM1416" s="29"/>
      <c r="BN1416" s="20">
        <f t="shared" si="158"/>
        <v>0</v>
      </c>
      <c r="BO1416" s="20">
        <f t="shared" si="159"/>
        <v>0</v>
      </c>
      <c r="BP1416" s="20">
        <f t="shared" si="160"/>
        <v>1086</v>
      </c>
      <c r="BQ1416" s="51"/>
      <c r="BR1416" s="56"/>
      <c r="BS1416" s="111"/>
      <c r="BT1416" s="36"/>
      <c r="BU1416" s="112"/>
    </row>
    <row r="1417" s="1" customFormat="1" customHeight="1" spans="1:73">
      <c r="A1417" s="15" t="s">
        <v>2278</v>
      </c>
      <c r="B1417" s="15" t="s">
        <v>2279</v>
      </c>
      <c r="C1417" s="16">
        <v>3770</v>
      </c>
      <c r="D1417" s="29"/>
      <c r="E1417" s="30"/>
      <c r="F1417" s="29"/>
      <c r="G1417" s="29"/>
      <c r="H1417" s="29"/>
      <c r="I1417" s="29">
        <v>6100</v>
      </c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  <c r="AA1417" s="29"/>
      <c r="AB1417" s="29"/>
      <c r="AC1417" s="29"/>
      <c r="AD1417" s="29"/>
      <c r="AE1417" s="29"/>
      <c r="AF1417" s="29"/>
      <c r="AG1417" s="30"/>
      <c r="AH1417" s="29"/>
      <c r="AI1417" s="29"/>
      <c r="AJ1417" s="29"/>
      <c r="AK1417" s="29"/>
      <c r="AL1417" s="29"/>
      <c r="AM1417" s="29"/>
      <c r="AN1417" s="29"/>
      <c r="AO1417" s="29"/>
      <c r="AP1417" s="29"/>
      <c r="AQ1417" s="30"/>
      <c r="AR1417" s="29"/>
      <c r="AS1417" s="29"/>
      <c r="AT1417" s="29"/>
      <c r="AU1417" s="29"/>
      <c r="AV1417" s="29"/>
      <c r="AW1417" s="29"/>
      <c r="AX1417" s="29"/>
      <c r="AY1417" s="29"/>
      <c r="AZ1417" s="29"/>
      <c r="BA1417" s="29"/>
      <c r="BB1417" s="29"/>
      <c r="BC1417" s="29"/>
      <c r="BD1417" s="29"/>
      <c r="BE1417" s="29"/>
      <c r="BF1417" s="29"/>
      <c r="BG1417" s="29"/>
      <c r="BH1417" s="29"/>
      <c r="BI1417" s="29"/>
      <c r="BJ1417" s="29"/>
      <c r="BK1417" s="29"/>
      <c r="BL1417" s="29"/>
      <c r="BM1417" s="29"/>
      <c r="BN1417" s="20">
        <f t="shared" si="158"/>
        <v>0</v>
      </c>
      <c r="BO1417" s="20">
        <f t="shared" si="159"/>
        <v>6100</v>
      </c>
      <c r="BP1417" s="20">
        <f t="shared" si="160"/>
        <v>-2330</v>
      </c>
      <c r="BQ1417" s="51"/>
      <c r="BR1417" s="56"/>
      <c r="BS1417" s="111"/>
      <c r="BT1417" s="36"/>
      <c r="BU1417" s="112"/>
    </row>
    <row r="1418" s="1" customFormat="1" customHeight="1" spans="1:73">
      <c r="A1418" s="15" t="s">
        <v>2280</v>
      </c>
      <c r="B1418" s="15" t="s">
        <v>2281</v>
      </c>
      <c r="C1418" s="16">
        <v>3870</v>
      </c>
      <c r="D1418" s="29"/>
      <c r="E1418" s="30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  <c r="AA1418" s="29"/>
      <c r="AB1418" s="29"/>
      <c r="AC1418" s="29"/>
      <c r="AD1418" s="29"/>
      <c r="AE1418" s="29"/>
      <c r="AF1418" s="29"/>
      <c r="AG1418" s="30"/>
      <c r="AH1418" s="29"/>
      <c r="AI1418" s="29"/>
      <c r="AJ1418" s="29"/>
      <c r="AK1418" s="30"/>
      <c r="AL1418" s="29"/>
      <c r="AM1418" s="29"/>
      <c r="AN1418" s="29"/>
      <c r="AO1418" s="29"/>
      <c r="AP1418" s="29"/>
      <c r="AQ1418" s="30"/>
      <c r="AR1418" s="29"/>
      <c r="AS1418" s="29"/>
      <c r="AT1418" s="29"/>
      <c r="AU1418" s="29"/>
      <c r="AV1418" s="29"/>
      <c r="AW1418" s="29"/>
      <c r="AX1418" s="29"/>
      <c r="AY1418" s="29"/>
      <c r="AZ1418" s="29"/>
      <c r="BA1418" s="29"/>
      <c r="BB1418" s="29"/>
      <c r="BC1418" s="29"/>
      <c r="BD1418" s="29"/>
      <c r="BE1418" s="29"/>
      <c r="BF1418" s="29"/>
      <c r="BG1418" s="29"/>
      <c r="BH1418" s="29"/>
      <c r="BI1418" s="29"/>
      <c r="BJ1418" s="29"/>
      <c r="BK1418" s="29"/>
      <c r="BL1418" s="29"/>
      <c r="BM1418" s="29"/>
      <c r="BN1418" s="20">
        <f t="shared" si="158"/>
        <v>0</v>
      </c>
      <c r="BO1418" s="20">
        <f t="shared" si="159"/>
        <v>0</v>
      </c>
      <c r="BP1418" s="20">
        <f t="shared" si="160"/>
        <v>3870</v>
      </c>
      <c r="BQ1418" s="51"/>
      <c r="BR1418" s="56"/>
      <c r="BS1418" s="111"/>
      <c r="BT1418" s="36"/>
      <c r="BU1418" s="112"/>
    </row>
    <row r="1419" s="1" customFormat="1" customHeight="1" spans="1:73">
      <c r="A1419" s="15" t="s">
        <v>2282</v>
      </c>
      <c r="B1419" s="15" t="s">
        <v>2283</v>
      </c>
      <c r="C1419" s="16">
        <v>3860</v>
      </c>
      <c r="D1419" s="29"/>
      <c r="E1419" s="30"/>
      <c r="F1419" s="29"/>
      <c r="G1419" s="29"/>
      <c r="H1419" s="29"/>
      <c r="I1419" s="29">
        <v>6100</v>
      </c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29"/>
      <c r="AB1419" s="29"/>
      <c r="AC1419" s="29"/>
      <c r="AD1419" s="29"/>
      <c r="AE1419" s="29"/>
      <c r="AF1419" s="29"/>
      <c r="AG1419" s="30"/>
      <c r="AH1419" s="29"/>
      <c r="AI1419" s="29"/>
      <c r="AJ1419" s="29"/>
      <c r="AK1419" s="29"/>
      <c r="AL1419" s="29"/>
      <c r="AM1419" s="29"/>
      <c r="AN1419" s="29"/>
      <c r="AO1419" s="29"/>
      <c r="AP1419" s="29"/>
      <c r="AQ1419" s="30"/>
      <c r="AR1419" s="29"/>
      <c r="AS1419" s="29"/>
      <c r="AT1419" s="29"/>
      <c r="AU1419" s="29"/>
      <c r="AV1419" s="29"/>
      <c r="AW1419" s="29"/>
      <c r="AX1419" s="29"/>
      <c r="AY1419" s="29"/>
      <c r="AZ1419" s="29"/>
      <c r="BA1419" s="29"/>
      <c r="BB1419" s="29"/>
      <c r="BC1419" s="29"/>
      <c r="BD1419" s="29"/>
      <c r="BE1419" s="29"/>
      <c r="BF1419" s="29"/>
      <c r="BG1419" s="29"/>
      <c r="BH1419" s="29"/>
      <c r="BI1419" s="29"/>
      <c r="BJ1419" s="29"/>
      <c r="BK1419" s="29"/>
      <c r="BL1419" s="29"/>
      <c r="BM1419" s="29"/>
      <c r="BN1419" s="20">
        <f t="shared" si="158"/>
        <v>0</v>
      </c>
      <c r="BO1419" s="20">
        <f t="shared" si="159"/>
        <v>6100</v>
      </c>
      <c r="BP1419" s="20">
        <f t="shared" si="160"/>
        <v>-2240</v>
      </c>
      <c r="BQ1419" s="51"/>
      <c r="BR1419" s="56"/>
      <c r="BS1419" s="111"/>
      <c r="BT1419" s="36"/>
      <c r="BU1419" s="112"/>
    </row>
    <row r="1420" s="1" customFormat="1" customHeight="1" spans="1:73">
      <c r="A1420" s="15" t="s">
        <v>2284</v>
      </c>
      <c r="B1420" s="15" t="s">
        <v>2285</v>
      </c>
      <c r="C1420" s="16">
        <v>2240</v>
      </c>
      <c r="D1420" s="29"/>
      <c r="E1420" s="30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  <c r="AA1420" s="29"/>
      <c r="AB1420" s="29"/>
      <c r="AC1420" s="29"/>
      <c r="AD1420" s="29"/>
      <c r="AE1420" s="29"/>
      <c r="AF1420" s="29"/>
      <c r="AG1420" s="30"/>
      <c r="AH1420" s="29"/>
      <c r="AI1420" s="29"/>
      <c r="AJ1420" s="29"/>
      <c r="AK1420" s="29"/>
      <c r="AL1420" s="29"/>
      <c r="AM1420" s="29"/>
      <c r="AN1420" s="29"/>
      <c r="AO1420" s="30"/>
      <c r="AP1420" s="29"/>
      <c r="AQ1420" s="30"/>
      <c r="AR1420" s="29"/>
      <c r="AS1420" s="29"/>
      <c r="AT1420" s="29"/>
      <c r="AU1420" s="29"/>
      <c r="AV1420" s="29"/>
      <c r="AW1420" s="29"/>
      <c r="AX1420" s="29"/>
      <c r="AY1420" s="29"/>
      <c r="AZ1420" s="29"/>
      <c r="BA1420" s="29"/>
      <c r="BB1420" s="29"/>
      <c r="BC1420" s="29"/>
      <c r="BD1420" s="29"/>
      <c r="BE1420" s="29"/>
      <c r="BF1420" s="29"/>
      <c r="BG1420" s="29"/>
      <c r="BH1420" s="29"/>
      <c r="BI1420" s="29"/>
      <c r="BJ1420" s="29"/>
      <c r="BK1420" s="29"/>
      <c r="BL1420" s="29"/>
      <c r="BM1420" s="29"/>
      <c r="BN1420" s="20">
        <f t="shared" si="158"/>
        <v>0</v>
      </c>
      <c r="BO1420" s="20">
        <f t="shared" si="159"/>
        <v>0</v>
      </c>
      <c r="BP1420" s="20">
        <f t="shared" si="160"/>
        <v>2240</v>
      </c>
      <c r="BQ1420" s="51"/>
      <c r="BR1420" s="56"/>
      <c r="BS1420" s="111"/>
      <c r="BT1420" s="36"/>
      <c r="BU1420" s="112"/>
    </row>
    <row r="1421" s="1" customFormat="1" customHeight="1" spans="1:73">
      <c r="A1421" s="15" t="s">
        <v>2286</v>
      </c>
      <c r="B1421" s="15" t="s">
        <v>2287</v>
      </c>
      <c r="C1421" s="16">
        <v>80</v>
      </c>
      <c r="D1421" s="29"/>
      <c r="E1421" s="30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  <c r="AA1421" s="29"/>
      <c r="AB1421" s="29"/>
      <c r="AC1421" s="29"/>
      <c r="AD1421" s="29"/>
      <c r="AE1421" s="29"/>
      <c r="AF1421" s="29"/>
      <c r="AG1421" s="30"/>
      <c r="AH1421" s="29"/>
      <c r="AI1421" s="29"/>
      <c r="AJ1421" s="29"/>
      <c r="AK1421" s="29"/>
      <c r="AL1421" s="29"/>
      <c r="AM1421" s="29"/>
      <c r="AN1421" s="29"/>
      <c r="AO1421" s="29"/>
      <c r="AP1421" s="29"/>
      <c r="AQ1421" s="30"/>
      <c r="AR1421" s="29"/>
      <c r="AS1421" s="29"/>
      <c r="AT1421" s="29"/>
      <c r="AU1421" s="29"/>
      <c r="AV1421" s="29"/>
      <c r="AW1421" s="29"/>
      <c r="AX1421" s="29"/>
      <c r="AY1421" s="29"/>
      <c r="AZ1421" s="29"/>
      <c r="BA1421" s="29"/>
      <c r="BB1421" s="29"/>
      <c r="BC1421" s="29"/>
      <c r="BD1421" s="29"/>
      <c r="BE1421" s="29"/>
      <c r="BF1421" s="29"/>
      <c r="BG1421" s="29"/>
      <c r="BH1421" s="29"/>
      <c r="BI1421" s="29"/>
      <c r="BJ1421" s="29"/>
      <c r="BK1421" s="29"/>
      <c r="BL1421" s="29"/>
      <c r="BM1421" s="29"/>
      <c r="BN1421" s="20">
        <f t="shared" si="158"/>
        <v>0</v>
      </c>
      <c r="BO1421" s="20">
        <f t="shared" si="159"/>
        <v>0</v>
      </c>
      <c r="BP1421" s="20">
        <f t="shared" si="160"/>
        <v>80</v>
      </c>
      <c r="BQ1421" s="51"/>
      <c r="BR1421" s="56"/>
      <c r="BS1421" s="111"/>
      <c r="BT1421" s="36"/>
      <c r="BU1421" s="112"/>
    </row>
    <row r="1422" s="1" customFormat="1" customHeight="1" spans="1:73">
      <c r="A1422" s="15" t="s">
        <v>2288</v>
      </c>
      <c r="B1422" s="15" t="s">
        <v>2289</v>
      </c>
      <c r="C1422" s="16">
        <v>5000</v>
      </c>
      <c r="D1422" s="29"/>
      <c r="E1422" s="30"/>
      <c r="F1422" s="29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54"/>
      <c r="W1422" s="54"/>
      <c r="X1422" s="29"/>
      <c r="Y1422" s="29"/>
      <c r="Z1422" s="29"/>
      <c r="AA1422" s="29"/>
      <c r="AB1422" s="29"/>
      <c r="AC1422" s="29"/>
      <c r="AD1422" s="29"/>
      <c r="AE1422" s="29"/>
      <c r="AF1422" s="29"/>
      <c r="AG1422" s="30"/>
      <c r="AH1422" s="29"/>
      <c r="AI1422" s="29"/>
      <c r="AJ1422" s="29"/>
      <c r="AK1422" s="30"/>
      <c r="AL1422" s="29"/>
      <c r="AM1422" s="29"/>
      <c r="AN1422" s="29"/>
      <c r="AO1422" s="29"/>
      <c r="AP1422" s="29"/>
      <c r="AQ1422" s="29"/>
      <c r="AR1422" s="29"/>
      <c r="AS1422" s="29"/>
      <c r="AT1422" s="29"/>
      <c r="AU1422" s="29"/>
      <c r="AV1422" s="29"/>
      <c r="AW1422" s="29"/>
      <c r="AX1422" s="29"/>
      <c r="AY1422" s="29"/>
      <c r="AZ1422" s="29"/>
      <c r="BA1422" s="29"/>
      <c r="BB1422" s="29"/>
      <c r="BC1422" s="29"/>
      <c r="BD1422" s="29"/>
      <c r="BE1422" s="29"/>
      <c r="BF1422" s="29"/>
      <c r="BG1422" s="29"/>
      <c r="BH1422" s="29"/>
      <c r="BI1422" s="29"/>
      <c r="BJ1422" s="29"/>
      <c r="BK1422" s="190"/>
      <c r="BL1422" s="29"/>
      <c r="BM1422" s="29"/>
      <c r="BN1422" s="20">
        <f t="shared" si="158"/>
        <v>0</v>
      </c>
      <c r="BO1422" s="20">
        <f t="shared" si="159"/>
        <v>0</v>
      </c>
      <c r="BP1422" s="20">
        <f t="shared" si="160"/>
        <v>5000</v>
      </c>
      <c r="BQ1422" s="51"/>
      <c r="BR1422" s="56"/>
      <c r="BS1422" s="111"/>
      <c r="BT1422" s="36"/>
      <c r="BU1422" s="112"/>
    </row>
    <row r="1423" s="1" customFormat="1" customHeight="1" spans="1:73">
      <c r="A1423" s="15" t="s">
        <v>2290</v>
      </c>
      <c r="B1423" s="15"/>
      <c r="C1423" s="16">
        <v>10000</v>
      </c>
      <c r="D1423" s="29"/>
      <c r="E1423" s="30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54"/>
      <c r="W1423" s="54"/>
      <c r="X1423" s="29"/>
      <c r="Y1423" s="29"/>
      <c r="Z1423" s="29"/>
      <c r="AA1423" s="29"/>
      <c r="AB1423" s="29"/>
      <c r="AC1423" s="29"/>
      <c r="AD1423" s="29"/>
      <c r="AE1423" s="29"/>
      <c r="AF1423" s="29"/>
      <c r="AG1423" s="30"/>
      <c r="AH1423" s="29"/>
      <c r="AI1423" s="29"/>
      <c r="AJ1423" s="29"/>
      <c r="AK1423" s="30"/>
      <c r="AL1423" s="29"/>
      <c r="AM1423" s="29"/>
      <c r="AN1423" s="29"/>
      <c r="AO1423" s="29"/>
      <c r="AP1423" s="29"/>
      <c r="AQ1423" s="29"/>
      <c r="AR1423" s="29"/>
      <c r="AS1423" s="29"/>
      <c r="AT1423" s="29"/>
      <c r="AU1423" s="29"/>
      <c r="AV1423" s="29"/>
      <c r="AW1423" s="29"/>
      <c r="AX1423" s="29"/>
      <c r="AY1423" s="29"/>
      <c r="AZ1423" s="29"/>
      <c r="BA1423" s="29"/>
      <c r="BB1423" s="29"/>
      <c r="BC1423" s="29"/>
      <c r="BD1423" s="29"/>
      <c r="BE1423" s="29"/>
      <c r="BF1423" s="29"/>
      <c r="BG1423" s="29"/>
      <c r="BH1423" s="29"/>
      <c r="BI1423" s="29"/>
      <c r="BJ1423" s="29"/>
      <c r="BK1423" s="190"/>
      <c r="BL1423" s="29"/>
      <c r="BM1423" s="29"/>
      <c r="BN1423" s="20">
        <f t="shared" si="158"/>
        <v>0</v>
      </c>
      <c r="BO1423" s="20">
        <f t="shared" si="159"/>
        <v>0</v>
      </c>
      <c r="BP1423" s="20">
        <f t="shared" si="160"/>
        <v>10000</v>
      </c>
      <c r="BQ1423" s="51"/>
      <c r="BR1423" s="56"/>
      <c r="BS1423" s="111"/>
      <c r="BT1423" s="36"/>
      <c r="BU1423" s="112"/>
    </row>
    <row r="1424" s="1" customFormat="1" customHeight="1" spans="1:73">
      <c r="A1424" s="15" t="s">
        <v>2291</v>
      </c>
      <c r="B1424" s="15"/>
      <c r="C1424" s="16">
        <v>10000</v>
      </c>
      <c r="D1424" s="29"/>
      <c r="E1424" s="30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54"/>
      <c r="W1424" s="54"/>
      <c r="X1424" s="29"/>
      <c r="Y1424" s="29"/>
      <c r="Z1424" s="29"/>
      <c r="AA1424" s="29"/>
      <c r="AB1424" s="29"/>
      <c r="AC1424" s="29"/>
      <c r="AD1424" s="29"/>
      <c r="AE1424" s="29"/>
      <c r="AF1424" s="29"/>
      <c r="AG1424" s="30"/>
      <c r="AH1424" s="29"/>
      <c r="AI1424" s="29"/>
      <c r="AJ1424" s="29"/>
      <c r="AK1424" s="30"/>
      <c r="AL1424" s="29"/>
      <c r="AM1424" s="29"/>
      <c r="AN1424" s="29"/>
      <c r="AO1424" s="29"/>
      <c r="AP1424" s="29"/>
      <c r="AQ1424" s="29"/>
      <c r="AR1424" s="29"/>
      <c r="AS1424" s="29"/>
      <c r="AT1424" s="29"/>
      <c r="AU1424" s="29"/>
      <c r="AV1424" s="29"/>
      <c r="AW1424" s="29"/>
      <c r="AX1424" s="29"/>
      <c r="AY1424" s="29"/>
      <c r="AZ1424" s="29"/>
      <c r="BA1424" s="29"/>
      <c r="BB1424" s="29"/>
      <c r="BC1424" s="29"/>
      <c r="BD1424" s="29"/>
      <c r="BE1424" s="29"/>
      <c r="BF1424" s="29"/>
      <c r="BG1424" s="29"/>
      <c r="BH1424" s="29"/>
      <c r="BI1424" s="29"/>
      <c r="BJ1424" s="29"/>
      <c r="BK1424" s="190"/>
      <c r="BL1424" s="29"/>
      <c r="BM1424" s="29"/>
      <c r="BN1424" s="20">
        <f t="shared" si="158"/>
        <v>0</v>
      </c>
      <c r="BO1424" s="20">
        <f t="shared" si="159"/>
        <v>0</v>
      </c>
      <c r="BP1424" s="20">
        <f t="shared" si="160"/>
        <v>10000</v>
      </c>
      <c r="BQ1424" s="51"/>
      <c r="BR1424" s="56"/>
      <c r="BS1424" s="111"/>
      <c r="BT1424" s="36"/>
      <c r="BU1424" s="112"/>
    </row>
    <row r="1425" s="1" customFormat="1" customHeight="1" spans="1:73">
      <c r="A1425" s="15" t="s">
        <v>2292</v>
      </c>
      <c r="B1425" s="15"/>
      <c r="C1425" s="16">
        <v>10000</v>
      </c>
      <c r="D1425" s="29"/>
      <c r="E1425" s="30"/>
      <c r="F1425" s="29"/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54"/>
      <c r="W1425" s="54"/>
      <c r="X1425" s="29"/>
      <c r="Y1425" s="29"/>
      <c r="Z1425" s="29"/>
      <c r="AA1425" s="29"/>
      <c r="AB1425" s="29"/>
      <c r="AC1425" s="29"/>
      <c r="AD1425" s="29"/>
      <c r="AE1425" s="29"/>
      <c r="AF1425" s="29"/>
      <c r="AG1425" s="30"/>
      <c r="AH1425" s="29"/>
      <c r="AI1425" s="29"/>
      <c r="AJ1425" s="29"/>
      <c r="AK1425" s="30"/>
      <c r="AL1425" s="29"/>
      <c r="AM1425" s="29"/>
      <c r="AN1425" s="29"/>
      <c r="AO1425" s="29"/>
      <c r="AP1425" s="29"/>
      <c r="AQ1425" s="29"/>
      <c r="AR1425" s="29"/>
      <c r="AS1425" s="29"/>
      <c r="AT1425" s="29"/>
      <c r="AU1425" s="29"/>
      <c r="AV1425" s="29"/>
      <c r="AW1425" s="29"/>
      <c r="AX1425" s="29"/>
      <c r="AY1425" s="29"/>
      <c r="AZ1425" s="29"/>
      <c r="BA1425" s="29"/>
      <c r="BB1425" s="29"/>
      <c r="BC1425" s="29"/>
      <c r="BD1425" s="29"/>
      <c r="BE1425" s="29"/>
      <c r="BF1425" s="29"/>
      <c r="BG1425" s="29"/>
      <c r="BH1425" s="29"/>
      <c r="BI1425" s="29"/>
      <c r="BJ1425" s="29"/>
      <c r="BK1425" s="190"/>
      <c r="BL1425" s="29"/>
      <c r="BM1425" s="29"/>
      <c r="BN1425" s="20">
        <f t="shared" si="158"/>
        <v>0</v>
      </c>
      <c r="BO1425" s="20">
        <f t="shared" si="159"/>
        <v>0</v>
      </c>
      <c r="BP1425" s="20">
        <f t="shared" si="160"/>
        <v>10000</v>
      </c>
      <c r="BQ1425" s="51"/>
      <c r="BR1425" s="56"/>
      <c r="BS1425" s="111"/>
      <c r="BT1425" s="36"/>
      <c r="BU1425" s="112"/>
    </row>
    <row r="1426" s="1" customFormat="1" customHeight="1" spans="1:73">
      <c r="A1426" s="15" t="s">
        <v>2293</v>
      </c>
      <c r="B1426" s="15"/>
      <c r="C1426" s="16">
        <v>4165</v>
      </c>
      <c r="D1426" s="29"/>
      <c r="E1426" s="30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54"/>
      <c r="W1426" s="54"/>
      <c r="X1426" s="29"/>
      <c r="Y1426" s="29"/>
      <c r="Z1426" s="29"/>
      <c r="AA1426" s="29"/>
      <c r="AB1426" s="29"/>
      <c r="AC1426" s="29"/>
      <c r="AD1426" s="29"/>
      <c r="AE1426" s="29"/>
      <c r="AF1426" s="29"/>
      <c r="AG1426" s="30"/>
      <c r="AH1426" s="29"/>
      <c r="AI1426" s="29"/>
      <c r="AJ1426" s="29"/>
      <c r="AK1426" s="30"/>
      <c r="AL1426" s="29"/>
      <c r="AM1426" s="29"/>
      <c r="AN1426" s="29"/>
      <c r="AO1426" s="29"/>
      <c r="AP1426" s="29"/>
      <c r="AQ1426" s="29"/>
      <c r="AR1426" s="29"/>
      <c r="AS1426" s="29"/>
      <c r="AT1426" s="29"/>
      <c r="AU1426" s="29"/>
      <c r="AV1426" s="29"/>
      <c r="AW1426" s="29"/>
      <c r="AX1426" s="29"/>
      <c r="AY1426" s="29"/>
      <c r="AZ1426" s="29"/>
      <c r="BA1426" s="29"/>
      <c r="BB1426" s="29"/>
      <c r="BC1426" s="29"/>
      <c r="BD1426" s="29"/>
      <c r="BE1426" s="29"/>
      <c r="BF1426" s="29"/>
      <c r="BG1426" s="29"/>
      <c r="BH1426" s="29"/>
      <c r="BI1426" s="29"/>
      <c r="BJ1426" s="29"/>
      <c r="BK1426" s="190"/>
      <c r="BL1426" s="29"/>
      <c r="BM1426" s="29"/>
      <c r="BN1426" s="20">
        <f t="shared" si="158"/>
        <v>0</v>
      </c>
      <c r="BO1426" s="20">
        <f t="shared" si="159"/>
        <v>0</v>
      </c>
      <c r="BP1426" s="20">
        <f t="shared" si="160"/>
        <v>4165</v>
      </c>
      <c r="BQ1426" s="51"/>
      <c r="BR1426" s="56"/>
      <c r="BS1426" s="111" t="s">
        <v>2294</v>
      </c>
      <c r="BT1426" s="36"/>
      <c r="BU1426" s="112"/>
    </row>
    <row r="1427" s="1" customFormat="1" customHeight="1" spans="1:73">
      <c r="A1427" s="15" t="s">
        <v>2295</v>
      </c>
      <c r="B1427" s="15"/>
      <c r="C1427" s="16">
        <v>4100</v>
      </c>
      <c r="D1427" s="29"/>
      <c r="E1427" s="30"/>
      <c r="F1427" s="29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54"/>
      <c r="W1427" s="54"/>
      <c r="X1427" s="29"/>
      <c r="Y1427" s="29"/>
      <c r="Z1427" s="29"/>
      <c r="AA1427" s="29"/>
      <c r="AB1427" s="29"/>
      <c r="AC1427" s="29"/>
      <c r="AD1427" s="29"/>
      <c r="AE1427" s="29"/>
      <c r="AF1427" s="29"/>
      <c r="AG1427" s="30"/>
      <c r="AH1427" s="29"/>
      <c r="AI1427" s="29"/>
      <c r="AJ1427" s="29"/>
      <c r="AK1427" s="30"/>
      <c r="AL1427" s="29"/>
      <c r="AM1427" s="29"/>
      <c r="AN1427" s="29"/>
      <c r="AO1427" s="29"/>
      <c r="AP1427" s="29"/>
      <c r="AQ1427" s="29"/>
      <c r="AR1427" s="29"/>
      <c r="AS1427" s="29"/>
      <c r="AT1427" s="29"/>
      <c r="AU1427" s="29"/>
      <c r="AV1427" s="29"/>
      <c r="AW1427" s="29"/>
      <c r="AX1427" s="29"/>
      <c r="AY1427" s="29"/>
      <c r="AZ1427" s="29"/>
      <c r="BA1427" s="29"/>
      <c r="BB1427" s="29"/>
      <c r="BC1427" s="29"/>
      <c r="BD1427" s="29"/>
      <c r="BE1427" s="29"/>
      <c r="BF1427" s="29"/>
      <c r="BG1427" s="29"/>
      <c r="BH1427" s="29"/>
      <c r="BI1427" s="29"/>
      <c r="BJ1427" s="29"/>
      <c r="BK1427" s="29"/>
      <c r="BL1427" s="29"/>
      <c r="BM1427" s="29"/>
      <c r="BN1427" s="20">
        <f t="shared" si="158"/>
        <v>0</v>
      </c>
      <c r="BO1427" s="20">
        <f t="shared" si="159"/>
        <v>0</v>
      </c>
      <c r="BP1427" s="20">
        <f t="shared" si="160"/>
        <v>4100</v>
      </c>
      <c r="BQ1427" s="51"/>
      <c r="BR1427" s="56"/>
      <c r="BS1427" s="111"/>
      <c r="BT1427" s="36"/>
      <c r="BU1427" s="112"/>
    </row>
    <row r="1428" s="1" customFormat="1" customHeight="1" spans="1:73">
      <c r="A1428" s="15" t="s">
        <v>2296</v>
      </c>
      <c r="B1428" s="15" t="s">
        <v>2297</v>
      </c>
      <c r="C1428" s="16">
        <v>2400</v>
      </c>
      <c r="D1428" s="29"/>
      <c r="E1428" s="30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54"/>
      <c r="W1428" s="54"/>
      <c r="X1428" s="29"/>
      <c r="Y1428" s="29"/>
      <c r="Z1428" s="29"/>
      <c r="AA1428" s="29"/>
      <c r="AB1428" s="29"/>
      <c r="AC1428" s="29"/>
      <c r="AD1428" s="29"/>
      <c r="AE1428" s="29"/>
      <c r="AF1428" s="29"/>
      <c r="AG1428" s="30"/>
      <c r="AH1428" s="29"/>
      <c r="AI1428" s="29"/>
      <c r="AJ1428" s="29"/>
      <c r="AK1428" s="30"/>
      <c r="AL1428" s="29"/>
      <c r="AM1428" s="29"/>
      <c r="AN1428" s="29"/>
      <c r="AO1428" s="29"/>
      <c r="AP1428" s="29"/>
      <c r="AQ1428" s="29"/>
      <c r="AR1428" s="29"/>
      <c r="AS1428" s="29"/>
      <c r="AT1428" s="29"/>
      <c r="AU1428" s="29"/>
      <c r="AV1428" s="29"/>
      <c r="AW1428" s="29"/>
      <c r="AX1428" s="29"/>
      <c r="AY1428" s="29"/>
      <c r="AZ1428" s="29"/>
      <c r="BA1428" s="29"/>
      <c r="BB1428" s="29"/>
      <c r="BC1428" s="29"/>
      <c r="BD1428" s="29"/>
      <c r="BE1428" s="29"/>
      <c r="BF1428" s="29"/>
      <c r="BG1428" s="29"/>
      <c r="BH1428" s="29"/>
      <c r="BI1428" s="29"/>
      <c r="BJ1428" s="29"/>
      <c r="BK1428" s="29"/>
      <c r="BL1428" s="29"/>
      <c r="BM1428" s="29"/>
      <c r="BN1428" s="20">
        <f t="shared" si="158"/>
        <v>0</v>
      </c>
      <c r="BO1428" s="20">
        <f t="shared" si="159"/>
        <v>0</v>
      </c>
      <c r="BP1428" s="20">
        <f t="shared" si="160"/>
        <v>2400</v>
      </c>
      <c r="BQ1428" s="51"/>
      <c r="BR1428" s="56"/>
      <c r="BS1428" s="111"/>
      <c r="BT1428" s="36"/>
      <c r="BU1428" s="112"/>
    </row>
    <row r="1429" s="1" customFormat="1" customHeight="1" spans="1:73">
      <c r="A1429" s="15" t="s">
        <v>2298</v>
      </c>
      <c r="B1429" s="15"/>
      <c r="C1429" s="16">
        <v>4450</v>
      </c>
      <c r="D1429" s="29"/>
      <c r="E1429" s="30"/>
      <c r="F1429" s="29"/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54"/>
      <c r="W1429" s="54"/>
      <c r="X1429" s="29"/>
      <c r="Y1429" s="29"/>
      <c r="Z1429" s="29"/>
      <c r="AA1429" s="29"/>
      <c r="AB1429" s="29"/>
      <c r="AC1429" s="29"/>
      <c r="AD1429" s="29"/>
      <c r="AE1429" s="29"/>
      <c r="AF1429" s="29"/>
      <c r="AG1429" s="30"/>
      <c r="AH1429" s="29"/>
      <c r="AI1429" s="29"/>
      <c r="AJ1429" s="29"/>
      <c r="AK1429" s="30"/>
      <c r="AL1429" s="29"/>
      <c r="AM1429" s="29"/>
      <c r="AN1429" s="29"/>
      <c r="AO1429" s="29"/>
      <c r="AP1429" s="29"/>
      <c r="AQ1429" s="29"/>
      <c r="AR1429" s="29"/>
      <c r="AS1429" s="29"/>
      <c r="AT1429" s="29"/>
      <c r="AU1429" s="29"/>
      <c r="AV1429" s="29"/>
      <c r="AW1429" s="29"/>
      <c r="AX1429" s="29"/>
      <c r="AY1429" s="29"/>
      <c r="AZ1429" s="29"/>
      <c r="BA1429" s="29"/>
      <c r="BB1429" s="29"/>
      <c r="BC1429" s="29"/>
      <c r="BD1429" s="29"/>
      <c r="BE1429" s="29"/>
      <c r="BF1429" s="29"/>
      <c r="BG1429" s="29"/>
      <c r="BH1429" s="29"/>
      <c r="BI1429" s="29"/>
      <c r="BJ1429" s="29"/>
      <c r="BK1429" s="29"/>
      <c r="BL1429" s="29"/>
      <c r="BM1429" s="29"/>
      <c r="BN1429" s="20">
        <f t="shared" si="158"/>
        <v>0</v>
      </c>
      <c r="BO1429" s="20">
        <f t="shared" si="159"/>
        <v>0</v>
      </c>
      <c r="BP1429" s="20">
        <f t="shared" si="160"/>
        <v>4450</v>
      </c>
      <c r="BQ1429" s="51"/>
      <c r="BR1429" s="56"/>
      <c r="BS1429" s="111"/>
      <c r="BT1429" s="36"/>
      <c r="BU1429" s="112"/>
    </row>
    <row r="1430" s="1" customFormat="1" customHeight="1" spans="1:73">
      <c r="A1430" s="15" t="s">
        <v>2299</v>
      </c>
      <c r="B1430" s="15" t="s">
        <v>2300</v>
      </c>
      <c r="C1430" s="16">
        <v>4460</v>
      </c>
      <c r="D1430" s="29"/>
      <c r="E1430" s="30"/>
      <c r="F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54"/>
      <c r="W1430" s="54"/>
      <c r="X1430" s="29"/>
      <c r="Y1430" s="29"/>
      <c r="Z1430" s="29"/>
      <c r="AA1430" s="29"/>
      <c r="AB1430" s="29"/>
      <c r="AC1430" s="29"/>
      <c r="AD1430" s="29"/>
      <c r="AE1430" s="29"/>
      <c r="AF1430" s="29"/>
      <c r="AG1430" s="30"/>
      <c r="AH1430" s="29"/>
      <c r="AI1430" s="29"/>
      <c r="AJ1430" s="29"/>
      <c r="AK1430" s="30"/>
      <c r="AL1430" s="29"/>
      <c r="AM1430" s="29"/>
      <c r="AN1430" s="29"/>
      <c r="AO1430" s="29"/>
      <c r="AP1430" s="29"/>
      <c r="AQ1430" s="29"/>
      <c r="AR1430" s="29"/>
      <c r="AS1430" s="29"/>
      <c r="AT1430" s="29"/>
      <c r="AU1430" s="29"/>
      <c r="AV1430" s="29"/>
      <c r="AW1430" s="29"/>
      <c r="AX1430" s="29"/>
      <c r="AY1430" s="29"/>
      <c r="AZ1430" s="29"/>
      <c r="BA1430" s="29"/>
      <c r="BB1430" s="29"/>
      <c r="BC1430" s="29"/>
      <c r="BD1430" s="29"/>
      <c r="BE1430" s="29"/>
      <c r="BF1430" s="29"/>
      <c r="BG1430" s="29"/>
      <c r="BH1430" s="29"/>
      <c r="BI1430" s="29"/>
      <c r="BJ1430" s="29"/>
      <c r="BK1430" s="29"/>
      <c r="BL1430" s="29"/>
      <c r="BM1430" s="29"/>
      <c r="BN1430" s="20">
        <f t="shared" si="158"/>
        <v>0</v>
      </c>
      <c r="BO1430" s="20">
        <f t="shared" si="159"/>
        <v>0</v>
      </c>
      <c r="BP1430" s="20">
        <f t="shared" si="160"/>
        <v>4460</v>
      </c>
      <c r="BQ1430" s="51"/>
      <c r="BR1430" s="56"/>
      <c r="BS1430" s="111"/>
      <c r="BT1430" s="36"/>
      <c r="BU1430" s="112"/>
    </row>
    <row r="1431" s="1" customFormat="1" customHeight="1" spans="1:73">
      <c r="A1431" s="15" t="s">
        <v>2301</v>
      </c>
      <c r="B1431" s="15"/>
      <c r="C1431" s="16">
        <v>882</v>
      </c>
      <c r="D1431" s="29"/>
      <c r="E1431" s="30"/>
      <c r="F1431" s="29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54"/>
      <c r="W1431" s="54"/>
      <c r="X1431" s="29"/>
      <c r="Y1431" s="29"/>
      <c r="Z1431" s="29"/>
      <c r="AA1431" s="29"/>
      <c r="AB1431" s="29"/>
      <c r="AC1431" s="29"/>
      <c r="AD1431" s="29"/>
      <c r="AE1431" s="29"/>
      <c r="AF1431" s="29"/>
      <c r="AG1431" s="30"/>
      <c r="AH1431" s="29"/>
      <c r="AI1431" s="29"/>
      <c r="AJ1431" s="29"/>
      <c r="AK1431" s="30"/>
      <c r="AL1431" s="29"/>
      <c r="AM1431" s="29"/>
      <c r="AN1431" s="29"/>
      <c r="AO1431" s="29"/>
      <c r="AP1431" s="29"/>
      <c r="AQ1431" s="29"/>
      <c r="AR1431" s="29"/>
      <c r="AS1431" s="29"/>
      <c r="AT1431" s="29"/>
      <c r="AU1431" s="29"/>
      <c r="AV1431" s="29"/>
      <c r="AW1431" s="29"/>
      <c r="AX1431" s="29"/>
      <c r="AY1431" s="29"/>
      <c r="AZ1431" s="29"/>
      <c r="BA1431" s="29"/>
      <c r="BB1431" s="29"/>
      <c r="BC1431" s="29"/>
      <c r="BD1431" s="29"/>
      <c r="BE1431" s="29"/>
      <c r="BF1431" s="29"/>
      <c r="BG1431" s="29"/>
      <c r="BH1431" s="29"/>
      <c r="BI1431" s="29"/>
      <c r="BJ1431" s="29"/>
      <c r="BK1431" s="29"/>
      <c r="BL1431" s="29"/>
      <c r="BM1431" s="29"/>
      <c r="BN1431" s="20">
        <f t="shared" si="158"/>
        <v>0</v>
      </c>
      <c r="BO1431" s="20">
        <f t="shared" si="159"/>
        <v>0</v>
      </c>
      <c r="BP1431" s="20">
        <f t="shared" si="160"/>
        <v>882</v>
      </c>
      <c r="BQ1431" s="51"/>
      <c r="BR1431" s="56"/>
      <c r="BS1431" s="111"/>
      <c r="BT1431" s="36"/>
      <c r="BU1431" s="112"/>
    </row>
    <row r="1432" s="1" customFormat="1" customHeight="1" spans="1:73">
      <c r="A1432" s="15" t="s">
        <v>2302</v>
      </c>
      <c r="B1432" s="15"/>
      <c r="C1432" s="16">
        <v>4990</v>
      </c>
      <c r="D1432" s="29"/>
      <c r="E1432" s="30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54"/>
      <c r="W1432" s="54"/>
      <c r="X1432" s="29"/>
      <c r="Y1432" s="29"/>
      <c r="Z1432" s="29"/>
      <c r="AA1432" s="29"/>
      <c r="AB1432" s="29"/>
      <c r="AC1432" s="29"/>
      <c r="AD1432" s="29"/>
      <c r="AE1432" s="29"/>
      <c r="AF1432" s="29"/>
      <c r="AG1432" s="30"/>
      <c r="AH1432" s="29"/>
      <c r="AI1432" s="29"/>
      <c r="AJ1432" s="29"/>
      <c r="AK1432" s="30"/>
      <c r="AL1432" s="29"/>
      <c r="AM1432" s="29"/>
      <c r="AN1432" s="29"/>
      <c r="AO1432" s="29"/>
      <c r="AP1432" s="29"/>
      <c r="AQ1432" s="29"/>
      <c r="AR1432" s="29"/>
      <c r="AS1432" s="29"/>
      <c r="AT1432" s="29"/>
      <c r="AU1432" s="29"/>
      <c r="AV1432" s="29"/>
      <c r="AW1432" s="29"/>
      <c r="AX1432" s="29"/>
      <c r="AY1432" s="29"/>
      <c r="AZ1432" s="29"/>
      <c r="BA1432" s="29"/>
      <c r="BB1432" s="29"/>
      <c r="BC1432" s="29"/>
      <c r="BD1432" s="29"/>
      <c r="BE1432" s="29"/>
      <c r="BF1432" s="29"/>
      <c r="BG1432" s="29"/>
      <c r="BH1432" s="29"/>
      <c r="BI1432" s="29"/>
      <c r="BJ1432" s="29"/>
      <c r="BK1432" s="29"/>
      <c r="BL1432" s="29"/>
      <c r="BM1432" s="29"/>
      <c r="BN1432" s="20">
        <f t="shared" si="158"/>
        <v>0</v>
      </c>
      <c r="BO1432" s="20">
        <f t="shared" si="159"/>
        <v>0</v>
      </c>
      <c r="BP1432" s="20">
        <f t="shared" si="160"/>
        <v>4990</v>
      </c>
      <c r="BQ1432" s="51"/>
      <c r="BR1432" s="56"/>
      <c r="BS1432" s="111"/>
      <c r="BT1432" s="36"/>
      <c r="BU1432" s="112"/>
    </row>
    <row r="1433" s="1" customFormat="1" customHeight="1" spans="1:73">
      <c r="A1433" s="15" t="s">
        <v>2303</v>
      </c>
      <c r="B1433" s="15"/>
      <c r="C1433" s="16">
        <v>4450</v>
      </c>
      <c r="D1433" s="29"/>
      <c r="E1433" s="30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54"/>
      <c r="W1433" s="54"/>
      <c r="X1433" s="29"/>
      <c r="Y1433" s="29"/>
      <c r="Z1433" s="29"/>
      <c r="AA1433" s="29"/>
      <c r="AB1433" s="29"/>
      <c r="AC1433" s="29"/>
      <c r="AD1433" s="29"/>
      <c r="AE1433" s="29"/>
      <c r="AF1433" s="29"/>
      <c r="AG1433" s="30"/>
      <c r="AH1433" s="29"/>
      <c r="AI1433" s="29"/>
      <c r="AJ1433" s="29"/>
      <c r="AK1433" s="30"/>
      <c r="AL1433" s="29"/>
      <c r="AM1433" s="29"/>
      <c r="AN1433" s="29"/>
      <c r="AO1433" s="29"/>
      <c r="AP1433" s="29"/>
      <c r="AQ1433" s="29"/>
      <c r="AR1433" s="29"/>
      <c r="AS1433" s="29"/>
      <c r="AT1433" s="29"/>
      <c r="AU1433" s="29"/>
      <c r="AV1433" s="29"/>
      <c r="AW1433" s="29"/>
      <c r="AX1433" s="29"/>
      <c r="AY1433" s="29"/>
      <c r="AZ1433" s="29"/>
      <c r="BA1433" s="29"/>
      <c r="BB1433" s="29"/>
      <c r="BC1433" s="29"/>
      <c r="BD1433" s="29"/>
      <c r="BE1433" s="29"/>
      <c r="BF1433" s="29"/>
      <c r="BG1433" s="29"/>
      <c r="BH1433" s="29"/>
      <c r="BI1433" s="29"/>
      <c r="BJ1433" s="29"/>
      <c r="BK1433" s="29"/>
      <c r="BL1433" s="29"/>
      <c r="BM1433" s="29"/>
      <c r="BN1433" s="20">
        <f t="shared" si="158"/>
        <v>0</v>
      </c>
      <c r="BO1433" s="20">
        <f t="shared" si="159"/>
        <v>0</v>
      </c>
      <c r="BP1433" s="20">
        <f t="shared" si="160"/>
        <v>4450</v>
      </c>
      <c r="BQ1433" s="51"/>
      <c r="BR1433" s="56"/>
      <c r="BS1433" s="111"/>
      <c r="BT1433" s="36"/>
      <c r="BU1433" s="112"/>
    </row>
    <row r="1434" s="1" customFormat="1" customHeight="1" spans="1:73">
      <c r="A1434" s="15" t="s">
        <v>2304</v>
      </c>
      <c r="B1434" s="15"/>
      <c r="C1434" s="16">
        <v>4450</v>
      </c>
      <c r="D1434" s="29"/>
      <c r="E1434" s="30"/>
      <c r="F1434" s="29"/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54"/>
      <c r="W1434" s="54"/>
      <c r="X1434" s="29"/>
      <c r="Y1434" s="29"/>
      <c r="Z1434" s="29"/>
      <c r="AA1434" s="29"/>
      <c r="AB1434" s="29"/>
      <c r="AC1434" s="29"/>
      <c r="AD1434" s="29"/>
      <c r="AE1434" s="29"/>
      <c r="AF1434" s="29"/>
      <c r="AG1434" s="30"/>
      <c r="AH1434" s="29"/>
      <c r="AI1434" s="29"/>
      <c r="AJ1434" s="29"/>
      <c r="AK1434" s="30"/>
      <c r="AL1434" s="29"/>
      <c r="AM1434" s="29"/>
      <c r="AN1434" s="29"/>
      <c r="AO1434" s="29"/>
      <c r="AP1434" s="29"/>
      <c r="AQ1434" s="29"/>
      <c r="AR1434" s="29"/>
      <c r="AS1434" s="29"/>
      <c r="AT1434" s="29"/>
      <c r="AU1434" s="29"/>
      <c r="AV1434" s="29"/>
      <c r="AW1434" s="29"/>
      <c r="AX1434" s="29"/>
      <c r="AY1434" s="29"/>
      <c r="AZ1434" s="29"/>
      <c r="BA1434" s="29"/>
      <c r="BB1434" s="29"/>
      <c r="BC1434" s="29"/>
      <c r="BD1434" s="29"/>
      <c r="BE1434" s="29"/>
      <c r="BF1434" s="29"/>
      <c r="BG1434" s="29"/>
      <c r="BH1434" s="29"/>
      <c r="BI1434" s="29"/>
      <c r="BJ1434" s="29"/>
      <c r="BK1434" s="29"/>
      <c r="BL1434" s="29"/>
      <c r="BM1434" s="29"/>
      <c r="BN1434" s="20">
        <f t="shared" si="158"/>
        <v>0</v>
      </c>
      <c r="BO1434" s="20">
        <f t="shared" si="159"/>
        <v>0</v>
      </c>
      <c r="BP1434" s="20">
        <f t="shared" si="160"/>
        <v>4450</v>
      </c>
      <c r="BQ1434" s="51"/>
      <c r="BR1434" s="56"/>
      <c r="BS1434" s="111" t="s">
        <v>2305</v>
      </c>
      <c r="BT1434" s="36"/>
      <c r="BU1434" s="112"/>
    </row>
    <row r="1435" s="1" customFormat="1" customHeight="1" spans="1:73">
      <c r="A1435" s="15" t="s">
        <v>2306</v>
      </c>
      <c r="B1435" s="15"/>
      <c r="C1435" s="16">
        <v>2310</v>
      </c>
      <c r="D1435" s="29"/>
      <c r="E1435" s="30"/>
      <c r="F1435" s="29"/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54"/>
      <c r="W1435" s="54"/>
      <c r="X1435" s="29"/>
      <c r="Y1435" s="29"/>
      <c r="Z1435" s="29"/>
      <c r="AA1435" s="29"/>
      <c r="AB1435" s="29"/>
      <c r="AC1435" s="29"/>
      <c r="AD1435" s="29"/>
      <c r="AE1435" s="29"/>
      <c r="AF1435" s="29"/>
      <c r="AG1435" s="30"/>
      <c r="AH1435" s="29"/>
      <c r="AI1435" s="29"/>
      <c r="AJ1435" s="29"/>
      <c r="AK1435" s="30"/>
      <c r="AL1435" s="29"/>
      <c r="AM1435" s="29"/>
      <c r="AN1435" s="29"/>
      <c r="AO1435" s="29"/>
      <c r="AP1435" s="29"/>
      <c r="AQ1435" s="29"/>
      <c r="AR1435" s="29"/>
      <c r="AS1435" s="29"/>
      <c r="AT1435" s="29"/>
      <c r="AU1435" s="29"/>
      <c r="AV1435" s="29"/>
      <c r="AW1435" s="29"/>
      <c r="AX1435" s="29"/>
      <c r="AY1435" s="29"/>
      <c r="AZ1435" s="29"/>
      <c r="BA1435" s="29"/>
      <c r="BB1435" s="29"/>
      <c r="BC1435" s="29"/>
      <c r="BD1435" s="29"/>
      <c r="BE1435" s="29"/>
      <c r="BF1435" s="29"/>
      <c r="BG1435" s="29"/>
      <c r="BH1435" s="29"/>
      <c r="BI1435" s="29"/>
      <c r="BJ1435" s="29"/>
      <c r="BK1435" s="29"/>
      <c r="BL1435" s="29"/>
      <c r="BM1435" s="29"/>
      <c r="BN1435" s="20">
        <f t="shared" si="158"/>
        <v>0</v>
      </c>
      <c r="BO1435" s="20">
        <f t="shared" si="159"/>
        <v>0</v>
      </c>
      <c r="BP1435" s="20">
        <f t="shared" si="160"/>
        <v>2310</v>
      </c>
      <c r="BQ1435" s="51"/>
      <c r="BR1435" s="56"/>
      <c r="BS1435" s="111" t="s">
        <v>2307</v>
      </c>
      <c r="BT1435" s="36"/>
      <c r="BU1435" s="112"/>
    </row>
    <row r="1436" s="1" customFormat="1" customHeight="1" spans="1:73">
      <c r="A1436" s="15" t="s">
        <v>2308</v>
      </c>
      <c r="B1436" s="15"/>
      <c r="C1436" s="16">
        <v>9330</v>
      </c>
      <c r="D1436" s="29"/>
      <c r="E1436" s="30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30"/>
      <c r="T1436" s="29"/>
      <c r="U1436" s="29"/>
      <c r="V1436" s="54"/>
      <c r="W1436" s="54"/>
      <c r="X1436" s="29"/>
      <c r="Y1436" s="29"/>
      <c r="Z1436" s="29"/>
      <c r="AA1436" s="29"/>
      <c r="AB1436" s="29"/>
      <c r="AC1436" s="29"/>
      <c r="AD1436" s="29"/>
      <c r="AE1436" s="29"/>
      <c r="AF1436" s="29"/>
      <c r="AG1436" s="30"/>
      <c r="AH1436" s="29"/>
      <c r="AI1436" s="29"/>
      <c r="AJ1436" s="29"/>
      <c r="AK1436" s="30"/>
      <c r="AL1436" s="29"/>
      <c r="AM1436" s="29"/>
      <c r="AN1436" s="29"/>
      <c r="AO1436" s="29"/>
      <c r="AP1436" s="29"/>
      <c r="AQ1436" s="29"/>
      <c r="AR1436" s="29"/>
      <c r="AS1436" s="29"/>
      <c r="AT1436" s="29"/>
      <c r="AU1436" s="29"/>
      <c r="AV1436" s="29"/>
      <c r="AW1436" s="29"/>
      <c r="AX1436" s="29"/>
      <c r="AY1436" s="29"/>
      <c r="AZ1436" s="29"/>
      <c r="BA1436" s="29"/>
      <c r="BB1436" s="29"/>
      <c r="BC1436" s="29"/>
      <c r="BD1436" s="29"/>
      <c r="BE1436" s="29"/>
      <c r="BF1436" s="29"/>
      <c r="BG1436" s="29"/>
      <c r="BH1436" s="29"/>
      <c r="BI1436" s="29"/>
      <c r="BJ1436" s="29"/>
      <c r="BK1436" s="29"/>
      <c r="BL1436" s="29"/>
      <c r="BM1436" s="29"/>
      <c r="BN1436" s="20">
        <f t="shared" si="158"/>
        <v>0</v>
      </c>
      <c r="BO1436" s="20">
        <f t="shared" si="159"/>
        <v>0</v>
      </c>
      <c r="BP1436" s="20">
        <f t="shared" si="160"/>
        <v>9330</v>
      </c>
      <c r="BQ1436" s="51"/>
      <c r="BR1436" s="56"/>
      <c r="BS1436" s="111"/>
      <c r="BT1436" s="36"/>
      <c r="BU1436" s="112"/>
    </row>
    <row r="1437" s="1" customFormat="1" customHeight="1" spans="1:73">
      <c r="A1437" s="15" t="s">
        <v>2309</v>
      </c>
      <c r="B1437" s="15" t="s">
        <v>2310</v>
      </c>
      <c r="C1437" s="16">
        <v>4840</v>
      </c>
      <c r="D1437" s="29"/>
      <c r="E1437" s="30"/>
      <c r="F1437" s="29"/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30"/>
      <c r="T1437" s="29"/>
      <c r="U1437" s="29"/>
      <c r="V1437" s="54"/>
      <c r="W1437" s="54"/>
      <c r="X1437" s="29"/>
      <c r="Y1437" s="29"/>
      <c r="Z1437" s="29"/>
      <c r="AA1437" s="29"/>
      <c r="AB1437" s="29"/>
      <c r="AC1437" s="29"/>
      <c r="AD1437" s="29"/>
      <c r="AE1437" s="29"/>
      <c r="AF1437" s="29"/>
      <c r="AG1437" s="30"/>
      <c r="AH1437" s="29"/>
      <c r="AI1437" s="29"/>
      <c r="AJ1437" s="29"/>
      <c r="AK1437" s="30"/>
      <c r="AL1437" s="29"/>
      <c r="AM1437" s="29"/>
      <c r="AN1437" s="29"/>
      <c r="AO1437" s="29"/>
      <c r="AP1437" s="29"/>
      <c r="AQ1437" s="29"/>
      <c r="AR1437" s="29"/>
      <c r="AS1437" s="29"/>
      <c r="AT1437" s="29"/>
      <c r="AU1437" s="29"/>
      <c r="AV1437" s="29"/>
      <c r="AW1437" s="29"/>
      <c r="AX1437" s="29"/>
      <c r="AY1437" s="29"/>
      <c r="AZ1437" s="29"/>
      <c r="BA1437" s="29"/>
      <c r="BB1437" s="29"/>
      <c r="BC1437" s="29"/>
      <c r="BD1437" s="29"/>
      <c r="BE1437" s="29"/>
      <c r="BF1437" s="29"/>
      <c r="BG1437" s="29"/>
      <c r="BH1437" s="29"/>
      <c r="BI1437" s="29"/>
      <c r="BJ1437" s="29"/>
      <c r="BK1437" s="29"/>
      <c r="BL1437" s="29"/>
      <c r="BM1437" s="29"/>
      <c r="BN1437" s="20">
        <f t="shared" si="158"/>
        <v>0</v>
      </c>
      <c r="BO1437" s="20">
        <f t="shared" si="159"/>
        <v>0</v>
      </c>
      <c r="BP1437" s="20">
        <f t="shared" si="160"/>
        <v>4840</v>
      </c>
      <c r="BQ1437" s="51"/>
      <c r="BR1437" s="56"/>
      <c r="BS1437" s="111" t="s">
        <v>2311</v>
      </c>
      <c r="BT1437" s="36"/>
      <c r="BU1437" s="112"/>
    </row>
    <row r="1438" s="1" customFormat="1" customHeight="1" spans="1:73">
      <c r="A1438" s="15" t="s">
        <v>2312</v>
      </c>
      <c r="B1438" s="15" t="s">
        <v>2310</v>
      </c>
      <c r="C1438" s="16">
        <v>4870</v>
      </c>
      <c r="D1438" s="29"/>
      <c r="E1438" s="30"/>
      <c r="F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30"/>
      <c r="T1438" s="29"/>
      <c r="U1438" s="29"/>
      <c r="V1438" s="54"/>
      <c r="W1438" s="54"/>
      <c r="X1438" s="29"/>
      <c r="Y1438" s="29"/>
      <c r="Z1438" s="29"/>
      <c r="AA1438" s="29"/>
      <c r="AB1438" s="29"/>
      <c r="AC1438" s="29"/>
      <c r="AD1438" s="29"/>
      <c r="AE1438" s="29"/>
      <c r="AF1438" s="29"/>
      <c r="AG1438" s="30"/>
      <c r="AH1438" s="29"/>
      <c r="AI1438" s="29"/>
      <c r="AJ1438" s="29"/>
      <c r="AK1438" s="30"/>
      <c r="AL1438" s="29"/>
      <c r="AM1438" s="29"/>
      <c r="AN1438" s="29"/>
      <c r="AO1438" s="29"/>
      <c r="AP1438" s="29"/>
      <c r="AQ1438" s="29"/>
      <c r="AR1438" s="29"/>
      <c r="AS1438" s="29"/>
      <c r="AT1438" s="29"/>
      <c r="AU1438" s="29"/>
      <c r="AV1438" s="29"/>
      <c r="AW1438" s="29"/>
      <c r="AX1438" s="29"/>
      <c r="AY1438" s="29"/>
      <c r="AZ1438" s="29"/>
      <c r="BA1438" s="29"/>
      <c r="BB1438" s="29"/>
      <c r="BC1438" s="29"/>
      <c r="BD1438" s="29"/>
      <c r="BE1438" s="29"/>
      <c r="BF1438" s="29"/>
      <c r="BG1438" s="29"/>
      <c r="BH1438" s="29"/>
      <c r="BI1438" s="29"/>
      <c r="BJ1438" s="29"/>
      <c r="BK1438" s="29"/>
      <c r="BL1438" s="29"/>
      <c r="BM1438" s="29"/>
      <c r="BN1438" s="20">
        <f t="shared" si="158"/>
        <v>0</v>
      </c>
      <c r="BO1438" s="20">
        <f t="shared" si="159"/>
        <v>0</v>
      </c>
      <c r="BP1438" s="20">
        <f t="shared" si="160"/>
        <v>4870</v>
      </c>
      <c r="BQ1438" s="51"/>
      <c r="BR1438" s="56"/>
      <c r="BS1438" s="111" t="s">
        <v>2311</v>
      </c>
      <c r="BT1438" s="36"/>
      <c r="BU1438" s="112"/>
    </row>
    <row r="1439" s="1" customFormat="1" customHeight="1" spans="1:73">
      <c r="A1439" s="15" t="s">
        <v>2313</v>
      </c>
      <c r="B1439" s="15" t="s">
        <v>2310</v>
      </c>
      <c r="C1439" s="16">
        <v>3815</v>
      </c>
      <c r="D1439" s="29"/>
      <c r="E1439" s="30"/>
      <c r="F1439" s="29"/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30"/>
      <c r="T1439" s="29"/>
      <c r="U1439" s="29"/>
      <c r="V1439" s="54"/>
      <c r="W1439" s="54"/>
      <c r="X1439" s="29"/>
      <c r="Y1439" s="29"/>
      <c r="Z1439" s="29"/>
      <c r="AA1439" s="29"/>
      <c r="AB1439" s="29"/>
      <c r="AC1439" s="29"/>
      <c r="AD1439" s="29"/>
      <c r="AE1439" s="29"/>
      <c r="AF1439" s="29"/>
      <c r="AG1439" s="30"/>
      <c r="AH1439" s="29"/>
      <c r="AI1439" s="29"/>
      <c r="AJ1439" s="29"/>
      <c r="AK1439" s="30"/>
      <c r="AL1439" s="29"/>
      <c r="AM1439" s="29"/>
      <c r="AN1439" s="29"/>
      <c r="AO1439" s="29"/>
      <c r="AP1439" s="29"/>
      <c r="AQ1439" s="29"/>
      <c r="AR1439" s="29"/>
      <c r="AS1439" s="29"/>
      <c r="AT1439" s="29"/>
      <c r="AU1439" s="29"/>
      <c r="AV1439" s="29"/>
      <c r="AW1439" s="29"/>
      <c r="AX1439" s="29"/>
      <c r="AY1439" s="29"/>
      <c r="AZ1439" s="29"/>
      <c r="BA1439" s="29"/>
      <c r="BB1439" s="29"/>
      <c r="BC1439" s="29"/>
      <c r="BD1439" s="29"/>
      <c r="BE1439" s="29"/>
      <c r="BF1439" s="29"/>
      <c r="BG1439" s="29"/>
      <c r="BH1439" s="29"/>
      <c r="BI1439" s="29"/>
      <c r="BJ1439" s="29"/>
      <c r="BK1439" s="29"/>
      <c r="BL1439" s="29"/>
      <c r="BM1439" s="29"/>
      <c r="BN1439" s="20">
        <f t="shared" si="158"/>
        <v>0</v>
      </c>
      <c r="BO1439" s="20">
        <f t="shared" si="159"/>
        <v>0</v>
      </c>
      <c r="BP1439" s="20">
        <f t="shared" si="160"/>
        <v>3815</v>
      </c>
      <c r="BQ1439" s="51"/>
      <c r="BR1439" s="56"/>
      <c r="BS1439" s="111" t="s">
        <v>2311</v>
      </c>
      <c r="BT1439" s="36"/>
      <c r="BU1439" s="112"/>
    </row>
    <row r="1440" s="1" customFormat="1" customHeight="1" spans="1:73">
      <c r="A1440" s="15" t="s">
        <v>2314</v>
      </c>
      <c r="B1440" s="15"/>
      <c r="C1440" s="16">
        <v>2884</v>
      </c>
      <c r="D1440" s="29"/>
      <c r="E1440" s="30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30"/>
      <c r="T1440" s="29"/>
      <c r="U1440" s="29"/>
      <c r="V1440" s="54"/>
      <c r="W1440" s="54"/>
      <c r="X1440" s="29"/>
      <c r="Y1440" s="29"/>
      <c r="Z1440" s="29"/>
      <c r="AA1440" s="29"/>
      <c r="AB1440" s="29"/>
      <c r="AC1440" s="29"/>
      <c r="AD1440" s="29"/>
      <c r="AE1440" s="29"/>
      <c r="AF1440" s="29"/>
      <c r="AG1440" s="30"/>
      <c r="AH1440" s="29"/>
      <c r="AI1440" s="29"/>
      <c r="AJ1440" s="29"/>
      <c r="AK1440" s="30"/>
      <c r="AL1440" s="29"/>
      <c r="AM1440" s="29"/>
      <c r="AN1440" s="29"/>
      <c r="AO1440" s="29"/>
      <c r="AP1440" s="29"/>
      <c r="AQ1440" s="29"/>
      <c r="AR1440" s="29"/>
      <c r="AS1440" s="29"/>
      <c r="AT1440" s="29"/>
      <c r="AU1440" s="29"/>
      <c r="AV1440" s="29"/>
      <c r="AW1440" s="29"/>
      <c r="AX1440" s="29"/>
      <c r="AY1440" s="29"/>
      <c r="AZ1440" s="29"/>
      <c r="BA1440" s="29"/>
      <c r="BB1440" s="29"/>
      <c r="BC1440" s="29"/>
      <c r="BD1440" s="29"/>
      <c r="BE1440" s="29"/>
      <c r="BF1440" s="29"/>
      <c r="BG1440" s="29"/>
      <c r="BH1440" s="29"/>
      <c r="BI1440" s="29"/>
      <c r="BJ1440" s="29"/>
      <c r="BK1440" s="29"/>
      <c r="BL1440" s="29"/>
      <c r="BM1440" s="29"/>
      <c r="BN1440" s="20">
        <f t="shared" si="158"/>
        <v>0</v>
      </c>
      <c r="BO1440" s="20">
        <f t="shared" si="159"/>
        <v>0</v>
      </c>
      <c r="BP1440" s="20">
        <f t="shared" si="160"/>
        <v>2884</v>
      </c>
      <c r="BQ1440" s="51"/>
      <c r="BR1440" s="56"/>
      <c r="BS1440" s="111"/>
      <c r="BT1440" s="36"/>
      <c r="BU1440" s="112"/>
    </row>
    <row r="1441" s="1" customFormat="1" customHeight="1" spans="1:73">
      <c r="A1441" s="15" t="s">
        <v>2315</v>
      </c>
      <c r="B1441" s="15"/>
      <c r="C1441" s="16">
        <v>4818</v>
      </c>
      <c r="D1441" s="29"/>
      <c r="E1441" s="30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30"/>
      <c r="T1441" s="29"/>
      <c r="U1441" s="29"/>
      <c r="V1441" s="54"/>
      <c r="W1441" s="54"/>
      <c r="X1441" s="29"/>
      <c r="Y1441" s="29"/>
      <c r="Z1441" s="29"/>
      <c r="AA1441" s="29"/>
      <c r="AB1441" s="29"/>
      <c r="AC1441" s="29"/>
      <c r="AD1441" s="29"/>
      <c r="AE1441" s="29"/>
      <c r="AF1441" s="29"/>
      <c r="AG1441" s="30"/>
      <c r="AH1441" s="29"/>
      <c r="AI1441" s="29"/>
      <c r="AJ1441" s="29"/>
      <c r="AK1441" s="30"/>
      <c r="AL1441" s="29"/>
      <c r="AM1441" s="29"/>
      <c r="AN1441" s="29"/>
      <c r="AO1441" s="29"/>
      <c r="AP1441" s="29"/>
      <c r="AQ1441" s="29"/>
      <c r="AR1441" s="29"/>
      <c r="AS1441" s="29"/>
      <c r="AT1441" s="29"/>
      <c r="AU1441" s="29"/>
      <c r="AV1441" s="29"/>
      <c r="AW1441" s="29"/>
      <c r="AX1441" s="29"/>
      <c r="AY1441" s="29"/>
      <c r="AZ1441" s="29"/>
      <c r="BA1441" s="29"/>
      <c r="BB1441" s="29"/>
      <c r="BC1441" s="29"/>
      <c r="BD1441" s="29"/>
      <c r="BE1441" s="29"/>
      <c r="BF1441" s="29"/>
      <c r="BG1441" s="29"/>
      <c r="BH1441" s="29"/>
      <c r="BI1441" s="29"/>
      <c r="BJ1441" s="29"/>
      <c r="BK1441" s="29"/>
      <c r="BL1441" s="29"/>
      <c r="BM1441" s="29"/>
      <c r="BN1441" s="20">
        <f t="shared" si="158"/>
        <v>0</v>
      </c>
      <c r="BO1441" s="20">
        <f t="shared" si="159"/>
        <v>0</v>
      </c>
      <c r="BP1441" s="20">
        <f t="shared" si="160"/>
        <v>4818</v>
      </c>
      <c r="BQ1441" s="51"/>
      <c r="BR1441" s="56"/>
      <c r="BS1441" s="111"/>
      <c r="BT1441" s="36"/>
      <c r="BU1441" s="112"/>
    </row>
    <row r="1442" s="1" customFormat="1" customHeight="1" spans="1:73">
      <c r="A1442" s="15" t="s">
        <v>2316</v>
      </c>
      <c r="B1442" s="15"/>
      <c r="C1442" s="16">
        <v>4950</v>
      </c>
      <c r="D1442" s="29"/>
      <c r="E1442" s="30"/>
      <c r="F1442" s="29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54"/>
      <c r="W1442" s="54"/>
      <c r="X1442" s="29"/>
      <c r="Y1442" s="29"/>
      <c r="Z1442" s="29"/>
      <c r="AA1442" s="29"/>
      <c r="AB1442" s="29"/>
      <c r="AC1442" s="29"/>
      <c r="AD1442" s="29"/>
      <c r="AE1442" s="29"/>
      <c r="AF1442" s="29"/>
      <c r="AG1442" s="30"/>
      <c r="AH1442" s="29"/>
      <c r="AI1442" s="29"/>
      <c r="AJ1442" s="29"/>
      <c r="AK1442" s="30"/>
      <c r="AL1442" s="29"/>
      <c r="AM1442" s="29"/>
      <c r="AN1442" s="29"/>
      <c r="AO1442" s="29"/>
      <c r="AP1442" s="29"/>
      <c r="AQ1442" s="29"/>
      <c r="AR1442" s="29"/>
      <c r="AS1442" s="29"/>
      <c r="AT1442" s="29"/>
      <c r="AU1442" s="29"/>
      <c r="AV1442" s="29"/>
      <c r="AW1442" s="29"/>
      <c r="AX1442" s="29"/>
      <c r="AY1442" s="29"/>
      <c r="AZ1442" s="29"/>
      <c r="BA1442" s="29"/>
      <c r="BB1442" s="29"/>
      <c r="BC1442" s="29"/>
      <c r="BD1442" s="29"/>
      <c r="BE1442" s="29"/>
      <c r="BF1442" s="29"/>
      <c r="BG1442" s="29"/>
      <c r="BH1442" s="29"/>
      <c r="BI1442" s="29"/>
      <c r="BJ1442" s="29"/>
      <c r="BK1442" s="29"/>
      <c r="BL1442" s="29"/>
      <c r="BM1442" s="29"/>
      <c r="BN1442" s="20">
        <f t="shared" si="158"/>
        <v>0</v>
      </c>
      <c r="BO1442" s="20">
        <f t="shared" si="159"/>
        <v>0</v>
      </c>
      <c r="BP1442" s="20">
        <f t="shared" si="160"/>
        <v>4950</v>
      </c>
      <c r="BQ1442" s="51"/>
      <c r="BR1442" s="56"/>
      <c r="BS1442" s="111"/>
      <c r="BT1442" s="36"/>
      <c r="BU1442" s="112"/>
    </row>
    <row r="1443" s="1" customFormat="1" customHeight="1" spans="1:73">
      <c r="A1443" s="15" t="s">
        <v>2317</v>
      </c>
      <c r="B1443" s="15"/>
      <c r="C1443" s="16">
        <v>550</v>
      </c>
      <c r="D1443" s="29"/>
      <c r="E1443" s="30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54"/>
      <c r="W1443" s="54"/>
      <c r="X1443" s="29"/>
      <c r="Y1443" s="29"/>
      <c r="Z1443" s="29"/>
      <c r="AA1443" s="29"/>
      <c r="AB1443" s="29"/>
      <c r="AC1443" s="29"/>
      <c r="AD1443" s="29"/>
      <c r="AE1443" s="29"/>
      <c r="AF1443" s="29"/>
      <c r="AG1443" s="30"/>
      <c r="AH1443" s="29"/>
      <c r="AI1443" s="29"/>
      <c r="AJ1443" s="29"/>
      <c r="AK1443" s="30"/>
      <c r="AL1443" s="29"/>
      <c r="AM1443" s="29"/>
      <c r="AN1443" s="29"/>
      <c r="AO1443" s="29"/>
      <c r="AP1443" s="29"/>
      <c r="AQ1443" s="29"/>
      <c r="AR1443" s="29"/>
      <c r="AS1443" s="29"/>
      <c r="AT1443" s="29"/>
      <c r="AU1443" s="29"/>
      <c r="AV1443" s="29"/>
      <c r="AW1443" s="29"/>
      <c r="AX1443" s="29"/>
      <c r="AY1443" s="29"/>
      <c r="AZ1443" s="29"/>
      <c r="BA1443" s="29"/>
      <c r="BB1443" s="29"/>
      <c r="BC1443" s="29"/>
      <c r="BD1443" s="29"/>
      <c r="BE1443" s="29"/>
      <c r="BF1443" s="29"/>
      <c r="BG1443" s="29"/>
      <c r="BH1443" s="29"/>
      <c r="BI1443" s="29"/>
      <c r="BJ1443" s="29"/>
      <c r="BK1443" s="29"/>
      <c r="BL1443" s="29"/>
      <c r="BM1443" s="29"/>
      <c r="BN1443" s="20">
        <f t="shared" si="158"/>
        <v>0</v>
      </c>
      <c r="BO1443" s="20">
        <f t="shared" si="159"/>
        <v>0</v>
      </c>
      <c r="BP1443" s="20">
        <f t="shared" si="160"/>
        <v>550</v>
      </c>
      <c r="BQ1443" s="51"/>
      <c r="BR1443" s="56"/>
      <c r="BS1443" s="111"/>
      <c r="BT1443" s="36"/>
      <c r="BU1443" s="112"/>
    </row>
    <row r="1444" s="1" customFormat="1" customHeight="1" spans="1:73">
      <c r="A1444" s="15" t="s">
        <v>2318</v>
      </c>
      <c r="B1444" s="15" t="s">
        <v>2319</v>
      </c>
      <c r="C1444" s="16">
        <v>3300</v>
      </c>
      <c r="D1444" s="29"/>
      <c r="E1444" s="30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54"/>
      <c r="W1444" s="54"/>
      <c r="X1444" s="29"/>
      <c r="Y1444" s="29"/>
      <c r="Z1444" s="29"/>
      <c r="AA1444" s="29"/>
      <c r="AB1444" s="29"/>
      <c r="AC1444" s="29"/>
      <c r="AD1444" s="29"/>
      <c r="AE1444" s="29"/>
      <c r="AF1444" s="29"/>
      <c r="AG1444" s="30"/>
      <c r="AH1444" s="29"/>
      <c r="AI1444" s="29"/>
      <c r="AJ1444" s="29"/>
      <c r="AK1444" s="30"/>
      <c r="AL1444" s="29"/>
      <c r="AM1444" s="29"/>
      <c r="AN1444" s="29"/>
      <c r="AO1444" s="29"/>
      <c r="AP1444" s="29"/>
      <c r="AQ1444" s="29"/>
      <c r="AR1444" s="29"/>
      <c r="AS1444" s="29"/>
      <c r="AT1444" s="29"/>
      <c r="AU1444" s="29"/>
      <c r="AV1444" s="29"/>
      <c r="AW1444" s="29"/>
      <c r="AX1444" s="29"/>
      <c r="AY1444" s="29"/>
      <c r="AZ1444" s="29"/>
      <c r="BA1444" s="29"/>
      <c r="BB1444" s="29"/>
      <c r="BC1444" s="29"/>
      <c r="BD1444" s="29"/>
      <c r="BE1444" s="29"/>
      <c r="BF1444" s="29"/>
      <c r="BG1444" s="29"/>
      <c r="BH1444" s="29"/>
      <c r="BI1444" s="29"/>
      <c r="BJ1444" s="29"/>
      <c r="BK1444" s="29"/>
      <c r="BL1444" s="29"/>
      <c r="BM1444" s="29"/>
      <c r="BN1444" s="20">
        <f t="shared" si="158"/>
        <v>0</v>
      </c>
      <c r="BO1444" s="20">
        <f t="shared" si="159"/>
        <v>0</v>
      </c>
      <c r="BP1444" s="20">
        <f t="shared" si="160"/>
        <v>3300</v>
      </c>
      <c r="BQ1444" s="51"/>
      <c r="BR1444" s="56"/>
      <c r="BS1444" s="111" t="s">
        <v>2320</v>
      </c>
      <c r="BT1444" s="36"/>
      <c r="BU1444" s="112"/>
    </row>
    <row r="1445" s="1" customFormat="1" customHeight="1" spans="1:73">
      <c r="A1445" s="15" t="s">
        <v>2321</v>
      </c>
      <c r="B1445" s="15" t="s">
        <v>2319</v>
      </c>
      <c r="C1445" s="16">
        <v>4000</v>
      </c>
      <c r="D1445" s="29"/>
      <c r="E1445" s="30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54"/>
      <c r="W1445" s="54"/>
      <c r="X1445" s="29"/>
      <c r="Y1445" s="29"/>
      <c r="Z1445" s="29"/>
      <c r="AA1445" s="29"/>
      <c r="AB1445" s="29"/>
      <c r="AC1445" s="29"/>
      <c r="AD1445" s="29"/>
      <c r="AE1445" s="29"/>
      <c r="AF1445" s="29"/>
      <c r="AG1445" s="30"/>
      <c r="AH1445" s="29"/>
      <c r="AI1445" s="29"/>
      <c r="AJ1445" s="29"/>
      <c r="AK1445" s="30"/>
      <c r="AL1445" s="29"/>
      <c r="AM1445" s="29"/>
      <c r="AN1445" s="29"/>
      <c r="AO1445" s="29"/>
      <c r="AP1445" s="29"/>
      <c r="AQ1445" s="29"/>
      <c r="AR1445" s="29"/>
      <c r="AS1445" s="29"/>
      <c r="AT1445" s="29"/>
      <c r="AU1445" s="29"/>
      <c r="AV1445" s="29"/>
      <c r="AW1445" s="29"/>
      <c r="AX1445" s="29"/>
      <c r="AY1445" s="29"/>
      <c r="AZ1445" s="29"/>
      <c r="BA1445" s="29"/>
      <c r="BB1445" s="29"/>
      <c r="BC1445" s="29"/>
      <c r="BD1445" s="29"/>
      <c r="BE1445" s="29"/>
      <c r="BF1445" s="29"/>
      <c r="BG1445" s="29"/>
      <c r="BH1445" s="29"/>
      <c r="BI1445" s="29"/>
      <c r="BJ1445" s="29"/>
      <c r="BK1445" s="29"/>
      <c r="BL1445" s="29"/>
      <c r="BM1445" s="29"/>
      <c r="BN1445" s="20">
        <f t="shared" si="158"/>
        <v>0</v>
      </c>
      <c r="BO1445" s="20">
        <f t="shared" si="159"/>
        <v>0</v>
      </c>
      <c r="BP1445" s="20">
        <f t="shared" si="160"/>
        <v>4000</v>
      </c>
      <c r="BQ1445" s="51"/>
      <c r="BR1445" s="56"/>
      <c r="BS1445" s="111"/>
      <c r="BT1445" s="36"/>
      <c r="BU1445" s="112"/>
    </row>
    <row r="1446" s="1" customFormat="1" customHeight="1" spans="1:73">
      <c r="A1446" s="15" t="s">
        <v>2322</v>
      </c>
      <c r="B1446" s="15" t="s">
        <v>2319</v>
      </c>
      <c r="C1446" s="16">
        <v>3950</v>
      </c>
      <c r="D1446" s="29"/>
      <c r="E1446" s="30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54"/>
      <c r="W1446" s="54"/>
      <c r="X1446" s="29"/>
      <c r="Y1446" s="29"/>
      <c r="Z1446" s="29"/>
      <c r="AA1446" s="29"/>
      <c r="AB1446" s="29"/>
      <c r="AC1446" s="29"/>
      <c r="AD1446" s="29"/>
      <c r="AE1446" s="29"/>
      <c r="AF1446" s="29"/>
      <c r="AG1446" s="30"/>
      <c r="AH1446" s="29"/>
      <c r="AI1446" s="29"/>
      <c r="AJ1446" s="29"/>
      <c r="AK1446" s="30"/>
      <c r="AL1446" s="29"/>
      <c r="AM1446" s="29"/>
      <c r="AN1446" s="29"/>
      <c r="AO1446" s="29"/>
      <c r="AP1446" s="29"/>
      <c r="AQ1446" s="29"/>
      <c r="AR1446" s="29"/>
      <c r="AS1446" s="29"/>
      <c r="AT1446" s="29"/>
      <c r="AU1446" s="29"/>
      <c r="AV1446" s="29"/>
      <c r="AW1446" s="29"/>
      <c r="AX1446" s="29"/>
      <c r="AY1446" s="29"/>
      <c r="AZ1446" s="29"/>
      <c r="BA1446" s="29"/>
      <c r="BB1446" s="29"/>
      <c r="BC1446" s="29"/>
      <c r="BD1446" s="29"/>
      <c r="BE1446" s="29"/>
      <c r="BF1446" s="29"/>
      <c r="BG1446" s="29"/>
      <c r="BH1446" s="29"/>
      <c r="BI1446" s="29"/>
      <c r="BJ1446" s="29"/>
      <c r="BK1446" s="29"/>
      <c r="BL1446" s="29"/>
      <c r="BM1446" s="29"/>
      <c r="BN1446" s="20">
        <f t="shared" si="158"/>
        <v>0</v>
      </c>
      <c r="BO1446" s="20">
        <f t="shared" si="159"/>
        <v>0</v>
      </c>
      <c r="BP1446" s="20">
        <f t="shared" si="160"/>
        <v>3950</v>
      </c>
      <c r="BQ1446" s="51"/>
      <c r="BR1446" s="56"/>
      <c r="BS1446" s="111" t="s">
        <v>2323</v>
      </c>
      <c r="BT1446" s="36"/>
      <c r="BU1446" s="112"/>
    </row>
    <row r="1447" s="1" customFormat="1" customHeight="1" spans="1:73">
      <c r="A1447" s="15" t="s">
        <v>2324</v>
      </c>
      <c r="B1447" s="15" t="s">
        <v>2319</v>
      </c>
      <c r="C1447" s="16">
        <v>3970</v>
      </c>
      <c r="D1447" s="29"/>
      <c r="E1447" s="30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54"/>
      <c r="W1447" s="54"/>
      <c r="X1447" s="29"/>
      <c r="Y1447" s="29"/>
      <c r="Z1447" s="29"/>
      <c r="AA1447" s="29"/>
      <c r="AB1447" s="29"/>
      <c r="AC1447" s="29"/>
      <c r="AD1447" s="29"/>
      <c r="AE1447" s="29"/>
      <c r="AF1447" s="29"/>
      <c r="AG1447" s="30"/>
      <c r="AH1447" s="29"/>
      <c r="AI1447" s="29"/>
      <c r="AJ1447" s="29"/>
      <c r="AK1447" s="30"/>
      <c r="AL1447" s="29"/>
      <c r="AM1447" s="29"/>
      <c r="AN1447" s="29"/>
      <c r="AO1447" s="29"/>
      <c r="AP1447" s="29"/>
      <c r="AQ1447" s="29"/>
      <c r="AR1447" s="29"/>
      <c r="AS1447" s="29"/>
      <c r="AT1447" s="29"/>
      <c r="AU1447" s="29"/>
      <c r="AV1447" s="29"/>
      <c r="AW1447" s="29"/>
      <c r="AX1447" s="29"/>
      <c r="AY1447" s="29"/>
      <c r="AZ1447" s="29"/>
      <c r="BA1447" s="29"/>
      <c r="BB1447" s="29"/>
      <c r="BC1447" s="29"/>
      <c r="BD1447" s="29"/>
      <c r="BE1447" s="29"/>
      <c r="BF1447" s="29"/>
      <c r="BG1447" s="29"/>
      <c r="BH1447" s="29"/>
      <c r="BI1447" s="29"/>
      <c r="BJ1447" s="29"/>
      <c r="BK1447" s="29"/>
      <c r="BL1447" s="29"/>
      <c r="BM1447" s="29"/>
      <c r="BN1447" s="20">
        <f t="shared" si="158"/>
        <v>0</v>
      </c>
      <c r="BO1447" s="20">
        <f t="shared" si="159"/>
        <v>0</v>
      </c>
      <c r="BP1447" s="20">
        <f t="shared" si="160"/>
        <v>3970</v>
      </c>
      <c r="BQ1447" s="51"/>
      <c r="BR1447" s="56"/>
      <c r="BS1447" s="111" t="s">
        <v>2323</v>
      </c>
      <c r="BT1447" s="36"/>
      <c r="BU1447" s="112"/>
    </row>
    <row r="1448" s="1" customFormat="1" customHeight="1" spans="1:73">
      <c r="A1448" s="15" t="s">
        <v>2325</v>
      </c>
      <c r="B1448" s="15" t="s">
        <v>2319</v>
      </c>
      <c r="C1448" s="16">
        <v>2860</v>
      </c>
      <c r="D1448" s="29"/>
      <c r="E1448" s="30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54"/>
      <c r="W1448" s="54"/>
      <c r="X1448" s="29"/>
      <c r="Y1448" s="29"/>
      <c r="Z1448" s="29"/>
      <c r="AA1448" s="29"/>
      <c r="AB1448" s="29"/>
      <c r="AC1448" s="29"/>
      <c r="AD1448" s="29"/>
      <c r="AE1448" s="29"/>
      <c r="AF1448" s="29"/>
      <c r="AG1448" s="30"/>
      <c r="AH1448" s="29"/>
      <c r="AI1448" s="29"/>
      <c r="AJ1448" s="29"/>
      <c r="AK1448" s="30"/>
      <c r="AL1448" s="29"/>
      <c r="AM1448" s="29"/>
      <c r="AN1448" s="29"/>
      <c r="AO1448" s="29"/>
      <c r="AP1448" s="29"/>
      <c r="AQ1448" s="29"/>
      <c r="AR1448" s="29"/>
      <c r="AS1448" s="29"/>
      <c r="AT1448" s="29"/>
      <c r="AU1448" s="29"/>
      <c r="AV1448" s="29"/>
      <c r="AW1448" s="29"/>
      <c r="AX1448" s="29"/>
      <c r="AY1448" s="29"/>
      <c r="AZ1448" s="29"/>
      <c r="BA1448" s="29"/>
      <c r="BB1448" s="29"/>
      <c r="BC1448" s="29"/>
      <c r="BD1448" s="29"/>
      <c r="BE1448" s="29"/>
      <c r="BF1448" s="29"/>
      <c r="BG1448" s="29"/>
      <c r="BH1448" s="29"/>
      <c r="BI1448" s="29"/>
      <c r="BJ1448" s="29"/>
      <c r="BK1448" s="29"/>
      <c r="BL1448" s="29"/>
      <c r="BM1448" s="29"/>
      <c r="BN1448" s="20">
        <f t="shared" si="158"/>
        <v>0</v>
      </c>
      <c r="BO1448" s="20">
        <f t="shared" si="159"/>
        <v>0</v>
      </c>
      <c r="BP1448" s="20">
        <f t="shared" si="160"/>
        <v>2860</v>
      </c>
      <c r="BQ1448" s="51"/>
      <c r="BR1448" s="56"/>
      <c r="BS1448" s="111" t="s">
        <v>2326</v>
      </c>
      <c r="BT1448" s="36"/>
      <c r="BU1448" s="112"/>
    </row>
    <row r="1449" s="1" customFormat="1" customHeight="1" spans="1:73">
      <c r="A1449" s="15" t="s">
        <v>2327</v>
      </c>
      <c r="B1449" s="15" t="s">
        <v>2328</v>
      </c>
      <c r="C1449" s="16">
        <v>2300</v>
      </c>
      <c r="D1449" s="29"/>
      <c r="E1449" s="30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54"/>
      <c r="W1449" s="54"/>
      <c r="X1449" s="29"/>
      <c r="Y1449" s="29"/>
      <c r="Z1449" s="29"/>
      <c r="AA1449" s="29"/>
      <c r="AB1449" s="29"/>
      <c r="AC1449" s="29"/>
      <c r="AD1449" s="29"/>
      <c r="AE1449" s="29"/>
      <c r="AF1449" s="29"/>
      <c r="AG1449" s="30"/>
      <c r="AH1449" s="29"/>
      <c r="AI1449" s="29"/>
      <c r="AJ1449" s="29"/>
      <c r="AK1449" s="30"/>
      <c r="AL1449" s="29"/>
      <c r="AM1449" s="29"/>
      <c r="AN1449" s="29"/>
      <c r="AO1449" s="29"/>
      <c r="AP1449" s="29"/>
      <c r="AQ1449" s="29"/>
      <c r="AR1449" s="29"/>
      <c r="AS1449" s="29"/>
      <c r="AT1449" s="29"/>
      <c r="AU1449" s="29"/>
      <c r="AV1449" s="29"/>
      <c r="AW1449" s="29"/>
      <c r="AX1449" s="29"/>
      <c r="AY1449" s="29"/>
      <c r="AZ1449" s="29"/>
      <c r="BA1449" s="29"/>
      <c r="BB1449" s="29"/>
      <c r="BC1449" s="29"/>
      <c r="BD1449" s="29"/>
      <c r="BE1449" s="29"/>
      <c r="BF1449" s="29"/>
      <c r="BG1449" s="29"/>
      <c r="BH1449" s="29"/>
      <c r="BI1449" s="29"/>
      <c r="BJ1449" s="29"/>
      <c r="BK1449" s="29"/>
      <c r="BL1449" s="29"/>
      <c r="BM1449" s="29"/>
      <c r="BN1449" s="20">
        <f t="shared" ref="BN1449:BN1512" si="161">D1449+F1449+H1449+J1449+L1449+N1449+P1449+R1449+T1449+V1449+X1449+Z1449+AB1449+AD1449+AF1449+AH1449+AJ1449+AL1449+AN1449+AP1449+AR1449+AT1449+AV1449+AX1449+AZ1449+BB1449+BD1449+BF1449+BH1449+BJ1449+BL1449</f>
        <v>0</v>
      </c>
      <c r="BO1449" s="20">
        <f t="shared" ref="BO1449:BO1512" si="162">E1449+G1449+I1449+K1449+M1449+O1449+Q1449+S1449+U1449+W1449+Y1449+AA1449+AC1449+AE1449+AG1449+AI1449+AK1449+AM1449+AO1449+AQ1449+AS1449+AU1449+AW1449+AY1449+BA1449+BC1449+BE1449+BG1449+BI1449+BK1449+BM1449</f>
        <v>0</v>
      </c>
      <c r="BP1449" s="20">
        <f t="shared" ref="BP1449:BP1512" si="163">C1449+BN1449-BO1449</f>
        <v>2300</v>
      </c>
      <c r="BQ1449" s="51"/>
      <c r="BR1449" s="56"/>
      <c r="BS1449" s="111" t="s">
        <v>2320</v>
      </c>
      <c r="BT1449" s="36"/>
      <c r="BU1449" s="112"/>
    </row>
    <row r="1450" s="1" customFormat="1" customHeight="1" spans="1:73">
      <c r="A1450" s="15" t="s">
        <v>2329</v>
      </c>
      <c r="B1450" s="15" t="s">
        <v>2155</v>
      </c>
      <c r="C1450" s="16">
        <v>640</v>
      </c>
      <c r="D1450" s="29"/>
      <c r="E1450" s="30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54"/>
      <c r="W1450" s="54"/>
      <c r="X1450" s="29"/>
      <c r="Y1450" s="29"/>
      <c r="Z1450" s="29"/>
      <c r="AA1450" s="29"/>
      <c r="AB1450" s="29"/>
      <c r="AC1450" s="29"/>
      <c r="AD1450" s="29"/>
      <c r="AE1450" s="29"/>
      <c r="AF1450" s="29"/>
      <c r="AG1450" s="30"/>
      <c r="AH1450" s="29"/>
      <c r="AI1450" s="29"/>
      <c r="AJ1450" s="29"/>
      <c r="AK1450" s="30"/>
      <c r="AL1450" s="29"/>
      <c r="AM1450" s="29"/>
      <c r="AN1450" s="29"/>
      <c r="AO1450" s="29"/>
      <c r="AP1450" s="29"/>
      <c r="AQ1450" s="29"/>
      <c r="AR1450" s="29"/>
      <c r="AS1450" s="29"/>
      <c r="AT1450" s="29"/>
      <c r="AU1450" s="29"/>
      <c r="AV1450" s="29"/>
      <c r="AW1450" s="29"/>
      <c r="AX1450" s="29"/>
      <c r="AY1450" s="29"/>
      <c r="AZ1450" s="29"/>
      <c r="BA1450" s="29"/>
      <c r="BB1450" s="29"/>
      <c r="BC1450" s="29"/>
      <c r="BD1450" s="29"/>
      <c r="BE1450" s="29"/>
      <c r="BF1450" s="29"/>
      <c r="BG1450" s="29"/>
      <c r="BH1450" s="29"/>
      <c r="BI1450" s="29"/>
      <c r="BJ1450" s="29"/>
      <c r="BK1450" s="29"/>
      <c r="BL1450" s="29"/>
      <c r="BM1450" s="29"/>
      <c r="BN1450" s="20">
        <f t="shared" si="161"/>
        <v>0</v>
      </c>
      <c r="BO1450" s="20">
        <f t="shared" si="162"/>
        <v>0</v>
      </c>
      <c r="BP1450" s="20">
        <f t="shared" si="163"/>
        <v>640</v>
      </c>
      <c r="BQ1450" s="51"/>
      <c r="BR1450" s="56"/>
      <c r="BS1450" s="111" t="s">
        <v>2320</v>
      </c>
      <c r="BT1450" s="36"/>
      <c r="BU1450" s="112"/>
    </row>
    <row r="1451" s="1" customFormat="1" customHeight="1" spans="1:73">
      <c r="A1451" s="15" t="s">
        <v>2330</v>
      </c>
      <c r="B1451" s="15"/>
      <c r="C1451" s="16">
        <v>3007</v>
      </c>
      <c r="D1451" s="29"/>
      <c r="E1451" s="30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54"/>
      <c r="W1451" s="54"/>
      <c r="X1451" s="29"/>
      <c r="Y1451" s="29"/>
      <c r="Z1451" s="29"/>
      <c r="AA1451" s="29"/>
      <c r="AB1451" s="29"/>
      <c r="AC1451" s="29"/>
      <c r="AD1451" s="29"/>
      <c r="AE1451" s="29"/>
      <c r="AF1451" s="29"/>
      <c r="AG1451" s="30"/>
      <c r="AH1451" s="29"/>
      <c r="AI1451" s="29"/>
      <c r="AJ1451" s="29"/>
      <c r="AK1451" s="30"/>
      <c r="AL1451" s="29"/>
      <c r="AM1451" s="29"/>
      <c r="AN1451" s="29"/>
      <c r="AO1451" s="29"/>
      <c r="AP1451" s="29"/>
      <c r="AQ1451" s="29"/>
      <c r="AR1451" s="29"/>
      <c r="AS1451" s="29"/>
      <c r="AT1451" s="29"/>
      <c r="AU1451" s="29"/>
      <c r="AV1451" s="29"/>
      <c r="AW1451" s="29"/>
      <c r="AX1451" s="29"/>
      <c r="AY1451" s="29"/>
      <c r="AZ1451" s="29"/>
      <c r="BA1451" s="29"/>
      <c r="BB1451" s="29"/>
      <c r="BC1451" s="29"/>
      <c r="BD1451" s="29"/>
      <c r="BE1451" s="29"/>
      <c r="BF1451" s="29"/>
      <c r="BG1451" s="29"/>
      <c r="BH1451" s="29"/>
      <c r="BI1451" s="29"/>
      <c r="BJ1451" s="29"/>
      <c r="BK1451" s="29"/>
      <c r="BL1451" s="29"/>
      <c r="BM1451" s="29"/>
      <c r="BN1451" s="20">
        <f t="shared" si="161"/>
        <v>0</v>
      </c>
      <c r="BO1451" s="20">
        <f t="shared" si="162"/>
        <v>0</v>
      </c>
      <c r="BP1451" s="20">
        <f t="shared" si="163"/>
        <v>3007</v>
      </c>
      <c r="BQ1451" s="51"/>
      <c r="BR1451" s="56"/>
      <c r="BS1451" s="111" t="s">
        <v>2331</v>
      </c>
      <c r="BT1451" s="36"/>
      <c r="BU1451" s="112"/>
    </row>
    <row r="1452" s="1" customFormat="1" customHeight="1" spans="1:73">
      <c r="A1452" s="15" t="s">
        <v>2332</v>
      </c>
      <c r="B1452" s="15" t="s">
        <v>2333</v>
      </c>
      <c r="C1452" s="16">
        <v>3450</v>
      </c>
      <c r="D1452" s="29"/>
      <c r="E1452" s="30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54"/>
      <c r="W1452" s="54"/>
      <c r="X1452" s="29"/>
      <c r="Y1452" s="29"/>
      <c r="Z1452" s="29"/>
      <c r="AA1452" s="29"/>
      <c r="AB1452" s="29"/>
      <c r="AC1452" s="29"/>
      <c r="AD1452" s="29"/>
      <c r="AE1452" s="29"/>
      <c r="AF1452" s="29"/>
      <c r="AG1452" s="30"/>
      <c r="AH1452" s="29"/>
      <c r="AI1452" s="29"/>
      <c r="AJ1452" s="29"/>
      <c r="AK1452" s="30"/>
      <c r="AL1452" s="29"/>
      <c r="AM1452" s="29"/>
      <c r="AN1452" s="29"/>
      <c r="AO1452" s="29"/>
      <c r="AP1452" s="29"/>
      <c r="AQ1452" s="29"/>
      <c r="AR1452" s="29"/>
      <c r="AS1452" s="29"/>
      <c r="AT1452" s="29"/>
      <c r="AU1452" s="29"/>
      <c r="AV1452" s="29"/>
      <c r="AW1452" s="29"/>
      <c r="AX1452" s="29"/>
      <c r="AY1452" s="29"/>
      <c r="AZ1452" s="29"/>
      <c r="BA1452" s="29"/>
      <c r="BB1452" s="29"/>
      <c r="BC1452" s="29"/>
      <c r="BD1452" s="29"/>
      <c r="BE1452" s="29"/>
      <c r="BF1452" s="29"/>
      <c r="BG1452" s="29"/>
      <c r="BH1452" s="29"/>
      <c r="BI1452" s="29"/>
      <c r="BJ1452" s="29"/>
      <c r="BK1452" s="29"/>
      <c r="BL1452" s="29"/>
      <c r="BM1452" s="29"/>
      <c r="BN1452" s="20">
        <f t="shared" si="161"/>
        <v>0</v>
      </c>
      <c r="BO1452" s="20">
        <f t="shared" si="162"/>
        <v>0</v>
      </c>
      <c r="BP1452" s="20">
        <f t="shared" si="163"/>
        <v>3450</v>
      </c>
      <c r="BQ1452" s="51"/>
      <c r="BR1452" s="56"/>
      <c r="BS1452" s="111" t="s">
        <v>2334</v>
      </c>
      <c r="BT1452" s="36"/>
      <c r="BU1452" s="112"/>
    </row>
    <row r="1453" s="1" customFormat="1" customHeight="1" spans="1:73">
      <c r="A1453" s="15" t="s">
        <v>2335</v>
      </c>
      <c r="B1453" s="15">
        <v>6030</v>
      </c>
      <c r="C1453" s="16">
        <v>4950</v>
      </c>
      <c r="D1453" s="29"/>
      <c r="E1453" s="30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54"/>
      <c r="W1453" s="54"/>
      <c r="X1453" s="29"/>
      <c r="Y1453" s="29"/>
      <c r="Z1453" s="29"/>
      <c r="AA1453" s="29"/>
      <c r="AB1453" s="29"/>
      <c r="AC1453" s="29"/>
      <c r="AD1453" s="29"/>
      <c r="AE1453" s="29"/>
      <c r="AF1453" s="29"/>
      <c r="AG1453" s="30"/>
      <c r="AH1453" s="29"/>
      <c r="AI1453" s="29"/>
      <c r="AJ1453" s="29"/>
      <c r="AK1453" s="30"/>
      <c r="AL1453" s="29"/>
      <c r="AM1453" s="29"/>
      <c r="AN1453" s="29"/>
      <c r="AO1453" s="29"/>
      <c r="AP1453" s="29"/>
      <c r="AQ1453" s="29"/>
      <c r="AR1453" s="29"/>
      <c r="AS1453" s="29"/>
      <c r="AT1453" s="29"/>
      <c r="AU1453" s="29"/>
      <c r="AV1453" s="29"/>
      <c r="AW1453" s="29"/>
      <c r="AX1453" s="29"/>
      <c r="AY1453" s="29"/>
      <c r="AZ1453" s="29"/>
      <c r="BA1453" s="29"/>
      <c r="BB1453" s="29"/>
      <c r="BC1453" s="29"/>
      <c r="BD1453" s="29"/>
      <c r="BE1453" s="29"/>
      <c r="BF1453" s="29"/>
      <c r="BG1453" s="29"/>
      <c r="BH1453" s="29"/>
      <c r="BI1453" s="29"/>
      <c r="BJ1453" s="29"/>
      <c r="BK1453" s="29"/>
      <c r="BL1453" s="29"/>
      <c r="BM1453" s="29"/>
      <c r="BN1453" s="20">
        <f t="shared" si="161"/>
        <v>0</v>
      </c>
      <c r="BO1453" s="20">
        <f t="shared" si="162"/>
        <v>0</v>
      </c>
      <c r="BP1453" s="20">
        <f t="shared" si="163"/>
        <v>4950</v>
      </c>
      <c r="BQ1453" s="51"/>
      <c r="BR1453" s="56"/>
      <c r="BS1453" s="111"/>
      <c r="BT1453" s="36"/>
      <c r="BU1453" s="112"/>
    </row>
    <row r="1454" s="1" customFormat="1" customHeight="1" spans="1:73">
      <c r="A1454" s="15" t="s">
        <v>2336</v>
      </c>
      <c r="B1454" s="15"/>
      <c r="C1454" s="16">
        <v>4960</v>
      </c>
      <c r="D1454" s="29"/>
      <c r="E1454" s="30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29"/>
      <c r="AB1454" s="29"/>
      <c r="AC1454" s="29"/>
      <c r="AD1454" s="29"/>
      <c r="AE1454" s="29"/>
      <c r="AF1454" s="29"/>
      <c r="AG1454" s="30"/>
      <c r="AH1454" s="29"/>
      <c r="AI1454" s="29"/>
      <c r="AJ1454" s="29"/>
      <c r="AK1454" s="30"/>
      <c r="AL1454" s="29"/>
      <c r="AM1454" s="29"/>
      <c r="AN1454" s="29"/>
      <c r="AO1454" s="29"/>
      <c r="AP1454" s="29"/>
      <c r="AQ1454" s="29"/>
      <c r="AR1454" s="29"/>
      <c r="AS1454" s="29"/>
      <c r="AT1454" s="29"/>
      <c r="AU1454" s="29"/>
      <c r="AV1454" s="29"/>
      <c r="AW1454" s="29"/>
      <c r="AX1454" s="29"/>
      <c r="AY1454" s="29"/>
      <c r="AZ1454" s="29"/>
      <c r="BA1454" s="29"/>
      <c r="BB1454" s="29"/>
      <c r="BC1454" s="29"/>
      <c r="BD1454" s="29"/>
      <c r="BE1454" s="29"/>
      <c r="BF1454" s="29"/>
      <c r="BG1454" s="29"/>
      <c r="BH1454" s="29"/>
      <c r="BI1454" s="29"/>
      <c r="BJ1454" s="29"/>
      <c r="BK1454" s="29"/>
      <c r="BL1454" s="29"/>
      <c r="BM1454" s="29"/>
      <c r="BN1454" s="20">
        <f t="shared" si="161"/>
        <v>0</v>
      </c>
      <c r="BO1454" s="20">
        <f t="shared" si="162"/>
        <v>0</v>
      </c>
      <c r="BP1454" s="20">
        <f t="shared" si="163"/>
        <v>4960</v>
      </c>
      <c r="BQ1454" s="51">
        <f>B1454*BP1454/1000</f>
        <v>0</v>
      </c>
      <c r="BR1454" s="56"/>
      <c r="BS1454" s="111"/>
      <c r="BT1454" s="36"/>
      <c r="BU1454" s="112"/>
    </row>
    <row r="1455" s="1" customFormat="1" customHeight="1" spans="1:73">
      <c r="A1455" s="15" t="s">
        <v>2337</v>
      </c>
      <c r="B1455" s="15" t="s">
        <v>2338</v>
      </c>
      <c r="C1455" s="16">
        <v>2864</v>
      </c>
      <c r="D1455" s="29"/>
      <c r="E1455" s="30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29"/>
      <c r="AB1455" s="29"/>
      <c r="AC1455" s="29"/>
      <c r="AD1455" s="29"/>
      <c r="AE1455" s="29"/>
      <c r="AF1455" s="29"/>
      <c r="AG1455" s="30"/>
      <c r="AH1455" s="29"/>
      <c r="AI1455" s="29"/>
      <c r="AJ1455" s="29"/>
      <c r="AK1455" s="30"/>
      <c r="AL1455" s="29"/>
      <c r="AM1455" s="29"/>
      <c r="AN1455" s="29"/>
      <c r="AO1455" s="29"/>
      <c r="AP1455" s="29"/>
      <c r="AQ1455" s="29"/>
      <c r="AR1455" s="29"/>
      <c r="AS1455" s="29"/>
      <c r="AT1455" s="29"/>
      <c r="AU1455" s="29"/>
      <c r="AV1455" s="29"/>
      <c r="AW1455" s="29"/>
      <c r="AX1455" s="29"/>
      <c r="AY1455" s="29"/>
      <c r="AZ1455" s="29"/>
      <c r="BA1455" s="29"/>
      <c r="BB1455" s="29"/>
      <c r="BC1455" s="29"/>
      <c r="BD1455" s="29"/>
      <c r="BE1455" s="29"/>
      <c r="BF1455" s="29"/>
      <c r="BG1455" s="29"/>
      <c r="BH1455" s="29"/>
      <c r="BI1455" s="29"/>
      <c r="BJ1455" s="29"/>
      <c r="BK1455" s="29"/>
      <c r="BL1455" s="29"/>
      <c r="BM1455" s="29"/>
      <c r="BN1455" s="20">
        <f t="shared" si="161"/>
        <v>0</v>
      </c>
      <c r="BO1455" s="20">
        <f t="shared" si="162"/>
        <v>0</v>
      </c>
      <c r="BP1455" s="20">
        <f t="shared" si="163"/>
        <v>2864</v>
      </c>
      <c r="BQ1455" s="51"/>
      <c r="BR1455" s="56"/>
      <c r="BS1455" s="111" t="s">
        <v>2248</v>
      </c>
      <c r="BT1455" s="36"/>
      <c r="BU1455" s="112"/>
    </row>
    <row r="1456" s="1" customFormat="1" customHeight="1" spans="1:73">
      <c r="A1456" s="15" t="s">
        <v>2339</v>
      </c>
      <c r="B1456" s="15" t="s">
        <v>2338</v>
      </c>
      <c r="C1456" s="16">
        <v>5220</v>
      </c>
      <c r="D1456" s="29"/>
      <c r="E1456" s="30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29"/>
      <c r="AB1456" s="29"/>
      <c r="AC1456" s="29"/>
      <c r="AD1456" s="29"/>
      <c r="AE1456" s="29"/>
      <c r="AF1456" s="29"/>
      <c r="AG1456" s="30"/>
      <c r="AH1456" s="29"/>
      <c r="AI1456" s="29"/>
      <c r="AJ1456" s="29"/>
      <c r="AK1456" s="30"/>
      <c r="AL1456" s="29"/>
      <c r="AM1456" s="29"/>
      <c r="AN1456" s="29"/>
      <c r="AO1456" s="29"/>
      <c r="AP1456" s="29"/>
      <c r="AQ1456" s="29"/>
      <c r="AR1456" s="29"/>
      <c r="AS1456" s="29"/>
      <c r="AT1456" s="29"/>
      <c r="AU1456" s="29"/>
      <c r="AV1456" s="29"/>
      <c r="AW1456" s="29"/>
      <c r="AX1456" s="29"/>
      <c r="AY1456" s="29"/>
      <c r="AZ1456" s="29"/>
      <c r="BA1456" s="29"/>
      <c r="BB1456" s="29"/>
      <c r="BC1456" s="29"/>
      <c r="BD1456" s="29"/>
      <c r="BE1456" s="29"/>
      <c r="BF1456" s="29"/>
      <c r="BG1456" s="29"/>
      <c r="BH1456" s="29"/>
      <c r="BI1456" s="29"/>
      <c r="BJ1456" s="29"/>
      <c r="BK1456" s="29"/>
      <c r="BL1456" s="29"/>
      <c r="BM1456" s="29"/>
      <c r="BN1456" s="20">
        <f t="shared" si="161"/>
        <v>0</v>
      </c>
      <c r="BO1456" s="20">
        <f t="shared" si="162"/>
        <v>0</v>
      </c>
      <c r="BP1456" s="20">
        <f t="shared" si="163"/>
        <v>5220</v>
      </c>
      <c r="BQ1456" s="51"/>
      <c r="BR1456" s="56"/>
      <c r="BS1456" s="111" t="s">
        <v>2326</v>
      </c>
      <c r="BT1456" s="36"/>
      <c r="BU1456" s="112"/>
    </row>
    <row r="1457" s="1" customFormat="1" customHeight="1" spans="1:73">
      <c r="A1457" s="15" t="s">
        <v>2340</v>
      </c>
      <c r="B1457" s="15">
        <v>101</v>
      </c>
      <c r="C1457" s="16">
        <v>3680</v>
      </c>
      <c r="D1457" s="29"/>
      <c r="E1457" s="30"/>
      <c r="F1457" s="29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29"/>
      <c r="AB1457" s="29"/>
      <c r="AC1457" s="29"/>
      <c r="AD1457" s="29"/>
      <c r="AE1457" s="29"/>
      <c r="AF1457" s="29"/>
      <c r="AG1457" s="30"/>
      <c r="AH1457" s="29"/>
      <c r="AI1457" s="29"/>
      <c r="AJ1457" s="29"/>
      <c r="AK1457" s="30"/>
      <c r="AL1457" s="29"/>
      <c r="AM1457" s="29"/>
      <c r="AN1457" s="29"/>
      <c r="AO1457" s="29"/>
      <c r="AP1457" s="29"/>
      <c r="AQ1457" s="29"/>
      <c r="AR1457" s="29"/>
      <c r="AS1457" s="29"/>
      <c r="AT1457" s="29"/>
      <c r="AU1457" s="29"/>
      <c r="AV1457" s="29"/>
      <c r="AW1457" s="29"/>
      <c r="AX1457" s="29"/>
      <c r="AY1457" s="29"/>
      <c r="AZ1457" s="29"/>
      <c r="BA1457" s="29"/>
      <c r="BB1457" s="29"/>
      <c r="BC1457" s="29"/>
      <c r="BD1457" s="29"/>
      <c r="BE1457" s="29"/>
      <c r="BF1457" s="29"/>
      <c r="BG1457" s="29"/>
      <c r="BH1457" s="29"/>
      <c r="BI1457" s="29"/>
      <c r="BJ1457" s="29"/>
      <c r="BK1457" s="29"/>
      <c r="BL1457" s="29"/>
      <c r="BM1457" s="29"/>
      <c r="BN1457" s="20">
        <f t="shared" si="161"/>
        <v>0</v>
      </c>
      <c r="BO1457" s="20">
        <f t="shared" si="162"/>
        <v>0</v>
      </c>
      <c r="BP1457" s="20">
        <f t="shared" si="163"/>
        <v>3680</v>
      </c>
      <c r="BQ1457" s="51"/>
      <c r="BR1457" s="56"/>
      <c r="BS1457" s="111"/>
      <c r="BT1457" s="36"/>
      <c r="BU1457" s="112"/>
    </row>
    <row r="1458" s="1" customFormat="1" customHeight="1" spans="1:73">
      <c r="A1458" s="15" t="s">
        <v>2341</v>
      </c>
      <c r="B1458" s="15"/>
      <c r="C1458" s="16">
        <v>11520</v>
      </c>
      <c r="D1458" s="29"/>
      <c r="E1458" s="30"/>
      <c r="F1458" s="29"/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29"/>
      <c r="AB1458" s="29"/>
      <c r="AC1458" s="29"/>
      <c r="AD1458" s="29"/>
      <c r="AE1458" s="29"/>
      <c r="AF1458" s="29"/>
      <c r="AG1458" s="30"/>
      <c r="AH1458" s="29"/>
      <c r="AI1458" s="29"/>
      <c r="AJ1458" s="29"/>
      <c r="AK1458" s="30"/>
      <c r="AL1458" s="29"/>
      <c r="AM1458" s="29"/>
      <c r="AN1458" s="29"/>
      <c r="AO1458" s="29"/>
      <c r="AP1458" s="29"/>
      <c r="AQ1458" s="29"/>
      <c r="AR1458" s="29"/>
      <c r="AS1458" s="29"/>
      <c r="AT1458" s="29"/>
      <c r="AU1458" s="29"/>
      <c r="AV1458" s="29"/>
      <c r="AW1458" s="29"/>
      <c r="AX1458" s="29"/>
      <c r="AY1458" s="29"/>
      <c r="AZ1458" s="29"/>
      <c r="BA1458" s="29"/>
      <c r="BB1458" s="29"/>
      <c r="BC1458" s="29"/>
      <c r="BD1458" s="29"/>
      <c r="BE1458" s="29"/>
      <c r="BF1458" s="29"/>
      <c r="BG1458" s="29"/>
      <c r="BH1458" s="29"/>
      <c r="BI1458" s="29"/>
      <c r="BJ1458" s="29"/>
      <c r="BK1458" s="29"/>
      <c r="BL1458" s="29"/>
      <c r="BM1458" s="29"/>
      <c r="BN1458" s="20">
        <f t="shared" si="161"/>
        <v>0</v>
      </c>
      <c r="BO1458" s="20">
        <f t="shared" si="162"/>
        <v>0</v>
      </c>
      <c r="BP1458" s="20">
        <f t="shared" si="163"/>
        <v>11520</v>
      </c>
      <c r="BQ1458" s="51"/>
      <c r="BR1458" s="56"/>
      <c r="BS1458" s="111" t="s">
        <v>2069</v>
      </c>
      <c r="BT1458" s="36"/>
      <c r="BU1458" s="112"/>
    </row>
    <row r="1459" s="1" customFormat="1" customHeight="1" spans="1:73">
      <c r="A1459" s="15" t="s">
        <v>2342</v>
      </c>
      <c r="B1459" s="15" t="s">
        <v>2343</v>
      </c>
      <c r="C1459" s="16">
        <v>814</v>
      </c>
      <c r="D1459" s="29"/>
      <c r="E1459" s="30"/>
      <c r="F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29"/>
      <c r="AB1459" s="29"/>
      <c r="AC1459" s="29"/>
      <c r="AD1459" s="29"/>
      <c r="AE1459" s="29"/>
      <c r="AF1459" s="29"/>
      <c r="AG1459" s="30"/>
      <c r="AH1459" s="29"/>
      <c r="AI1459" s="29"/>
      <c r="AJ1459" s="29"/>
      <c r="AK1459" s="30"/>
      <c r="AL1459" s="29"/>
      <c r="AM1459" s="29"/>
      <c r="AN1459" s="29"/>
      <c r="AO1459" s="29"/>
      <c r="AP1459" s="29"/>
      <c r="AQ1459" s="29"/>
      <c r="AR1459" s="29"/>
      <c r="AS1459" s="29"/>
      <c r="AT1459" s="29"/>
      <c r="AU1459" s="29"/>
      <c r="AV1459" s="29"/>
      <c r="AW1459" s="29"/>
      <c r="AX1459" s="29"/>
      <c r="AY1459" s="29"/>
      <c r="AZ1459" s="29"/>
      <c r="BA1459" s="29"/>
      <c r="BB1459" s="29"/>
      <c r="BC1459" s="29"/>
      <c r="BD1459" s="29"/>
      <c r="BE1459" s="29"/>
      <c r="BF1459" s="29"/>
      <c r="BG1459" s="29"/>
      <c r="BH1459" s="29"/>
      <c r="BI1459" s="29"/>
      <c r="BJ1459" s="29"/>
      <c r="BK1459" s="29"/>
      <c r="BL1459" s="29"/>
      <c r="BM1459" s="29"/>
      <c r="BN1459" s="20">
        <f t="shared" si="161"/>
        <v>0</v>
      </c>
      <c r="BO1459" s="20">
        <f t="shared" si="162"/>
        <v>0</v>
      </c>
      <c r="BP1459" s="20">
        <f t="shared" si="163"/>
        <v>814</v>
      </c>
      <c r="BQ1459" s="51"/>
      <c r="BR1459" s="56"/>
      <c r="BS1459" s="111"/>
      <c r="BT1459" s="36"/>
      <c r="BU1459" s="112"/>
    </row>
    <row r="1460" s="1" customFormat="1" customHeight="1" spans="1:73">
      <c r="A1460" s="15" t="s">
        <v>2344</v>
      </c>
      <c r="B1460" s="15" t="s">
        <v>2345</v>
      </c>
      <c r="C1460" s="16">
        <v>94</v>
      </c>
      <c r="D1460" s="29"/>
      <c r="E1460" s="30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29"/>
      <c r="AB1460" s="29"/>
      <c r="AC1460" s="29"/>
      <c r="AD1460" s="29"/>
      <c r="AE1460" s="29"/>
      <c r="AF1460" s="29"/>
      <c r="AG1460" s="30"/>
      <c r="AH1460" s="29"/>
      <c r="AI1460" s="29"/>
      <c r="AJ1460" s="29"/>
      <c r="AK1460" s="30"/>
      <c r="AL1460" s="29"/>
      <c r="AM1460" s="29"/>
      <c r="AN1460" s="29"/>
      <c r="AO1460" s="29"/>
      <c r="AP1460" s="29"/>
      <c r="AQ1460" s="29"/>
      <c r="AR1460" s="29"/>
      <c r="AS1460" s="29"/>
      <c r="AT1460" s="29"/>
      <c r="AU1460" s="29"/>
      <c r="AV1460" s="29"/>
      <c r="AW1460" s="29"/>
      <c r="AX1460" s="29"/>
      <c r="AY1460" s="29"/>
      <c r="AZ1460" s="29"/>
      <c r="BA1460" s="29"/>
      <c r="BB1460" s="29"/>
      <c r="BC1460" s="29"/>
      <c r="BD1460" s="29"/>
      <c r="BE1460" s="29"/>
      <c r="BF1460" s="29"/>
      <c r="BG1460" s="29"/>
      <c r="BH1460" s="29"/>
      <c r="BI1460" s="29"/>
      <c r="BJ1460" s="29"/>
      <c r="BK1460" s="29"/>
      <c r="BL1460" s="29"/>
      <c r="BM1460" s="29"/>
      <c r="BN1460" s="20">
        <f t="shared" si="161"/>
        <v>0</v>
      </c>
      <c r="BO1460" s="20">
        <f t="shared" si="162"/>
        <v>0</v>
      </c>
      <c r="BP1460" s="20">
        <f t="shared" si="163"/>
        <v>94</v>
      </c>
      <c r="BQ1460" s="51"/>
      <c r="BR1460" s="56"/>
      <c r="BS1460" s="111"/>
      <c r="BT1460" s="36"/>
      <c r="BU1460" s="112"/>
    </row>
    <row r="1461" s="1" customFormat="1" customHeight="1" spans="1:73">
      <c r="A1461" s="15" t="s">
        <v>2346</v>
      </c>
      <c r="B1461" s="15" t="s">
        <v>2347</v>
      </c>
      <c r="C1461" s="16">
        <v>2523</v>
      </c>
      <c r="D1461" s="29"/>
      <c r="E1461" s="30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29"/>
      <c r="AB1461" s="29"/>
      <c r="AC1461" s="29"/>
      <c r="AD1461" s="29"/>
      <c r="AE1461" s="29"/>
      <c r="AF1461" s="29"/>
      <c r="AG1461" s="30"/>
      <c r="AH1461" s="29"/>
      <c r="AI1461" s="29"/>
      <c r="AJ1461" s="29"/>
      <c r="AK1461" s="30"/>
      <c r="AL1461" s="29"/>
      <c r="AM1461" s="29"/>
      <c r="AN1461" s="29"/>
      <c r="AO1461" s="29"/>
      <c r="AP1461" s="29"/>
      <c r="AQ1461" s="29"/>
      <c r="AR1461" s="29"/>
      <c r="AS1461" s="29"/>
      <c r="AT1461" s="29"/>
      <c r="AU1461" s="29"/>
      <c r="AV1461" s="29"/>
      <c r="AW1461" s="29"/>
      <c r="AX1461" s="29"/>
      <c r="AY1461" s="29"/>
      <c r="AZ1461" s="29"/>
      <c r="BA1461" s="29"/>
      <c r="BB1461" s="29"/>
      <c r="BC1461" s="29"/>
      <c r="BD1461" s="29"/>
      <c r="BE1461" s="29"/>
      <c r="BF1461" s="29"/>
      <c r="BG1461" s="29"/>
      <c r="BH1461" s="29"/>
      <c r="BI1461" s="29"/>
      <c r="BJ1461" s="29"/>
      <c r="BK1461" s="29"/>
      <c r="BL1461" s="29"/>
      <c r="BM1461" s="29"/>
      <c r="BN1461" s="20">
        <f t="shared" si="161"/>
        <v>0</v>
      </c>
      <c r="BO1461" s="20">
        <f t="shared" si="162"/>
        <v>0</v>
      </c>
      <c r="BP1461" s="20">
        <f t="shared" si="163"/>
        <v>2523</v>
      </c>
      <c r="BQ1461" s="51"/>
      <c r="BR1461" s="56"/>
      <c r="BS1461" s="111"/>
      <c r="BT1461" s="36"/>
      <c r="BU1461" s="112"/>
    </row>
    <row r="1462" s="1" customFormat="1" customHeight="1" spans="1:73">
      <c r="A1462" s="15" t="s">
        <v>2348</v>
      </c>
      <c r="B1462" s="15" t="s">
        <v>2349</v>
      </c>
      <c r="C1462" s="16">
        <v>3900</v>
      </c>
      <c r="D1462" s="29"/>
      <c r="E1462" s="30"/>
      <c r="F1462" s="29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29"/>
      <c r="AB1462" s="29"/>
      <c r="AC1462" s="29"/>
      <c r="AD1462" s="29"/>
      <c r="AE1462" s="29"/>
      <c r="AF1462" s="29"/>
      <c r="AG1462" s="30"/>
      <c r="AH1462" s="29"/>
      <c r="AI1462" s="29"/>
      <c r="AJ1462" s="29"/>
      <c r="AK1462" s="30"/>
      <c r="AL1462" s="29"/>
      <c r="AM1462" s="29"/>
      <c r="AN1462" s="29"/>
      <c r="AO1462" s="29"/>
      <c r="AP1462" s="29"/>
      <c r="AQ1462" s="29"/>
      <c r="AR1462" s="29"/>
      <c r="AS1462" s="29"/>
      <c r="AT1462" s="29"/>
      <c r="AU1462" s="29"/>
      <c r="AV1462" s="29"/>
      <c r="AW1462" s="29"/>
      <c r="AX1462" s="29"/>
      <c r="AY1462" s="29"/>
      <c r="AZ1462" s="29"/>
      <c r="BA1462" s="29"/>
      <c r="BB1462" s="29"/>
      <c r="BC1462" s="29"/>
      <c r="BD1462" s="29"/>
      <c r="BE1462" s="29"/>
      <c r="BF1462" s="29"/>
      <c r="BG1462" s="29"/>
      <c r="BH1462" s="29"/>
      <c r="BI1462" s="29"/>
      <c r="BJ1462" s="29"/>
      <c r="BK1462" s="29"/>
      <c r="BL1462" s="29"/>
      <c r="BM1462" s="29"/>
      <c r="BN1462" s="20">
        <f t="shared" si="161"/>
        <v>0</v>
      </c>
      <c r="BO1462" s="20">
        <f t="shared" si="162"/>
        <v>0</v>
      </c>
      <c r="BP1462" s="20">
        <f t="shared" si="163"/>
        <v>3900</v>
      </c>
      <c r="BQ1462" s="51"/>
      <c r="BR1462" s="56"/>
      <c r="BS1462" s="111"/>
      <c r="BT1462" s="36"/>
      <c r="BU1462" s="112"/>
    </row>
    <row r="1463" s="1" customFormat="1" customHeight="1" spans="1:73">
      <c r="A1463" s="15" t="s">
        <v>2350</v>
      </c>
      <c r="B1463" s="15" t="s">
        <v>2351</v>
      </c>
      <c r="C1463" s="16">
        <v>1701</v>
      </c>
      <c r="D1463" s="29"/>
      <c r="E1463" s="30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29"/>
      <c r="AB1463" s="29"/>
      <c r="AC1463" s="29"/>
      <c r="AD1463" s="29"/>
      <c r="AE1463" s="29"/>
      <c r="AF1463" s="29"/>
      <c r="AG1463" s="30"/>
      <c r="AH1463" s="29"/>
      <c r="AI1463" s="29"/>
      <c r="AJ1463" s="29"/>
      <c r="AK1463" s="30"/>
      <c r="AL1463" s="29"/>
      <c r="AM1463" s="29"/>
      <c r="AN1463" s="29"/>
      <c r="AO1463" s="29"/>
      <c r="AP1463" s="29"/>
      <c r="AQ1463" s="29"/>
      <c r="AR1463" s="29"/>
      <c r="AS1463" s="29"/>
      <c r="AT1463" s="29"/>
      <c r="AU1463" s="29"/>
      <c r="AV1463" s="29"/>
      <c r="AW1463" s="29"/>
      <c r="AX1463" s="29"/>
      <c r="AY1463" s="29"/>
      <c r="AZ1463" s="29"/>
      <c r="BA1463" s="29"/>
      <c r="BB1463" s="29"/>
      <c r="BC1463" s="29"/>
      <c r="BD1463" s="29"/>
      <c r="BE1463" s="29"/>
      <c r="BF1463" s="29"/>
      <c r="BG1463" s="29"/>
      <c r="BH1463" s="29"/>
      <c r="BI1463" s="29"/>
      <c r="BJ1463" s="29"/>
      <c r="BK1463" s="29"/>
      <c r="BL1463" s="29"/>
      <c r="BM1463" s="29"/>
      <c r="BN1463" s="20">
        <f t="shared" si="161"/>
        <v>0</v>
      </c>
      <c r="BO1463" s="20">
        <f t="shared" si="162"/>
        <v>0</v>
      </c>
      <c r="BP1463" s="20">
        <f t="shared" si="163"/>
        <v>1701</v>
      </c>
      <c r="BQ1463" s="51"/>
      <c r="BR1463" s="56"/>
      <c r="BS1463" s="111"/>
      <c r="BT1463" s="36"/>
      <c r="BU1463" s="112"/>
    </row>
    <row r="1464" s="1" customFormat="1" customHeight="1" spans="1:73">
      <c r="A1464" s="15" t="s">
        <v>2352</v>
      </c>
      <c r="B1464" s="15" t="s">
        <v>2353</v>
      </c>
      <c r="C1464" s="16">
        <v>1078</v>
      </c>
      <c r="D1464" s="29"/>
      <c r="E1464" s="30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29"/>
      <c r="AB1464" s="29"/>
      <c r="AC1464" s="29"/>
      <c r="AD1464" s="29"/>
      <c r="AE1464" s="29"/>
      <c r="AF1464" s="29"/>
      <c r="AG1464" s="30"/>
      <c r="AH1464" s="29"/>
      <c r="AI1464" s="29"/>
      <c r="AJ1464" s="29"/>
      <c r="AK1464" s="30"/>
      <c r="AL1464" s="29"/>
      <c r="AM1464" s="29"/>
      <c r="AN1464" s="29"/>
      <c r="AO1464" s="29"/>
      <c r="AP1464" s="29"/>
      <c r="AQ1464" s="29"/>
      <c r="AR1464" s="29"/>
      <c r="AS1464" s="29"/>
      <c r="AT1464" s="29"/>
      <c r="AU1464" s="29"/>
      <c r="AV1464" s="29"/>
      <c r="AW1464" s="29"/>
      <c r="AX1464" s="29"/>
      <c r="AY1464" s="29"/>
      <c r="AZ1464" s="29"/>
      <c r="BA1464" s="29"/>
      <c r="BB1464" s="29"/>
      <c r="BC1464" s="29"/>
      <c r="BD1464" s="29"/>
      <c r="BE1464" s="29"/>
      <c r="BF1464" s="29"/>
      <c r="BG1464" s="29"/>
      <c r="BH1464" s="29"/>
      <c r="BI1464" s="29"/>
      <c r="BJ1464" s="29"/>
      <c r="BK1464" s="29"/>
      <c r="BL1464" s="29"/>
      <c r="BM1464" s="29"/>
      <c r="BN1464" s="20">
        <f t="shared" si="161"/>
        <v>0</v>
      </c>
      <c r="BO1464" s="20">
        <f t="shared" si="162"/>
        <v>0</v>
      </c>
      <c r="BP1464" s="20">
        <f t="shared" si="163"/>
        <v>1078</v>
      </c>
      <c r="BQ1464" s="51"/>
      <c r="BR1464" s="56"/>
      <c r="BS1464" s="111"/>
      <c r="BT1464" s="36"/>
      <c r="BU1464" s="112"/>
    </row>
    <row r="1465" s="1" customFormat="1" customHeight="1" spans="1:73">
      <c r="A1465" s="15" t="s">
        <v>2354</v>
      </c>
      <c r="B1465" s="15" t="s">
        <v>2343</v>
      </c>
      <c r="C1465" s="16">
        <v>2080</v>
      </c>
      <c r="D1465" s="29"/>
      <c r="E1465" s="30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29"/>
      <c r="AB1465" s="29"/>
      <c r="AC1465" s="29"/>
      <c r="AD1465" s="29"/>
      <c r="AE1465" s="29"/>
      <c r="AF1465" s="29"/>
      <c r="AG1465" s="30"/>
      <c r="AH1465" s="29"/>
      <c r="AI1465" s="29"/>
      <c r="AJ1465" s="29"/>
      <c r="AK1465" s="30"/>
      <c r="AL1465" s="29"/>
      <c r="AM1465" s="29"/>
      <c r="AN1465" s="29"/>
      <c r="AO1465" s="29"/>
      <c r="AP1465" s="29"/>
      <c r="AQ1465" s="29"/>
      <c r="AR1465" s="29"/>
      <c r="AS1465" s="30"/>
      <c r="AT1465" s="29"/>
      <c r="AU1465" s="29"/>
      <c r="AV1465" s="29"/>
      <c r="AW1465" s="29"/>
      <c r="AX1465" s="29"/>
      <c r="AY1465" s="29"/>
      <c r="AZ1465" s="29"/>
      <c r="BA1465" s="29"/>
      <c r="BB1465" s="29"/>
      <c r="BC1465" s="29"/>
      <c r="BD1465" s="29"/>
      <c r="BE1465" s="29"/>
      <c r="BF1465" s="29"/>
      <c r="BG1465" s="29"/>
      <c r="BH1465" s="29"/>
      <c r="BI1465" s="29"/>
      <c r="BJ1465" s="29"/>
      <c r="BK1465" s="29"/>
      <c r="BL1465" s="29"/>
      <c r="BM1465" s="29"/>
      <c r="BN1465" s="20">
        <f t="shared" si="161"/>
        <v>0</v>
      </c>
      <c r="BO1465" s="20">
        <f t="shared" si="162"/>
        <v>0</v>
      </c>
      <c r="BP1465" s="20">
        <f t="shared" si="163"/>
        <v>2080</v>
      </c>
      <c r="BQ1465" s="51"/>
      <c r="BR1465" s="56"/>
      <c r="BS1465" s="111" t="s">
        <v>1521</v>
      </c>
      <c r="BT1465" s="36"/>
      <c r="BU1465" s="112"/>
    </row>
    <row r="1466" s="1" customFormat="1" customHeight="1" spans="1:73">
      <c r="A1466" s="15" t="s">
        <v>2355</v>
      </c>
      <c r="B1466" s="15" t="s">
        <v>2353</v>
      </c>
      <c r="C1466" s="16">
        <v>3520</v>
      </c>
      <c r="D1466" s="29"/>
      <c r="E1466" s="30"/>
      <c r="F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29"/>
      <c r="AB1466" s="29"/>
      <c r="AC1466" s="29"/>
      <c r="AD1466" s="29"/>
      <c r="AE1466" s="29"/>
      <c r="AF1466" s="29"/>
      <c r="AG1466" s="30"/>
      <c r="AH1466" s="29"/>
      <c r="AI1466" s="29"/>
      <c r="AJ1466" s="29"/>
      <c r="AK1466" s="30"/>
      <c r="AL1466" s="29"/>
      <c r="AM1466" s="29"/>
      <c r="AN1466" s="29"/>
      <c r="AO1466" s="29"/>
      <c r="AP1466" s="29"/>
      <c r="AQ1466" s="29"/>
      <c r="AR1466" s="29"/>
      <c r="AS1466" s="30"/>
      <c r="AT1466" s="29"/>
      <c r="AU1466" s="29"/>
      <c r="AV1466" s="29"/>
      <c r="AW1466" s="29"/>
      <c r="AX1466" s="29"/>
      <c r="AY1466" s="29"/>
      <c r="AZ1466" s="29"/>
      <c r="BA1466" s="29"/>
      <c r="BB1466" s="29"/>
      <c r="BC1466" s="29"/>
      <c r="BD1466" s="29"/>
      <c r="BE1466" s="29"/>
      <c r="BF1466" s="29"/>
      <c r="BG1466" s="29"/>
      <c r="BH1466" s="29"/>
      <c r="BI1466" s="29"/>
      <c r="BJ1466" s="29"/>
      <c r="BK1466" s="29"/>
      <c r="BL1466" s="29"/>
      <c r="BM1466" s="29"/>
      <c r="BN1466" s="20">
        <f t="shared" si="161"/>
        <v>0</v>
      </c>
      <c r="BO1466" s="20">
        <f t="shared" si="162"/>
        <v>0</v>
      </c>
      <c r="BP1466" s="20">
        <f t="shared" si="163"/>
        <v>3520</v>
      </c>
      <c r="BQ1466" s="51"/>
      <c r="BR1466" s="56"/>
      <c r="BS1466" s="111" t="s">
        <v>1521</v>
      </c>
      <c r="BT1466" s="36"/>
      <c r="BU1466" s="112"/>
    </row>
    <row r="1467" s="1" customFormat="1" customHeight="1" spans="1:73">
      <c r="A1467" s="15" t="s">
        <v>2356</v>
      </c>
      <c r="B1467" s="15"/>
      <c r="C1467" s="16">
        <v>3600</v>
      </c>
      <c r="D1467" s="29"/>
      <c r="E1467" s="30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29"/>
      <c r="AB1467" s="29"/>
      <c r="AC1467" s="29"/>
      <c r="AD1467" s="29"/>
      <c r="AE1467" s="29"/>
      <c r="AF1467" s="29"/>
      <c r="AG1467" s="30"/>
      <c r="AH1467" s="29"/>
      <c r="AI1467" s="29"/>
      <c r="AJ1467" s="29"/>
      <c r="AK1467" s="30"/>
      <c r="AL1467" s="29"/>
      <c r="AM1467" s="29"/>
      <c r="AN1467" s="29"/>
      <c r="AO1467" s="29"/>
      <c r="AP1467" s="29"/>
      <c r="AQ1467" s="29"/>
      <c r="AR1467" s="29"/>
      <c r="AS1467" s="29"/>
      <c r="AT1467" s="29"/>
      <c r="AU1467" s="29"/>
      <c r="AV1467" s="29"/>
      <c r="AW1467" s="29"/>
      <c r="AX1467" s="29"/>
      <c r="AY1467" s="29"/>
      <c r="AZ1467" s="29"/>
      <c r="BA1467" s="29"/>
      <c r="BB1467" s="29"/>
      <c r="BC1467" s="29"/>
      <c r="BD1467" s="29"/>
      <c r="BE1467" s="29"/>
      <c r="BF1467" s="29"/>
      <c r="BG1467" s="29"/>
      <c r="BH1467" s="29"/>
      <c r="BI1467" s="29"/>
      <c r="BJ1467" s="29"/>
      <c r="BK1467" s="29"/>
      <c r="BL1467" s="29"/>
      <c r="BM1467" s="29"/>
      <c r="BN1467" s="20">
        <f t="shared" si="161"/>
        <v>0</v>
      </c>
      <c r="BO1467" s="20">
        <f t="shared" si="162"/>
        <v>0</v>
      </c>
      <c r="BP1467" s="20">
        <f t="shared" si="163"/>
        <v>3600</v>
      </c>
      <c r="BQ1467" s="51"/>
      <c r="BR1467" s="56"/>
      <c r="BS1467" s="111" t="s">
        <v>2334</v>
      </c>
      <c r="BT1467" s="36"/>
      <c r="BU1467" s="112"/>
    </row>
    <row r="1468" s="1" customFormat="1" customHeight="1" spans="1:73">
      <c r="A1468" s="15" t="s">
        <v>2357</v>
      </c>
      <c r="B1468" s="15" t="s">
        <v>2257</v>
      </c>
      <c r="C1468" s="16">
        <v>3515</v>
      </c>
      <c r="D1468" s="29"/>
      <c r="E1468" s="30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29"/>
      <c r="AB1468" s="29"/>
      <c r="AC1468" s="29"/>
      <c r="AD1468" s="29"/>
      <c r="AE1468" s="29"/>
      <c r="AF1468" s="29"/>
      <c r="AG1468" s="30"/>
      <c r="AH1468" s="29"/>
      <c r="AI1468" s="29"/>
      <c r="AJ1468" s="29"/>
      <c r="AK1468" s="30"/>
      <c r="AL1468" s="29"/>
      <c r="AM1468" s="29"/>
      <c r="AN1468" s="29"/>
      <c r="AO1468" s="29"/>
      <c r="AP1468" s="29"/>
      <c r="AQ1468" s="29"/>
      <c r="AR1468" s="29"/>
      <c r="AS1468" s="29"/>
      <c r="AT1468" s="29"/>
      <c r="AU1468" s="29"/>
      <c r="AV1468" s="29"/>
      <c r="AW1468" s="29"/>
      <c r="AX1468" s="29"/>
      <c r="AY1468" s="29"/>
      <c r="AZ1468" s="29"/>
      <c r="BA1468" s="29"/>
      <c r="BB1468" s="29"/>
      <c r="BC1468" s="29"/>
      <c r="BD1468" s="29"/>
      <c r="BE1468" s="29"/>
      <c r="BF1468" s="29"/>
      <c r="BG1468" s="29"/>
      <c r="BH1468" s="29"/>
      <c r="BI1468" s="29"/>
      <c r="BJ1468" s="29"/>
      <c r="BK1468" s="29"/>
      <c r="BL1468" s="29"/>
      <c r="BM1468" s="29"/>
      <c r="BN1468" s="20">
        <f t="shared" si="161"/>
        <v>0</v>
      </c>
      <c r="BO1468" s="20">
        <f t="shared" si="162"/>
        <v>0</v>
      </c>
      <c r="BP1468" s="20">
        <f t="shared" si="163"/>
        <v>3515</v>
      </c>
      <c r="BQ1468" s="51"/>
      <c r="BR1468" s="56"/>
      <c r="BS1468" s="111" t="s">
        <v>2358</v>
      </c>
      <c r="BT1468" s="36"/>
      <c r="BU1468" s="112"/>
    </row>
    <row r="1469" s="1" customFormat="1" customHeight="1" spans="1:73">
      <c r="A1469" s="15" t="s">
        <v>2359</v>
      </c>
      <c r="B1469" s="15" t="s">
        <v>2245</v>
      </c>
      <c r="C1469" s="16">
        <v>3515</v>
      </c>
      <c r="D1469" s="29"/>
      <c r="E1469" s="30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29"/>
      <c r="AB1469" s="29"/>
      <c r="AC1469" s="29"/>
      <c r="AD1469" s="29"/>
      <c r="AE1469" s="29"/>
      <c r="AF1469" s="29"/>
      <c r="AG1469" s="30"/>
      <c r="AH1469" s="29"/>
      <c r="AI1469" s="29"/>
      <c r="AJ1469" s="29"/>
      <c r="AK1469" s="30"/>
      <c r="AL1469" s="29"/>
      <c r="AM1469" s="29"/>
      <c r="AN1469" s="29"/>
      <c r="AO1469" s="29"/>
      <c r="AP1469" s="29"/>
      <c r="AQ1469" s="29"/>
      <c r="AR1469" s="29"/>
      <c r="AS1469" s="29"/>
      <c r="AT1469" s="29"/>
      <c r="AU1469" s="29"/>
      <c r="AV1469" s="29"/>
      <c r="AW1469" s="29"/>
      <c r="AX1469" s="29"/>
      <c r="AY1469" s="29"/>
      <c r="AZ1469" s="29"/>
      <c r="BA1469" s="29"/>
      <c r="BB1469" s="29"/>
      <c r="BC1469" s="29"/>
      <c r="BD1469" s="29"/>
      <c r="BE1469" s="29"/>
      <c r="BF1469" s="29"/>
      <c r="BG1469" s="29"/>
      <c r="BH1469" s="29"/>
      <c r="BI1469" s="29"/>
      <c r="BJ1469" s="29"/>
      <c r="BK1469" s="29"/>
      <c r="BL1469" s="29"/>
      <c r="BM1469" s="29"/>
      <c r="BN1469" s="20">
        <f t="shared" si="161"/>
        <v>0</v>
      </c>
      <c r="BO1469" s="20">
        <f t="shared" si="162"/>
        <v>0</v>
      </c>
      <c r="BP1469" s="20">
        <f t="shared" si="163"/>
        <v>3515</v>
      </c>
      <c r="BQ1469" s="51"/>
      <c r="BR1469" s="56"/>
      <c r="BS1469" s="111" t="s">
        <v>2358</v>
      </c>
      <c r="BT1469" s="36"/>
      <c r="BU1469" s="112"/>
    </row>
    <row r="1470" s="1" customFormat="1" customHeight="1" spans="1:73">
      <c r="A1470" s="15" t="s">
        <v>2360</v>
      </c>
      <c r="B1470" s="15" t="s">
        <v>2243</v>
      </c>
      <c r="C1470" s="16">
        <v>3280</v>
      </c>
      <c r="D1470" s="29"/>
      <c r="E1470" s="30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29"/>
      <c r="AB1470" s="29"/>
      <c r="AC1470" s="29"/>
      <c r="AD1470" s="29"/>
      <c r="AE1470" s="29"/>
      <c r="AF1470" s="29"/>
      <c r="AG1470" s="30"/>
      <c r="AH1470" s="29"/>
      <c r="AI1470" s="29"/>
      <c r="AJ1470" s="29"/>
      <c r="AK1470" s="30"/>
      <c r="AL1470" s="29"/>
      <c r="AM1470" s="29"/>
      <c r="AN1470" s="29"/>
      <c r="AO1470" s="29"/>
      <c r="AP1470" s="29"/>
      <c r="AQ1470" s="29"/>
      <c r="AR1470" s="29"/>
      <c r="AS1470" s="29"/>
      <c r="AT1470" s="29"/>
      <c r="AU1470" s="29"/>
      <c r="AV1470" s="29"/>
      <c r="AW1470" s="29"/>
      <c r="AX1470" s="29"/>
      <c r="AY1470" s="29"/>
      <c r="AZ1470" s="29"/>
      <c r="BA1470" s="29"/>
      <c r="BB1470" s="29"/>
      <c r="BC1470" s="29"/>
      <c r="BD1470" s="29"/>
      <c r="BE1470" s="29"/>
      <c r="BF1470" s="29"/>
      <c r="BG1470" s="29"/>
      <c r="BH1470" s="29"/>
      <c r="BI1470" s="29"/>
      <c r="BJ1470" s="29"/>
      <c r="BK1470" s="29"/>
      <c r="BL1470" s="29"/>
      <c r="BM1470" s="29"/>
      <c r="BN1470" s="20">
        <f t="shared" si="161"/>
        <v>0</v>
      </c>
      <c r="BO1470" s="20">
        <f t="shared" si="162"/>
        <v>0</v>
      </c>
      <c r="BP1470" s="20">
        <f t="shared" si="163"/>
        <v>3280</v>
      </c>
      <c r="BQ1470" s="51"/>
      <c r="BR1470" s="56"/>
      <c r="BS1470" s="111" t="s">
        <v>2358</v>
      </c>
      <c r="BT1470" s="36"/>
      <c r="BU1470" s="112"/>
    </row>
    <row r="1471" s="1" customFormat="1" customHeight="1" spans="1:73">
      <c r="A1471" s="15" t="s">
        <v>2361</v>
      </c>
      <c r="B1471" s="15" t="s">
        <v>2235</v>
      </c>
      <c r="C1471" s="16">
        <v>3060</v>
      </c>
      <c r="D1471" s="29"/>
      <c r="E1471" s="30"/>
      <c r="F1471" s="29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29"/>
      <c r="AB1471" s="29"/>
      <c r="AC1471" s="29"/>
      <c r="AD1471" s="29"/>
      <c r="AE1471" s="29"/>
      <c r="AF1471" s="29"/>
      <c r="AG1471" s="30"/>
      <c r="AH1471" s="29"/>
      <c r="AI1471" s="29"/>
      <c r="AJ1471" s="29"/>
      <c r="AK1471" s="30"/>
      <c r="AL1471" s="29"/>
      <c r="AM1471" s="29"/>
      <c r="AN1471" s="29"/>
      <c r="AO1471" s="29"/>
      <c r="AP1471" s="29"/>
      <c r="AQ1471" s="29"/>
      <c r="AR1471" s="29"/>
      <c r="AS1471" s="29"/>
      <c r="AT1471" s="29"/>
      <c r="AU1471" s="29"/>
      <c r="AV1471" s="29"/>
      <c r="AW1471" s="29"/>
      <c r="AX1471" s="29"/>
      <c r="AY1471" s="29"/>
      <c r="AZ1471" s="29"/>
      <c r="BA1471" s="29"/>
      <c r="BB1471" s="29"/>
      <c r="BC1471" s="29"/>
      <c r="BD1471" s="29"/>
      <c r="BE1471" s="29"/>
      <c r="BF1471" s="29"/>
      <c r="BG1471" s="29"/>
      <c r="BH1471" s="29"/>
      <c r="BI1471" s="29"/>
      <c r="BJ1471" s="29"/>
      <c r="BK1471" s="29"/>
      <c r="BL1471" s="29"/>
      <c r="BM1471" s="29"/>
      <c r="BN1471" s="20">
        <f t="shared" si="161"/>
        <v>0</v>
      </c>
      <c r="BO1471" s="20">
        <f t="shared" si="162"/>
        <v>0</v>
      </c>
      <c r="BP1471" s="20">
        <f t="shared" si="163"/>
        <v>3060</v>
      </c>
      <c r="BQ1471" s="51"/>
      <c r="BR1471" s="56"/>
      <c r="BS1471" s="111" t="s">
        <v>2358</v>
      </c>
      <c r="BT1471" s="36"/>
      <c r="BU1471" s="112"/>
    </row>
    <row r="1472" s="1" customFormat="1" ht="36.75" customHeight="1" spans="1:73">
      <c r="A1472" s="53" t="s">
        <v>2362</v>
      </c>
      <c r="B1472" s="15"/>
      <c r="C1472" s="16"/>
      <c r="D1472" s="29"/>
      <c r="E1472" s="30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29"/>
      <c r="AB1472" s="29"/>
      <c r="AC1472" s="29"/>
      <c r="AD1472" s="29"/>
      <c r="AE1472" s="29"/>
      <c r="AF1472" s="29"/>
      <c r="AG1472" s="30"/>
      <c r="AH1472" s="29"/>
      <c r="AI1472" s="29"/>
      <c r="AJ1472" s="29"/>
      <c r="AK1472" s="30"/>
      <c r="AL1472" s="29"/>
      <c r="AM1472" s="29"/>
      <c r="AN1472" s="29"/>
      <c r="AO1472" s="29"/>
      <c r="AP1472" s="29"/>
      <c r="AQ1472" s="29"/>
      <c r="AR1472" s="29"/>
      <c r="AS1472" s="29"/>
      <c r="AT1472" s="29"/>
      <c r="AU1472" s="29"/>
      <c r="AV1472" s="29"/>
      <c r="AW1472" s="29"/>
      <c r="AX1472" s="29"/>
      <c r="AY1472" s="29"/>
      <c r="AZ1472" s="29"/>
      <c r="BA1472" s="29"/>
      <c r="BB1472" s="29"/>
      <c r="BC1472" s="29"/>
      <c r="BD1472" s="29"/>
      <c r="BE1472" s="29"/>
      <c r="BF1472" s="29"/>
      <c r="BG1472" s="29"/>
      <c r="BH1472" s="29"/>
      <c r="BI1472" s="29"/>
      <c r="BJ1472" s="29"/>
      <c r="BK1472" s="29"/>
      <c r="BL1472" s="29"/>
      <c r="BM1472" s="29"/>
      <c r="BN1472" s="20">
        <f t="shared" si="161"/>
        <v>0</v>
      </c>
      <c r="BO1472" s="20">
        <f t="shared" si="162"/>
        <v>0</v>
      </c>
      <c r="BP1472" s="20">
        <f t="shared" si="163"/>
        <v>0</v>
      </c>
      <c r="BQ1472" s="51"/>
      <c r="BR1472" s="56"/>
      <c r="BS1472" s="111"/>
      <c r="BT1472" s="36"/>
      <c r="BU1472" s="112"/>
    </row>
    <row r="1473" s="1" customFormat="1" customHeight="1" spans="1:73">
      <c r="A1473" s="53" t="s">
        <v>2363</v>
      </c>
      <c r="B1473" s="15"/>
      <c r="C1473" s="16"/>
      <c r="D1473" s="29"/>
      <c r="E1473" s="30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29"/>
      <c r="AB1473" s="29"/>
      <c r="AC1473" s="29"/>
      <c r="AD1473" s="29"/>
      <c r="AE1473" s="29"/>
      <c r="AF1473" s="29"/>
      <c r="AG1473" s="30"/>
      <c r="AH1473" s="29"/>
      <c r="AI1473" s="29"/>
      <c r="AJ1473" s="29"/>
      <c r="AK1473" s="30"/>
      <c r="AL1473" s="29"/>
      <c r="AM1473" s="29"/>
      <c r="AN1473" s="29"/>
      <c r="AO1473" s="29"/>
      <c r="AP1473" s="29"/>
      <c r="AQ1473" s="29"/>
      <c r="AR1473" s="29"/>
      <c r="AS1473" s="29"/>
      <c r="AT1473" s="29"/>
      <c r="AU1473" s="29"/>
      <c r="AV1473" s="29"/>
      <c r="AW1473" s="29"/>
      <c r="AX1473" s="29"/>
      <c r="AY1473" s="29"/>
      <c r="AZ1473" s="29"/>
      <c r="BA1473" s="29"/>
      <c r="BB1473" s="29"/>
      <c r="BC1473" s="29"/>
      <c r="BD1473" s="29"/>
      <c r="BE1473" s="29"/>
      <c r="BF1473" s="29"/>
      <c r="BG1473" s="29"/>
      <c r="BH1473" s="29"/>
      <c r="BI1473" s="29"/>
      <c r="BJ1473" s="29"/>
      <c r="BK1473" s="29"/>
      <c r="BL1473" s="29"/>
      <c r="BM1473" s="29"/>
      <c r="BN1473" s="20">
        <f t="shared" si="161"/>
        <v>0</v>
      </c>
      <c r="BO1473" s="20">
        <f t="shared" si="162"/>
        <v>0</v>
      </c>
      <c r="BP1473" s="20">
        <f t="shared" si="163"/>
        <v>0</v>
      </c>
      <c r="BQ1473" s="51"/>
      <c r="BR1473" s="56"/>
      <c r="BS1473" s="91"/>
      <c r="BT1473" s="36"/>
      <c r="BU1473" s="112"/>
    </row>
    <row r="1474" s="2" customFormat="1" customHeight="1" spans="1:73">
      <c r="A1474" s="194" t="s">
        <v>2364</v>
      </c>
      <c r="B1474" s="15" t="s">
        <v>2365</v>
      </c>
      <c r="C1474" s="16">
        <v>4</v>
      </c>
      <c r="D1474" s="29"/>
      <c r="E1474" s="30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29"/>
      <c r="AB1474" s="29"/>
      <c r="AC1474" s="29"/>
      <c r="AD1474" s="29"/>
      <c r="AE1474" s="29"/>
      <c r="AF1474" s="29"/>
      <c r="AG1474" s="30"/>
      <c r="AH1474" s="29"/>
      <c r="AI1474" s="29"/>
      <c r="AJ1474" s="29"/>
      <c r="AK1474" s="30"/>
      <c r="AL1474" s="29"/>
      <c r="AM1474" s="29"/>
      <c r="AN1474" s="29"/>
      <c r="AO1474" s="29"/>
      <c r="AP1474" s="29"/>
      <c r="AQ1474" s="29"/>
      <c r="AR1474" s="29"/>
      <c r="AS1474" s="29"/>
      <c r="AT1474" s="29"/>
      <c r="AU1474" s="29"/>
      <c r="AV1474" s="29"/>
      <c r="AW1474" s="29"/>
      <c r="AX1474" s="29"/>
      <c r="AY1474" s="29"/>
      <c r="AZ1474" s="29"/>
      <c r="BA1474" s="29"/>
      <c r="BB1474" s="29"/>
      <c r="BC1474" s="29"/>
      <c r="BD1474" s="29"/>
      <c r="BE1474" s="29"/>
      <c r="BF1474" s="29"/>
      <c r="BG1474" s="29"/>
      <c r="BH1474" s="29"/>
      <c r="BI1474" s="29"/>
      <c r="BJ1474" s="29"/>
      <c r="BK1474" s="29"/>
      <c r="BL1474" s="29"/>
      <c r="BM1474" s="29"/>
      <c r="BN1474" s="20">
        <f t="shared" si="161"/>
        <v>0</v>
      </c>
      <c r="BO1474" s="20">
        <f t="shared" si="162"/>
        <v>0</v>
      </c>
      <c r="BP1474" s="20">
        <f t="shared" si="163"/>
        <v>4</v>
      </c>
      <c r="BQ1474" s="51">
        <f>0.305*0.228*BP1474</f>
        <v>0.27816</v>
      </c>
      <c r="BR1474" s="32" t="s">
        <v>55</v>
      </c>
      <c r="BS1474" s="33" t="s">
        <v>51</v>
      </c>
      <c r="BT1474" s="95" t="s">
        <v>2366</v>
      </c>
      <c r="BU1474" s="35" t="s">
        <v>2367</v>
      </c>
    </row>
    <row r="1475" s="1" customFormat="1" customHeight="1" spans="1:73">
      <c r="A1475" s="15" t="s">
        <v>2368</v>
      </c>
      <c r="B1475" s="15" t="s">
        <v>2369</v>
      </c>
      <c r="C1475" s="16">
        <v>130</v>
      </c>
      <c r="D1475" s="29"/>
      <c r="E1475" s="30"/>
      <c r="F1475" s="29"/>
      <c r="G1475" s="29"/>
      <c r="H1475" s="29"/>
      <c r="I1475" s="29"/>
      <c r="J1475" s="29"/>
      <c r="K1475" s="29"/>
      <c r="L1475" s="29"/>
      <c r="M1475" s="29"/>
      <c r="N1475" s="195"/>
      <c r="O1475" s="29"/>
      <c r="P1475" s="29"/>
      <c r="Q1475" s="29"/>
      <c r="R1475" s="29"/>
      <c r="S1475" s="29"/>
      <c r="T1475" s="29"/>
      <c r="U1475" s="29"/>
      <c r="V1475" s="29"/>
      <c r="W1475" s="29"/>
      <c r="X1475" s="30"/>
      <c r="Y1475" s="30"/>
      <c r="Z1475" s="29"/>
      <c r="AA1475" s="29"/>
      <c r="AB1475" s="29"/>
      <c r="AC1475" s="29"/>
      <c r="AD1475" s="29"/>
      <c r="AE1475" s="29"/>
      <c r="AF1475" s="29"/>
      <c r="AG1475" s="30"/>
      <c r="AH1475" s="29"/>
      <c r="AI1475" s="29"/>
      <c r="AJ1475" s="29"/>
      <c r="AK1475" s="30"/>
      <c r="AL1475" s="29"/>
      <c r="AM1475" s="29"/>
      <c r="AN1475" s="29"/>
      <c r="AO1475" s="29"/>
      <c r="AP1475" s="29"/>
      <c r="AQ1475" s="29"/>
      <c r="AR1475" s="29"/>
      <c r="AS1475" s="29"/>
      <c r="AT1475" s="29"/>
      <c r="AU1475" s="29"/>
      <c r="AV1475" s="29"/>
      <c r="AW1475" s="29"/>
      <c r="AX1475" s="29"/>
      <c r="AY1475" s="29"/>
      <c r="AZ1475" s="29"/>
      <c r="BA1475" s="29"/>
      <c r="BB1475" s="29"/>
      <c r="BC1475" s="29"/>
      <c r="BD1475" s="29"/>
      <c r="BE1475" s="29"/>
      <c r="BF1475" s="29"/>
      <c r="BG1475" s="29"/>
      <c r="BH1475" s="29"/>
      <c r="BI1475" s="29"/>
      <c r="BJ1475" s="29"/>
      <c r="BK1475" s="29"/>
      <c r="BL1475" s="29"/>
      <c r="BM1475" s="29"/>
      <c r="BN1475" s="20">
        <f t="shared" si="161"/>
        <v>0</v>
      </c>
      <c r="BO1475" s="20">
        <f t="shared" si="162"/>
        <v>0</v>
      </c>
      <c r="BP1475" s="20">
        <f t="shared" si="163"/>
        <v>130</v>
      </c>
      <c r="BQ1475" s="51">
        <f>0.18*0.3*BP1475</f>
        <v>7.02</v>
      </c>
      <c r="BR1475" s="56" t="s">
        <v>2370</v>
      </c>
      <c r="BS1475" s="33" t="s">
        <v>376</v>
      </c>
      <c r="BT1475" s="57" t="s">
        <v>2371</v>
      </c>
      <c r="BU1475" s="35" t="s">
        <v>2367</v>
      </c>
    </row>
    <row r="1476" s="1" customFormat="1" customHeight="1" spans="1:73">
      <c r="A1476" s="15" t="s">
        <v>2368</v>
      </c>
      <c r="B1476" s="15" t="s">
        <v>2372</v>
      </c>
      <c r="C1476" s="16">
        <v>26</v>
      </c>
      <c r="D1476" s="29"/>
      <c r="E1476" s="30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29"/>
      <c r="AB1476" s="29"/>
      <c r="AC1476" s="29"/>
      <c r="AD1476" s="29"/>
      <c r="AE1476" s="29"/>
      <c r="AF1476" s="29"/>
      <c r="AG1476" s="30"/>
      <c r="AH1476" s="29"/>
      <c r="AI1476" s="29"/>
      <c r="AJ1476" s="29"/>
      <c r="AK1476" s="30"/>
      <c r="AL1476" s="29"/>
      <c r="AM1476" s="29"/>
      <c r="AN1476" s="29"/>
      <c r="AO1476" s="29"/>
      <c r="AP1476" s="29"/>
      <c r="AQ1476" s="29"/>
      <c r="AR1476" s="29"/>
      <c r="AS1476" s="29"/>
      <c r="AT1476" s="29"/>
      <c r="AU1476" s="29"/>
      <c r="AV1476" s="29"/>
      <c r="AW1476" s="29"/>
      <c r="AX1476" s="29"/>
      <c r="AY1476" s="29"/>
      <c r="AZ1476" s="29"/>
      <c r="BA1476" s="29"/>
      <c r="BB1476" s="29"/>
      <c r="BC1476" s="29"/>
      <c r="BD1476" s="29"/>
      <c r="BE1476" s="29"/>
      <c r="BF1476" s="29"/>
      <c r="BG1476" s="29"/>
      <c r="BH1476" s="29"/>
      <c r="BI1476" s="29"/>
      <c r="BJ1476" s="29"/>
      <c r="BK1476" s="29"/>
      <c r="BL1476" s="29"/>
      <c r="BM1476" s="29"/>
      <c r="BN1476" s="20">
        <f t="shared" si="161"/>
        <v>0</v>
      </c>
      <c r="BO1476" s="20">
        <f t="shared" si="162"/>
        <v>0</v>
      </c>
      <c r="BP1476" s="20">
        <f t="shared" si="163"/>
        <v>26</v>
      </c>
      <c r="BQ1476" s="51">
        <f>0.46*0.3*BP1476</f>
        <v>3.588</v>
      </c>
      <c r="BR1476" s="56" t="s">
        <v>2373</v>
      </c>
      <c r="BS1476" s="33" t="s">
        <v>376</v>
      </c>
      <c r="BT1476" s="36"/>
      <c r="BU1476" s="35" t="s">
        <v>2367</v>
      </c>
    </row>
    <row r="1477" s="1" customFormat="1" customHeight="1" spans="1:73">
      <c r="A1477" s="15" t="s">
        <v>2374</v>
      </c>
      <c r="B1477" s="15">
        <v>340</v>
      </c>
      <c r="C1477" s="16">
        <v>13.5</v>
      </c>
      <c r="D1477" s="29"/>
      <c r="E1477" s="30"/>
      <c r="F1477" s="29"/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29"/>
      <c r="AB1477" s="29"/>
      <c r="AC1477" s="29"/>
      <c r="AD1477" s="29"/>
      <c r="AE1477" s="29"/>
      <c r="AF1477" s="29"/>
      <c r="AG1477" s="30"/>
      <c r="AH1477" s="29"/>
      <c r="AI1477" s="29"/>
      <c r="AJ1477" s="29"/>
      <c r="AK1477" s="30"/>
      <c r="AL1477" s="29"/>
      <c r="AM1477" s="29"/>
      <c r="AN1477" s="29"/>
      <c r="AO1477" s="29"/>
      <c r="AP1477" s="29"/>
      <c r="AQ1477" s="29"/>
      <c r="AR1477" s="29"/>
      <c r="AS1477" s="29"/>
      <c r="AT1477" s="29"/>
      <c r="AU1477" s="29"/>
      <c r="AV1477" s="29"/>
      <c r="AW1477" s="29"/>
      <c r="AX1477" s="29"/>
      <c r="AY1477" s="29"/>
      <c r="AZ1477" s="29"/>
      <c r="BA1477" s="29"/>
      <c r="BB1477" s="29"/>
      <c r="BC1477" s="29"/>
      <c r="BD1477" s="29"/>
      <c r="BE1477" s="29"/>
      <c r="BF1477" s="29"/>
      <c r="BG1477" s="29"/>
      <c r="BH1477" s="29"/>
      <c r="BI1477" s="29"/>
      <c r="BJ1477" s="29"/>
      <c r="BK1477" s="29"/>
      <c r="BL1477" s="29"/>
      <c r="BM1477" s="29"/>
      <c r="BN1477" s="20">
        <f t="shared" si="161"/>
        <v>0</v>
      </c>
      <c r="BO1477" s="20">
        <f t="shared" si="162"/>
        <v>0</v>
      </c>
      <c r="BP1477" s="20">
        <f t="shared" si="163"/>
        <v>13.5</v>
      </c>
      <c r="BQ1477" s="51">
        <f>B1477/1000*BP1477</f>
        <v>4.59</v>
      </c>
      <c r="BR1477" s="56" t="s">
        <v>2375</v>
      </c>
      <c r="BS1477" s="33" t="s">
        <v>376</v>
      </c>
      <c r="BT1477" s="57" t="s">
        <v>2376</v>
      </c>
      <c r="BU1477" s="35" t="s">
        <v>2367</v>
      </c>
    </row>
    <row r="1478" s="1" customFormat="1" customHeight="1" spans="1:73">
      <c r="A1478" s="15" t="s">
        <v>2377</v>
      </c>
      <c r="B1478" s="15">
        <v>305</v>
      </c>
      <c r="C1478" s="16">
        <v>59</v>
      </c>
      <c r="D1478" s="29"/>
      <c r="E1478" s="30"/>
      <c r="F1478" s="29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29"/>
      <c r="AB1478" s="29"/>
      <c r="AC1478" s="29"/>
      <c r="AD1478" s="29"/>
      <c r="AE1478" s="29"/>
      <c r="AF1478" s="29"/>
      <c r="AG1478" s="30"/>
      <c r="AH1478" s="29"/>
      <c r="AI1478" s="29"/>
      <c r="AJ1478" s="29"/>
      <c r="AK1478" s="30"/>
      <c r="AL1478" s="29"/>
      <c r="AM1478" s="29"/>
      <c r="AN1478" s="29"/>
      <c r="AO1478" s="29"/>
      <c r="AP1478" s="29"/>
      <c r="AQ1478" s="29"/>
      <c r="AR1478" s="29"/>
      <c r="AS1478" s="29"/>
      <c r="AT1478" s="29"/>
      <c r="AU1478" s="29"/>
      <c r="AV1478" s="29"/>
      <c r="AW1478" s="29"/>
      <c r="AX1478" s="29"/>
      <c r="AY1478" s="29"/>
      <c r="AZ1478" s="29"/>
      <c r="BA1478" s="29"/>
      <c r="BB1478" s="29"/>
      <c r="BC1478" s="29"/>
      <c r="BD1478" s="29"/>
      <c r="BE1478" s="29"/>
      <c r="BF1478" s="29"/>
      <c r="BG1478" s="29"/>
      <c r="BH1478" s="29"/>
      <c r="BI1478" s="29"/>
      <c r="BJ1478" s="29"/>
      <c r="BK1478" s="29"/>
      <c r="BL1478" s="29"/>
      <c r="BM1478" s="29"/>
      <c r="BN1478" s="20">
        <f t="shared" si="161"/>
        <v>0</v>
      </c>
      <c r="BO1478" s="20">
        <f t="shared" si="162"/>
        <v>0</v>
      </c>
      <c r="BP1478" s="20">
        <f t="shared" si="163"/>
        <v>59</v>
      </c>
      <c r="BQ1478" s="51">
        <f>B1478/1000*BP1478</f>
        <v>17.995</v>
      </c>
      <c r="BR1478" s="56" t="s">
        <v>2378</v>
      </c>
      <c r="BS1478" s="33" t="s">
        <v>376</v>
      </c>
      <c r="BT1478" s="57" t="s">
        <v>2376</v>
      </c>
      <c r="BU1478" s="35" t="s">
        <v>2367</v>
      </c>
    </row>
    <row r="1479" s="2" customFormat="1" customHeight="1" spans="1:73">
      <c r="A1479" s="15" t="s">
        <v>2379</v>
      </c>
      <c r="B1479" s="15" t="s">
        <v>2380</v>
      </c>
      <c r="C1479" s="16">
        <v>12</v>
      </c>
      <c r="D1479" s="29"/>
      <c r="E1479" s="30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29"/>
      <c r="AB1479" s="29"/>
      <c r="AC1479" s="29"/>
      <c r="AD1479" s="29"/>
      <c r="AE1479" s="29"/>
      <c r="AF1479" s="29"/>
      <c r="AG1479" s="30"/>
      <c r="AH1479" s="29"/>
      <c r="AI1479" s="29"/>
      <c r="AJ1479" s="29"/>
      <c r="AK1479" s="30"/>
      <c r="AL1479" s="29"/>
      <c r="AM1479" s="29"/>
      <c r="AN1479" s="29"/>
      <c r="AO1479" s="29"/>
      <c r="AP1479" s="29"/>
      <c r="AQ1479" s="29"/>
      <c r="AR1479" s="29"/>
      <c r="AS1479" s="29"/>
      <c r="AT1479" s="29"/>
      <c r="AU1479" s="29"/>
      <c r="AV1479" s="29"/>
      <c r="AW1479" s="29"/>
      <c r="AX1479" s="29"/>
      <c r="AY1479" s="29"/>
      <c r="AZ1479" s="29"/>
      <c r="BA1479" s="29"/>
      <c r="BB1479" s="29"/>
      <c r="BC1479" s="29"/>
      <c r="BD1479" s="29"/>
      <c r="BE1479" s="29"/>
      <c r="BF1479" s="29"/>
      <c r="BG1479" s="29"/>
      <c r="BH1479" s="29"/>
      <c r="BI1479" s="29"/>
      <c r="BJ1479" s="29"/>
      <c r="BK1479" s="29"/>
      <c r="BL1479" s="29"/>
      <c r="BM1479" s="29"/>
      <c r="BN1479" s="20">
        <f t="shared" si="161"/>
        <v>0</v>
      </c>
      <c r="BO1479" s="20">
        <f t="shared" si="162"/>
        <v>0</v>
      </c>
      <c r="BP1479" s="20">
        <f t="shared" si="163"/>
        <v>12</v>
      </c>
      <c r="BQ1479" s="51">
        <f>0.185*0.28*BP1479</f>
        <v>0.6216</v>
      </c>
      <c r="BR1479" s="56" t="s">
        <v>2381</v>
      </c>
      <c r="BS1479" s="33" t="s">
        <v>376</v>
      </c>
      <c r="BT1479" s="78"/>
      <c r="BU1479" s="35" t="s">
        <v>2367</v>
      </c>
    </row>
    <row r="1480" s="2" customFormat="1" customHeight="1" spans="1:73">
      <c r="A1480" s="15" t="s">
        <v>2382</v>
      </c>
      <c r="B1480" s="15" t="s">
        <v>2383</v>
      </c>
      <c r="C1480" s="16">
        <v>54</v>
      </c>
      <c r="D1480" s="29"/>
      <c r="E1480" s="30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29"/>
      <c r="AB1480" s="29"/>
      <c r="AC1480" s="29"/>
      <c r="AD1480" s="29"/>
      <c r="AE1480" s="29"/>
      <c r="AF1480" s="29"/>
      <c r="AG1480" s="30"/>
      <c r="AH1480" s="29"/>
      <c r="AI1480" s="29"/>
      <c r="AJ1480" s="29"/>
      <c r="AK1480" s="30"/>
      <c r="AL1480" s="29"/>
      <c r="AM1480" s="29"/>
      <c r="AN1480" s="29"/>
      <c r="AO1480" s="29"/>
      <c r="AP1480" s="29"/>
      <c r="AQ1480" s="29"/>
      <c r="AR1480" s="29"/>
      <c r="AS1480" s="29"/>
      <c r="AT1480" s="29"/>
      <c r="AU1480" s="29"/>
      <c r="AV1480" s="29"/>
      <c r="AW1480" s="29"/>
      <c r="AX1480" s="29"/>
      <c r="AY1480" s="29"/>
      <c r="AZ1480" s="29"/>
      <c r="BA1480" s="29"/>
      <c r="BB1480" s="29"/>
      <c r="BC1480" s="29"/>
      <c r="BD1480" s="29"/>
      <c r="BE1480" s="29"/>
      <c r="BF1480" s="29"/>
      <c r="BG1480" s="29"/>
      <c r="BH1480" s="29"/>
      <c r="BI1480" s="29"/>
      <c r="BJ1480" s="29"/>
      <c r="BK1480" s="29"/>
      <c r="BL1480" s="29"/>
      <c r="BM1480" s="29"/>
      <c r="BN1480" s="20">
        <f t="shared" si="161"/>
        <v>0</v>
      </c>
      <c r="BO1480" s="20">
        <f t="shared" si="162"/>
        <v>0</v>
      </c>
      <c r="BP1480" s="20">
        <f t="shared" si="163"/>
        <v>54</v>
      </c>
      <c r="BQ1480" s="51">
        <f>0.185*0.28*BP1480</f>
        <v>2.7972</v>
      </c>
      <c r="BR1480" s="56" t="s">
        <v>2384</v>
      </c>
      <c r="BS1480" s="33" t="s">
        <v>376</v>
      </c>
      <c r="BT1480" s="78"/>
      <c r="BU1480" s="35" t="s">
        <v>2367</v>
      </c>
    </row>
    <row r="1481" s="1" customFormat="1" customHeight="1" spans="1:73">
      <c r="A1481" s="15" t="s">
        <v>2385</v>
      </c>
      <c r="B1481" s="15">
        <v>610</v>
      </c>
      <c r="C1481" s="16">
        <v>13</v>
      </c>
      <c r="D1481" s="29"/>
      <c r="E1481" s="30"/>
      <c r="F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29"/>
      <c r="AB1481" s="29"/>
      <c r="AC1481" s="29"/>
      <c r="AD1481" s="29"/>
      <c r="AE1481" s="29"/>
      <c r="AF1481" s="29"/>
      <c r="AG1481" s="30"/>
      <c r="AH1481" s="29"/>
      <c r="AI1481" s="29"/>
      <c r="AJ1481" s="29"/>
      <c r="AK1481" s="30"/>
      <c r="AL1481" s="29"/>
      <c r="AM1481" s="29"/>
      <c r="AN1481" s="29"/>
      <c r="AO1481" s="29"/>
      <c r="AP1481" s="29"/>
      <c r="AQ1481" s="29"/>
      <c r="AR1481" s="29"/>
      <c r="AS1481" s="29"/>
      <c r="AT1481" s="29"/>
      <c r="AU1481" s="29"/>
      <c r="AV1481" s="29"/>
      <c r="AW1481" s="29"/>
      <c r="AX1481" s="29"/>
      <c r="AY1481" s="29"/>
      <c r="AZ1481" s="29"/>
      <c r="BA1481" s="29"/>
      <c r="BB1481" s="29"/>
      <c r="BC1481" s="29"/>
      <c r="BD1481" s="29"/>
      <c r="BE1481" s="29"/>
      <c r="BF1481" s="29"/>
      <c r="BG1481" s="29"/>
      <c r="BH1481" s="29"/>
      <c r="BI1481" s="29"/>
      <c r="BJ1481" s="29"/>
      <c r="BK1481" s="29"/>
      <c r="BL1481" s="29"/>
      <c r="BM1481" s="29"/>
      <c r="BN1481" s="20">
        <f t="shared" si="161"/>
        <v>0</v>
      </c>
      <c r="BO1481" s="20">
        <f t="shared" si="162"/>
        <v>0</v>
      </c>
      <c r="BP1481" s="20">
        <f t="shared" si="163"/>
        <v>13</v>
      </c>
      <c r="BQ1481" s="55">
        <f t="shared" ref="BQ1481:BQ1483" si="164">B1481*BP1481/1000</f>
        <v>7.93</v>
      </c>
      <c r="BR1481" s="68" t="s">
        <v>2386</v>
      </c>
      <c r="BS1481" s="33" t="s">
        <v>376</v>
      </c>
      <c r="BT1481" s="36"/>
      <c r="BU1481" s="35" t="s">
        <v>2367</v>
      </c>
    </row>
    <row r="1482" s="1" customFormat="1" customHeight="1" spans="1:73">
      <c r="A1482" s="15" t="s">
        <v>2385</v>
      </c>
      <c r="B1482" s="15">
        <v>610</v>
      </c>
      <c r="C1482" s="16">
        <v>27</v>
      </c>
      <c r="D1482" s="29"/>
      <c r="E1482" s="30"/>
      <c r="F1482" s="29"/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  <c r="AC1482" s="29"/>
      <c r="AD1482" s="29"/>
      <c r="AE1482" s="29"/>
      <c r="AF1482" s="29"/>
      <c r="AG1482" s="30"/>
      <c r="AH1482" s="29"/>
      <c r="AI1482" s="29"/>
      <c r="AJ1482" s="29"/>
      <c r="AK1482" s="30"/>
      <c r="AL1482" s="29"/>
      <c r="AM1482" s="29"/>
      <c r="AN1482" s="29"/>
      <c r="AO1482" s="29"/>
      <c r="AP1482" s="29"/>
      <c r="AQ1482" s="29"/>
      <c r="AR1482" s="29"/>
      <c r="AS1482" s="29"/>
      <c r="AT1482" s="29"/>
      <c r="AU1482" s="29"/>
      <c r="AV1482" s="29"/>
      <c r="AW1482" s="29"/>
      <c r="AX1482" s="29"/>
      <c r="AY1482" s="29"/>
      <c r="AZ1482" s="29"/>
      <c r="BA1482" s="29"/>
      <c r="BB1482" s="29"/>
      <c r="BC1482" s="29"/>
      <c r="BD1482" s="29"/>
      <c r="BE1482" s="29"/>
      <c r="BF1482" s="29"/>
      <c r="BG1482" s="29"/>
      <c r="BH1482" s="29"/>
      <c r="BI1482" s="29"/>
      <c r="BJ1482" s="29"/>
      <c r="BK1482" s="29"/>
      <c r="BL1482" s="29"/>
      <c r="BM1482" s="29"/>
      <c r="BN1482" s="20">
        <f t="shared" si="161"/>
        <v>0</v>
      </c>
      <c r="BO1482" s="20">
        <f t="shared" si="162"/>
        <v>0</v>
      </c>
      <c r="BP1482" s="20">
        <f t="shared" si="163"/>
        <v>27</v>
      </c>
      <c r="BQ1482" s="55">
        <f t="shared" si="164"/>
        <v>16.47</v>
      </c>
      <c r="BR1482" s="68" t="s">
        <v>2387</v>
      </c>
      <c r="BS1482" s="33" t="s">
        <v>376</v>
      </c>
      <c r="BT1482" s="36"/>
      <c r="BU1482" s="35" t="s">
        <v>2367</v>
      </c>
    </row>
    <row r="1483" s="1" customFormat="1" customHeight="1" spans="1:73">
      <c r="A1483" s="15" t="s">
        <v>2388</v>
      </c>
      <c r="B1483" s="15">
        <v>610</v>
      </c>
      <c r="C1483" s="16">
        <v>95</v>
      </c>
      <c r="D1483" s="29"/>
      <c r="E1483" s="30"/>
      <c r="F1483" s="29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29"/>
      <c r="AB1483" s="29"/>
      <c r="AC1483" s="29"/>
      <c r="AD1483" s="29"/>
      <c r="AE1483" s="29"/>
      <c r="AF1483" s="29"/>
      <c r="AG1483" s="30"/>
      <c r="AH1483" s="29"/>
      <c r="AI1483" s="29"/>
      <c r="AJ1483" s="29"/>
      <c r="AK1483" s="30"/>
      <c r="AL1483" s="29"/>
      <c r="AM1483" s="29"/>
      <c r="AN1483" s="29"/>
      <c r="AO1483" s="29"/>
      <c r="AP1483" s="29"/>
      <c r="AQ1483" s="29"/>
      <c r="AR1483" s="29"/>
      <c r="AS1483" s="29"/>
      <c r="AT1483" s="29"/>
      <c r="AU1483" s="29"/>
      <c r="AV1483" s="29"/>
      <c r="AW1483" s="29"/>
      <c r="AX1483" s="29"/>
      <c r="AY1483" s="29"/>
      <c r="AZ1483" s="29"/>
      <c r="BA1483" s="29"/>
      <c r="BB1483" s="29"/>
      <c r="BC1483" s="29"/>
      <c r="BD1483" s="29"/>
      <c r="BE1483" s="29"/>
      <c r="BF1483" s="29"/>
      <c r="BG1483" s="29"/>
      <c r="BH1483" s="29"/>
      <c r="BI1483" s="29"/>
      <c r="BJ1483" s="29"/>
      <c r="BK1483" s="29"/>
      <c r="BL1483" s="29"/>
      <c r="BM1483" s="29"/>
      <c r="BN1483" s="20">
        <f t="shared" si="161"/>
        <v>0</v>
      </c>
      <c r="BO1483" s="20">
        <f t="shared" si="162"/>
        <v>0</v>
      </c>
      <c r="BP1483" s="20">
        <f t="shared" si="163"/>
        <v>95</v>
      </c>
      <c r="BQ1483" s="55">
        <f t="shared" si="164"/>
        <v>57.95</v>
      </c>
      <c r="BR1483" s="68" t="s">
        <v>2389</v>
      </c>
      <c r="BS1483" s="33" t="s">
        <v>376</v>
      </c>
      <c r="BT1483" s="36"/>
      <c r="BU1483" s="35" t="s">
        <v>2367</v>
      </c>
    </row>
    <row r="1484" s="1" customFormat="1" customHeight="1" spans="1:73">
      <c r="A1484" s="15" t="s">
        <v>2390</v>
      </c>
      <c r="B1484" s="15" t="s">
        <v>2391</v>
      </c>
      <c r="C1484" s="16">
        <v>99</v>
      </c>
      <c r="D1484" s="29"/>
      <c r="E1484" s="30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54"/>
      <c r="W1484" s="54"/>
      <c r="X1484" s="29"/>
      <c r="Y1484" s="29"/>
      <c r="Z1484" s="29"/>
      <c r="AA1484" s="29"/>
      <c r="AB1484" s="29"/>
      <c r="AC1484" s="29"/>
      <c r="AD1484" s="29"/>
      <c r="AE1484" s="29"/>
      <c r="AF1484" s="29"/>
      <c r="AG1484" s="30"/>
      <c r="AH1484" s="29"/>
      <c r="AI1484" s="29"/>
      <c r="AJ1484" s="29"/>
      <c r="AK1484" s="30"/>
      <c r="AL1484" s="29"/>
      <c r="AM1484" s="29"/>
      <c r="AN1484" s="29"/>
      <c r="AO1484" s="29"/>
      <c r="AP1484" s="29"/>
      <c r="AQ1484" s="29"/>
      <c r="AR1484" s="29"/>
      <c r="AS1484" s="29"/>
      <c r="AT1484" s="29"/>
      <c r="AU1484" s="29"/>
      <c r="AV1484" s="29"/>
      <c r="AW1484" s="29"/>
      <c r="AX1484" s="29"/>
      <c r="AY1484" s="29"/>
      <c r="AZ1484" s="29"/>
      <c r="BA1484" s="29"/>
      <c r="BB1484" s="29"/>
      <c r="BC1484" s="29"/>
      <c r="BD1484" s="29"/>
      <c r="BE1484" s="29"/>
      <c r="BF1484" s="29"/>
      <c r="BG1484" s="29"/>
      <c r="BH1484" s="29"/>
      <c r="BI1484" s="29"/>
      <c r="BJ1484" s="29"/>
      <c r="BK1484" s="29"/>
      <c r="BL1484" s="29"/>
      <c r="BM1484" s="29"/>
      <c r="BN1484" s="20">
        <f t="shared" si="161"/>
        <v>0</v>
      </c>
      <c r="BO1484" s="20">
        <f t="shared" si="162"/>
        <v>0</v>
      </c>
      <c r="BP1484" s="20">
        <f t="shared" si="163"/>
        <v>99</v>
      </c>
      <c r="BQ1484" s="51">
        <f>0.61*1.22*BP1484</f>
        <v>73.6758</v>
      </c>
      <c r="BR1484" s="56" t="s">
        <v>2392</v>
      </c>
      <c r="BS1484" s="33" t="s">
        <v>2393</v>
      </c>
      <c r="BT1484" s="36" t="s">
        <v>2394</v>
      </c>
      <c r="BU1484" s="44" t="s">
        <v>2395</v>
      </c>
    </row>
    <row r="1485" s="1" customFormat="1" customHeight="1" spans="1:73">
      <c r="A1485" s="15" t="s">
        <v>2396</v>
      </c>
      <c r="B1485" s="15" t="s">
        <v>2391</v>
      </c>
      <c r="C1485" s="16">
        <v>15</v>
      </c>
      <c r="D1485" s="29"/>
      <c r="E1485" s="30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54"/>
      <c r="W1485" s="54"/>
      <c r="X1485" s="29"/>
      <c r="Y1485" s="29"/>
      <c r="Z1485" s="29"/>
      <c r="AA1485" s="29"/>
      <c r="AB1485" s="29"/>
      <c r="AC1485" s="29"/>
      <c r="AD1485" s="29"/>
      <c r="AE1485" s="29"/>
      <c r="AF1485" s="29"/>
      <c r="AG1485" s="30"/>
      <c r="AH1485" s="29"/>
      <c r="AI1485" s="29"/>
      <c r="AJ1485" s="29"/>
      <c r="AK1485" s="30"/>
      <c r="AL1485" s="29"/>
      <c r="AM1485" s="29"/>
      <c r="AN1485" s="29"/>
      <c r="AO1485" s="29"/>
      <c r="AP1485" s="29"/>
      <c r="AQ1485" s="29"/>
      <c r="AR1485" s="29"/>
      <c r="AS1485" s="29"/>
      <c r="AT1485" s="29"/>
      <c r="AU1485" s="29"/>
      <c r="AV1485" s="29"/>
      <c r="AW1485" s="29"/>
      <c r="AX1485" s="29"/>
      <c r="AY1485" s="29"/>
      <c r="AZ1485" s="29"/>
      <c r="BA1485" s="29"/>
      <c r="BB1485" s="29"/>
      <c r="BC1485" s="29"/>
      <c r="BD1485" s="29"/>
      <c r="BE1485" s="29"/>
      <c r="BF1485" s="29"/>
      <c r="BG1485" s="29"/>
      <c r="BH1485" s="29"/>
      <c r="BI1485" s="29"/>
      <c r="BJ1485" s="29"/>
      <c r="BK1485" s="29"/>
      <c r="BL1485" s="29"/>
      <c r="BM1485" s="29"/>
      <c r="BN1485" s="20">
        <f t="shared" si="161"/>
        <v>0</v>
      </c>
      <c r="BO1485" s="20">
        <f t="shared" si="162"/>
        <v>0</v>
      </c>
      <c r="BP1485" s="20">
        <f t="shared" si="163"/>
        <v>15</v>
      </c>
      <c r="BQ1485" s="51">
        <f>0.61*1.22*BP1485</f>
        <v>11.163</v>
      </c>
      <c r="BR1485" s="56" t="s">
        <v>2392</v>
      </c>
      <c r="BS1485" s="33" t="s">
        <v>2393</v>
      </c>
      <c r="BT1485" s="36" t="s">
        <v>2397</v>
      </c>
      <c r="BU1485" s="44" t="s">
        <v>2395</v>
      </c>
    </row>
    <row r="1486" s="1" customFormat="1" customHeight="1" spans="1:73">
      <c r="A1486" s="52" t="s">
        <v>2398</v>
      </c>
      <c r="B1486" s="15" t="s">
        <v>2399</v>
      </c>
      <c r="C1486" s="16">
        <v>12</v>
      </c>
      <c r="D1486" s="29"/>
      <c r="E1486" s="30"/>
      <c r="F1486" s="29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54"/>
      <c r="W1486" s="54"/>
      <c r="X1486" s="29"/>
      <c r="Y1486" s="29"/>
      <c r="Z1486" s="29"/>
      <c r="AA1486" s="29"/>
      <c r="AB1486" s="29"/>
      <c r="AC1486" s="29"/>
      <c r="AD1486" s="29"/>
      <c r="AE1486" s="29"/>
      <c r="AF1486" s="29"/>
      <c r="AG1486" s="30"/>
      <c r="AH1486" s="29"/>
      <c r="AI1486" s="29"/>
      <c r="AJ1486" s="29"/>
      <c r="AK1486" s="30"/>
      <c r="AL1486" s="29"/>
      <c r="AM1486" s="29"/>
      <c r="AN1486" s="29"/>
      <c r="AO1486" s="29"/>
      <c r="AP1486" s="29"/>
      <c r="AQ1486" s="29"/>
      <c r="AR1486" s="29"/>
      <c r="AS1486" s="29"/>
      <c r="AT1486" s="29"/>
      <c r="AU1486" s="29"/>
      <c r="AV1486" s="29"/>
      <c r="AW1486" s="29"/>
      <c r="AX1486" s="29"/>
      <c r="AY1486" s="29"/>
      <c r="AZ1486" s="29"/>
      <c r="BA1486" s="29"/>
      <c r="BB1486" s="29"/>
      <c r="BC1486" s="29"/>
      <c r="BD1486" s="29"/>
      <c r="BE1486" s="29"/>
      <c r="BF1486" s="29"/>
      <c r="BG1486" s="29"/>
      <c r="BH1486" s="29"/>
      <c r="BI1486" s="29"/>
      <c r="BJ1486" s="29"/>
      <c r="BK1486" s="29"/>
      <c r="BL1486" s="29"/>
      <c r="BM1486" s="29"/>
      <c r="BN1486" s="20">
        <f t="shared" si="161"/>
        <v>0</v>
      </c>
      <c r="BO1486" s="20">
        <f t="shared" si="162"/>
        <v>0</v>
      </c>
      <c r="BP1486" s="20">
        <f t="shared" si="163"/>
        <v>12</v>
      </c>
      <c r="BQ1486" s="51">
        <f t="shared" ref="BQ1486:BQ1489" si="165">0.61*0.61*BP1486</f>
        <v>4.4652</v>
      </c>
      <c r="BR1486" s="56" t="s">
        <v>2400</v>
      </c>
      <c r="BS1486" s="33" t="s">
        <v>73</v>
      </c>
      <c r="BT1486" s="36" t="s">
        <v>2401</v>
      </c>
      <c r="BU1486" s="44" t="s">
        <v>2395</v>
      </c>
    </row>
    <row r="1487" s="1" customFormat="1" customHeight="1" spans="1:73">
      <c r="A1487" s="52" t="s">
        <v>2398</v>
      </c>
      <c r="B1487" s="15" t="s">
        <v>2399</v>
      </c>
      <c r="C1487" s="16">
        <v>53</v>
      </c>
      <c r="D1487" s="29"/>
      <c r="E1487" s="30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54"/>
      <c r="W1487" s="54"/>
      <c r="X1487" s="29"/>
      <c r="Y1487" s="29"/>
      <c r="Z1487" s="29"/>
      <c r="AA1487" s="29"/>
      <c r="AB1487" s="29"/>
      <c r="AC1487" s="29"/>
      <c r="AD1487" s="29"/>
      <c r="AE1487" s="29"/>
      <c r="AF1487" s="29"/>
      <c r="AG1487" s="30"/>
      <c r="AH1487" s="29"/>
      <c r="AI1487" s="29"/>
      <c r="AJ1487" s="29"/>
      <c r="AK1487" s="30"/>
      <c r="AL1487" s="29"/>
      <c r="AM1487" s="29"/>
      <c r="AN1487" s="29"/>
      <c r="AO1487" s="29"/>
      <c r="AP1487" s="29"/>
      <c r="AQ1487" s="29"/>
      <c r="AR1487" s="29"/>
      <c r="AS1487" s="29"/>
      <c r="AT1487" s="29"/>
      <c r="AU1487" s="29"/>
      <c r="AV1487" s="29"/>
      <c r="AW1487" s="29"/>
      <c r="AX1487" s="29"/>
      <c r="AY1487" s="29"/>
      <c r="AZ1487" s="29"/>
      <c r="BA1487" s="29"/>
      <c r="BB1487" s="29"/>
      <c r="BC1487" s="29"/>
      <c r="BD1487" s="29"/>
      <c r="BE1487" s="29"/>
      <c r="BF1487" s="29"/>
      <c r="BG1487" s="29"/>
      <c r="BH1487" s="29"/>
      <c r="BI1487" s="29"/>
      <c r="BJ1487" s="29"/>
      <c r="BK1487" s="29"/>
      <c r="BL1487" s="29"/>
      <c r="BM1487" s="29"/>
      <c r="BN1487" s="20">
        <f t="shared" si="161"/>
        <v>0</v>
      </c>
      <c r="BO1487" s="20">
        <f t="shared" si="162"/>
        <v>0</v>
      </c>
      <c r="BP1487" s="20">
        <f t="shared" si="163"/>
        <v>53</v>
      </c>
      <c r="BQ1487" s="51">
        <f t="shared" si="165"/>
        <v>19.7213</v>
      </c>
      <c r="BR1487" s="56" t="s">
        <v>1569</v>
      </c>
      <c r="BS1487" s="33" t="s">
        <v>2402</v>
      </c>
      <c r="BT1487" s="36" t="s">
        <v>2401</v>
      </c>
      <c r="BU1487" s="44" t="s">
        <v>2395</v>
      </c>
    </row>
    <row r="1488" s="1" customFormat="1" customHeight="1" spans="1:73">
      <c r="A1488" s="52" t="s">
        <v>2398</v>
      </c>
      <c r="B1488" s="15" t="s">
        <v>2403</v>
      </c>
      <c r="C1488" s="16">
        <v>67</v>
      </c>
      <c r="D1488" s="29"/>
      <c r="E1488" s="30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54"/>
      <c r="W1488" s="54"/>
      <c r="X1488" s="29"/>
      <c r="Y1488" s="29"/>
      <c r="Z1488" s="29"/>
      <c r="AA1488" s="29"/>
      <c r="AB1488" s="29"/>
      <c r="AC1488" s="29"/>
      <c r="AD1488" s="29"/>
      <c r="AE1488" s="29"/>
      <c r="AF1488" s="29"/>
      <c r="AG1488" s="30"/>
      <c r="AH1488" s="29"/>
      <c r="AI1488" s="29"/>
      <c r="AJ1488" s="29"/>
      <c r="AK1488" s="30"/>
      <c r="AL1488" s="29"/>
      <c r="AM1488" s="29"/>
      <c r="AN1488" s="29"/>
      <c r="AO1488" s="29"/>
      <c r="AP1488" s="29"/>
      <c r="AQ1488" s="29"/>
      <c r="AR1488" s="29"/>
      <c r="AS1488" s="29"/>
      <c r="AT1488" s="29"/>
      <c r="AU1488" s="29"/>
      <c r="AV1488" s="29"/>
      <c r="AW1488" s="29"/>
      <c r="AX1488" s="29"/>
      <c r="AY1488" s="29"/>
      <c r="AZ1488" s="29"/>
      <c r="BA1488" s="29"/>
      <c r="BB1488" s="29"/>
      <c r="BC1488" s="29"/>
      <c r="BD1488" s="29"/>
      <c r="BE1488" s="29"/>
      <c r="BF1488" s="29"/>
      <c r="BG1488" s="29"/>
      <c r="BH1488" s="29"/>
      <c r="BI1488" s="29"/>
      <c r="BJ1488" s="29"/>
      <c r="BK1488" s="29"/>
      <c r="BL1488" s="29"/>
      <c r="BM1488" s="29"/>
      <c r="BN1488" s="20">
        <f t="shared" si="161"/>
        <v>0</v>
      </c>
      <c r="BO1488" s="20">
        <f t="shared" si="162"/>
        <v>0</v>
      </c>
      <c r="BP1488" s="20">
        <f t="shared" si="163"/>
        <v>67</v>
      </c>
      <c r="BQ1488" s="51">
        <f>0.61*0.145*BP1488</f>
        <v>5.92615</v>
      </c>
      <c r="BR1488" s="56" t="s">
        <v>2404</v>
      </c>
      <c r="BS1488" s="33" t="s">
        <v>2402</v>
      </c>
      <c r="BT1488" s="36" t="s">
        <v>2405</v>
      </c>
      <c r="BU1488" s="44" t="s">
        <v>2395</v>
      </c>
    </row>
    <row r="1489" s="1" customFormat="1" customHeight="1" spans="1:73">
      <c r="A1489" s="15" t="s">
        <v>2406</v>
      </c>
      <c r="B1489" s="15">
        <v>1000</v>
      </c>
      <c r="C1489" s="16">
        <v>3</v>
      </c>
      <c r="D1489" s="29"/>
      <c r="E1489" s="30"/>
      <c r="F1489" s="29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54"/>
      <c r="W1489" s="54"/>
      <c r="X1489" s="29"/>
      <c r="Y1489" s="29"/>
      <c r="Z1489" s="29"/>
      <c r="AA1489" s="29"/>
      <c r="AB1489" s="29"/>
      <c r="AC1489" s="29"/>
      <c r="AD1489" s="29"/>
      <c r="AE1489" s="29"/>
      <c r="AF1489" s="29"/>
      <c r="AG1489" s="30"/>
      <c r="AH1489" s="29"/>
      <c r="AI1489" s="29"/>
      <c r="AJ1489" s="29"/>
      <c r="AK1489" s="30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X1489" s="29"/>
      <c r="AY1489" s="29"/>
      <c r="AZ1489" s="29"/>
      <c r="BA1489" s="29"/>
      <c r="BB1489" s="29"/>
      <c r="BC1489" s="29"/>
      <c r="BD1489" s="29"/>
      <c r="BE1489" s="29"/>
      <c r="BF1489" s="29"/>
      <c r="BG1489" s="29"/>
      <c r="BH1489" s="29"/>
      <c r="BI1489" s="29"/>
      <c r="BJ1489" s="29"/>
      <c r="BK1489" s="29"/>
      <c r="BL1489" s="29"/>
      <c r="BM1489" s="29"/>
      <c r="BN1489" s="20">
        <f t="shared" si="161"/>
        <v>0</v>
      </c>
      <c r="BO1489" s="20">
        <f t="shared" si="162"/>
        <v>0</v>
      </c>
      <c r="BP1489" s="20">
        <f t="shared" si="163"/>
        <v>3</v>
      </c>
      <c r="BQ1489" s="51">
        <f t="shared" si="165"/>
        <v>1.1163</v>
      </c>
      <c r="BR1489" s="56" t="s">
        <v>2407</v>
      </c>
      <c r="BS1489" s="33" t="s">
        <v>2408</v>
      </c>
      <c r="BT1489" s="75" t="s">
        <v>2409</v>
      </c>
      <c r="BU1489" s="44" t="s">
        <v>2410</v>
      </c>
    </row>
    <row r="1490" s="1" customFormat="1" customHeight="1" spans="1:73">
      <c r="A1490" s="15" t="s">
        <v>2411</v>
      </c>
      <c r="B1490" s="15" t="s">
        <v>2412</v>
      </c>
      <c r="C1490" s="29">
        <v>12</v>
      </c>
      <c r="D1490" s="29"/>
      <c r="E1490" s="30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  <c r="AC1490" s="29"/>
      <c r="AD1490" s="29"/>
      <c r="AE1490" s="29"/>
      <c r="AF1490" s="29"/>
      <c r="AG1490" s="30"/>
      <c r="AH1490" s="29"/>
      <c r="AI1490" s="29"/>
      <c r="AJ1490" s="29"/>
      <c r="AK1490" s="30"/>
      <c r="AL1490" s="29"/>
      <c r="AM1490" s="29"/>
      <c r="AN1490" s="29"/>
      <c r="AO1490" s="29"/>
      <c r="AP1490" s="29"/>
      <c r="AQ1490" s="29"/>
      <c r="AR1490" s="29"/>
      <c r="AS1490" s="29"/>
      <c r="AT1490" s="29"/>
      <c r="AU1490" s="29"/>
      <c r="AV1490" s="29"/>
      <c r="AW1490" s="29"/>
      <c r="AX1490" s="29"/>
      <c r="AY1490" s="29"/>
      <c r="AZ1490" s="29"/>
      <c r="BA1490" s="29"/>
      <c r="BB1490" s="29"/>
      <c r="BC1490" s="29"/>
      <c r="BD1490" s="29"/>
      <c r="BE1490" s="29"/>
      <c r="BF1490" s="29"/>
      <c r="BG1490" s="29"/>
      <c r="BH1490" s="29"/>
      <c r="BI1490" s="29"/>
      <c r="BJ1490" s="29"/>
      <c r="BK1490" s="29"/>
      <c r="BL1490" s="29"/>
      <c r="BM1490" s="29"/>
      <c r="BN1490" s="20">
        <f t="shared" si="161"/>
        <v>0</v>
      </c>
      <c r="BO1490" s="20">
        <f t="shared" si="162"/>
        <v>0</v>
      </c>
      <c r="BP1490" s="20">
        <f t="shared" si="163"/>
        <v>12</v>
      </c>
      <c r="BQ1490" s="55">
        <f>0.26*0.33*BP1490</f>
        <v>1.0296</v>
      </c>
      <c r="BR1490" s="68" t="s">
        <v>2413</v>
      </c>
      <c r="BS1490" s="33" t="s">
        <v>376</v>
      </c>
      <c r="BT1490" s="61" t="s">
        <v>2414</v>
      </c>
      <c r="BU1490" s="35" t="s">
        <v>2395</v>
      </c>
    </row>
    <row r="1491" s="1" customFormat="1" customHeight="1" spans="1:73">
      <c r="A1491" s="39" t="s">
        <v>2415</v>
      </c>
      <c r="B1491" s="15" t="s">
        <v>2416</v>
      </c>
      <c r="C1491" s="29">
        <v>147</v>
      </c>
      <c r="D1491" s="29"/>
      <c r="E1491" s="30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29"/>
      <c r="AB1491" s="29"/>
      <c r="AC1491" s="29"/>
      <c r="AD1491" s="29"/>
      <c r="AE1491" s="29"/>
      <c r="AF1491" s="29"/>
      <c r="AG1491" s="30"/>
      <c r="AH1491" s="29"/>
      <c r="AI1491" s="29"/>
      <c r="AJ1491" s="29"/>
      <c r="AK1491" s="30"/>
      <c r="AL1491" s="29"/>
      <c r="AM1491" s="29"/>
      <c r="AN1491" s="29"/>
      <c r="AO1491" s="29"/>
      <c r="AP1491" s="29"/>
      <c r="AQ1491" s="29"/>
      <c r="AR1491" s="29"/>
      <c r="AS1491" s="29"/>
      <c r="AT1491" s="29"/>
      <c r="AU1491" s="29"/>
      <c r="AV1491" s="29"/>
      <c r="AW1491" s="29"/>
      <c r="AX1491" s="29"/>
      <c r="AY1491" s="29"/>
      <c r="AZ1491" s="29"/>
      <c r="BA1491" s="29"/>
      <c r="BB1491" s="29"/>
      <c r="BC1491" s="29"/>
      <c r="BD1491" s="29"/>
      <c r="BE1491" s="29"/>
      <c r="BF1491" s="29"/>
      <c r="BG1491" s="29"/>
      <c r="BH1491" s="29"/>
      <c r="BI1491" s="29"/>
      <c r="BJ1491" s="29"/>
      <c r="BK1491" s="29"/>
      <c r="BL1491" s="29"/>
      <c r="BM1491" s="29"/>
      <c r="BN1491" s="20">
        <f t="shared" si="161"/>
        <v>0</v>
      </c>
      <c r="BO1491" s="20">
        <f t="shared" si="162"/>
        <v>0</v>
      </c>
      <c r="BP1491" s="20">
        <f t="shared" si="163"/>
        <v>147</v>
      </c>
      <c r="BQ1491" s="55">
        <f>0.26*0.28*BP1491</f>
        <v>10.7016</v>
      </c>
      <c r="BR1491" s="68" t="s">
        <v>2413</v>
      </c>
      <c r="BS1491" s="33" t="s">
        <v>376</v>
      </c>
      <c r="BT1491" s="61" t="s">
        <v>2414</v>
      </c>
      <c r="BU1491" s="35" t="s">
        <v>2395</v>
      </c>
    </row>
    <row r="1492" s="1" customFormat="1" customHeight="1" spans="1:73">
      <c r="A1492" s="39" t="s">
        <v>2415</v>
      </c>
      <c r="B1492" s="15" t="s">
        <v>2417</v>
      </c>
      <c r="C1492" s="29">
        <v>65</v>
      </c>
      <c r="D1492" s="29"/>
      <c r="E1492" s="30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29"/>
      <c r="AB1492" s="29"/>
      <c r="AC1492" s="29"/>
      <c r="AD1492" s="29"/>
      <c r="AE1492" s="29"/>
      <c r="AF1492" s="29"/>
      <c r="AG1492" s="30"/>
      <c r="AH1492" s="29"/>
      <c r="AI1492" s="29"/>
      <c r="AJ1492" s="29"/>
      <c r="AK1492" s="30"/>
      <c r="AL1492" s="29"/>
      <c r="AM1492" s="29"/>
      <c r="AN1492" s="29"/>
      <c r="AO1492" s="29"/>
      <c r="AP1492" s="29"/>
      <c r="AQ1492" s="29"/>
      <c r="AR1492" s="29"/>
      <c r="AS1492" s="29"/>
      <c r="AT1492" s="29"/>
      <c r="AU1492" s="29"/>
      <c r="AV1492" s="29"/>
      <c r="AW1492" s="29"/>
      <c r="AX1492" s="29"/>
      <c r="AY1492" s="29"/>
      <c r="AZ1492" s="29"/>
      <c r="BA1492" s="29"/>
      <c r="BB1492" s="29"/>
      <c r="BC1492" s="29"/>
      <c r="BD1492" s="29"/>
      <c r="BE1492" s="29"/>
      <c r="BF1492" s="29"/>
      <c r="BG1492" s="29"/>
      <c r="BH1492" s="29"/>
      <c r="BI1492" s="29"/>
      <c r="BJ1492" s="29"/>
      <c r="BK1492" s="29"/>
      <c r="BL1492" s="29"/>
      <c r="BM1492" s="29"/>
      <c r="BN1492" s="20">
        <f t="shared" si="161"/>
        <v>0</v>
      </c>
      <c r="BO1492" s="20">
        <f t="shared" si="162"/>
        <v>0</v>
      </c>
      <c r="BP1492" s="20">
        <f t="shared" si="163"/>
        <v>65</v>
      </c>
      <c r="BQ1492" s="55">
        <f>0.228*0.31*BP1492</f>
        <v>4.5942</v>
      </c>
      <c r="BR1492" s="68" t="s">
        <v>2418</v>
      </c>
      <c r="BS1492" s="33" t="s">
        <v>376</v>
      </c>
      <c r="BT1492" s="61" t="s">
        <v>2414</v>
      </c>
      <c r="BU1492" s="35" t="s">
        <v>2395</v>
      </c>
    </row>
    <row r="1493" s="1" customFormat="1" customHeight="1" spans="1:73">
      <c r="A1493" s="53" t="s">
        <v>2419</v>
      </c>
      <c r="B1493" s="127"/>
      <c r="C1493" s="127"/>
      <c r="D1493" s="84"/>
      <c r="E1493" s="84"/>
      <c r="F1493" s="84"/>
      <c r="G1493" s="83"/>
      <c r="H1493" s="84"/>
      <c r="I1493" s="84"/>
      <c r="J1493" s="84"/>
      <c r="K1493" s="84"/>
      <c r="L1493" s="84"/>
      <c r="M1493" s="84"/>
      <c r="N1493" s="84"/>
      <c r="O1493" s="84"/>
      <c r="P1493" s="83"/>
      <c r="Q1493" s="84"/>
      <c r="R1493" s="83"/>
      <c r="S1493" s="84"/>
      <c r="T1493" s="84"/>
      <c r="U1493" s="84"/>
      <c r="V1493" s="83"/>
      <c r="W1493" s="83"/>
      <c r="X1493" s="84"/>
      <c r="Y1493" s="83"/>
      <c r="Z1493" s="84"/>
      <c r="AA1493" s="84"/>
      <c r="AB1493" s="84"/>
      <c r="AC1493" s="83"/>
      <c r="AD1493" s="84"/>
      <c r="AE1493" s="84"/>
      <c r="AF1493" s="84"/>
      <c r="AG1493" s="83"/>
      <c r="AH1493" s="84"/>
      <c r="AI1493" s="84"/>
      <c r="AJ1493" s="84"/>
      <c r="AK1493" s="84"/>
      <c r="AL1493" s="84"/>
      <c r="AM1493" s="83"/>
      <c r="AN1493" s="84"/>
      <c r="AO1493" s="83"/>
      <c r="AP1493" s="84"/>
      <c r="AQ1493" s="84"/>
      <c r="AR1493" s="84"/>
      <c r="AS1493" s="84"/>
      <c r="AT1493" s="84"/>
      <c r="AU1493" s="84"/>
      <c r="AV1493" s="84"/>
      <c r="AW1493" s="84"/>
      <c r="AX1493" s="84"/>
      <c r="AY1493" s="83"/>
      <c r="AZ1493" s="84"/>
      <c r="BA1493" s="84"/>
      <c r="BB1493" s="84"/>
      <c r="BC1493" s="84"/>
      <c r="BD1493" s="84"/>
      <c r="BE1493" s="83"/>
      <c r="BF1493" s="84"/>
      <c r="BG1493" s="84"/>
      <c r="BH1493" s="84"/>
      <c r="BI1493" s="83"/>
      <c r="BJ1493" s="84"/>
      <c r="BK1493" s="84"/>
      <c r="BL1493" s="84"/>
      <c r="BM1493" s="84"/>
      <c r="BN1493" s="20">
        <f t="shared" si="161"/>
        <v>0</v>
      </c>
      <c r="BO1493" s="20">
        <f t="shared" si="162"/>
        <v>0</v>
      </c>
      <c r="BP1493" s="20">
        <f t="shared" si="163"/>
        <v>0</v>
      </c>
      <c r="BQ1493" s="84"/>
      <c r="BR1493" s="196"/>
      <c r="BS1493" s="111"/>
      <c r="BT1493" s="102"/>
      <c r="BU1493" s="112"/>
    </row>
    <row r="1494" s="1" customFormat="1" customHeight="1" spans="1:73">
      <c r="A1494" s="94" t="s">
        <v>2420</v>
      </c>
      <c r="B1494" s="15">
        <v>305</v>
      </c>
      <c r="C1494" s="29">
        <v>2</v>
      </c>
      <c r="D1494" s="29"/>
      <c r="E1494" s="30"/>
      <c r="F1494" s="29"/>
      <c r="G1494" s="29"/>
      <c r="H1494" s="29"/>
      <c r="I1494" s="29">
        <v>2</v>
      </c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29"/>
      <c r="AB1494" s="29"/>
      <c r="AC1494" s="29"/>
      <c r="AD1494" s="29"/>
      <c r="AE1494" s="29"/>
      <c r="AF1494" s="29"/>
      <c r="AG1494" s="30"/>
      <c r="AH1494" s="29"/>
      <c r="AI1494" s="29"/>
      <c r="AJ1494" s="29"/>
      <c r="AK1494" s="30"/>
      <c r="AL1494" s="29"/>
      <c r="AM1494" s="29"/>
      <c r="AN1494" s="29"/>
      <c r="AO1494" s="29"/>
      <c r="AP1494" s="29"/>
      <c r="AQ1494" s="29"/>
      <c r="AR1494" s="29"/>
      <c r="AS1494" s="29"/>
      <c r="AT1494" s="29"/>
      <c r="AU1494" s="29"/>
      <c r="AV1494" s="29"/>
      <c r="AW1494" s="29"/>
      <c r="AX1494" s="29"/>
      <c r="AY1494" s="29"/>
      <c r="AZ1494" s="29"/>
      <c r="BA1494" s="29"/>
      <c r="BB1494" s="29"/>
      <c r="BC1494" s="29"/>
      <c r="BD1494" s="29"/>
      <c r="BE1494" s="29"/>
      <c r="BF1494" s="29"/>
      <c r="BG1494" s="29"/>
      <c r="BH1494" s="29"/>
      <c r="BI1494" s="29"/>
      <c r="BJ1494" s="29"/>
      <c r="BK1494" s="29"/>
      <c r="BL1494" s="29"/>
      <c r="BM1494" s="29"/>
      <c r="BN1494" s="20">
        <f t="shared" si="161"/>
        <v>0</v>
      </c>
      <c r="BO1494" s="20">
        <f t="shared" si="162"/>
        <v>2</v>
      </c>
      <c r="BP1494" s="20">
        <f t="shared" si="163"/>
        <v>0</v>
      </c>
      <c r="BQ1494" s="51">
        <f t="shared" ref="BQ1494:BQ1503" si="166">B1494*BP1494/1000</f>
        <v>0</v>
      </c>
      <c r="BR1494" s="56" t="s">
        <v>2421</v>
      </c>
      <c r="BS1494" s="33" t="s">
        <v>2422</v>
      </c>
      <c r="BT1494" s="57" t="s">
        <v>2423</v>
      </c>
      <c r="BU1494" s="35" t="s">
        <v>2424</v>
      </c>
    </row>
    <row r="1495" s="1" customFormat="1" customHeight="1" spans="1:73">
      <c r="A1495" s="94" t="s">
        <v>2420</v>
      </c>
      <c r="B1495" s="15">
        <v>330</v>
      </c>
      <c r="C1495" s="29">
        <v>10</v>
      </c>
      <c r="D1495" s="29"/>
      <c r="E1495" s="30"/>
      <c r="F1495" s="29"/>
      <c r="G1495" s="29"/>
      <c r="H1495" s="29"/>
      <c r="I1495" s="29">
        <v>5</v>
      </c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29"/>
      <c r="AB1495" s="29"/>
      <c r="AC1495" s="29"/>
      <c r="AD1495" s="29"/>
      <c r="AE1495" s="29"/>
      <c r="AF1495" s="29"/>
      <c r="AG1495" s="30"/>
      <c r="AH1495" s="29"/>
      <c r="AI1495" s="29"/>
      <c r="AJ1495" s="29"/>
      <c r="AK1495" s="30"/>
      <c r="AL1495" s="29"/>
      <c r="AM1495" s="29"/>
      <c r="AN1495" s="29"/>
      <c r="AO1495" s="29"/>
      <c r="AP1495" s="29"/>
      <c r="AQ1495" s="29"/>
      <c r="AR1495" s="29"/>
      <c r="AS1495" s="29"/>
      <c r="AT1495" s="29"/>
      <c r="AU1495" s="29"/>
      <c r="AV1495" s="29"/>
      <c r="AW1495" s="29"/>
      <c r="AX1495" s="29"/>
      <c r="AY1495" s="29"/>
      <c r="AZ1495" s="29"/>
      <c r="BA1495" s="29"/>
      <c r="BB1495" s="29"/>
      <c r="BC1495" s="29"/>
      <c r="BD1495" s="29"/>
      <c r="BE1495" s="29"/>
      <c r="BF1495" s="29"/>
      <c r="BG1495" s="29"/>
      <c r="BH1495" s="29"/>
      <c r="BI1495" s="29"/>
      <c r="BJ1495" s="29"/>
      <c r="BK1495" s="29"/>
      <c r="BL1495" s="29"/>
      <c r="BM1495" s="29"/>
      <c r="BN1495" s="20">
        <f t="shared" si="161"/>
        <v>0</v>
      </c>
      <c r="BO1495" s="20">
        <f t="shared" si="162"/>
        <v>5</v>
      </c>
      <c r="BP1495" s="20">
        <f t="shared" si="163"/>
        <v>5</v>
      </c>
      <c r="BQ1495" s="51">
        <f t="shared" si="166"/>
        <v>1.65</v>
      </c>
      <c r="BR1495" s="56" t="s">
        <v>1318</v>
      </c>
      <c r="BS1495" s="33" t="s">
        <v>2425</v>
      </c>
      <c r="BT1495" s="57"/>
      <c r="BU1495" s="35" t="s">
        <v>2424</v>
      </c>
    </row>
    <row r="1496" s="1" customFormat="1" customHeight="1" spans="1:73">
      <c r="A1496" s="94" t="s">
        <v>2420</v>
      </c>
      <c r="B1496" s="15">
        <v>350</v>
      </c>
      <c r="C1496" s="29">
        <v>5</v>
      </c>
      <c r="D1496" s="29"/>
      <c r="E1496" s="30"/>
      <c r="F1496" s="29"/>
      <c r="G1496" s="29"/>
      <c r="H1496" s="29"/>
      <c r="I1496" s="29">
        <v>5</v>
      </c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29"/>
      <c r="AB1496" s="29"/>
      <c r="AC1496" s="29"/>
      <c r="AD1496" s="29"/>
      <c r="AE1496" s="29"/>
      <c r="AF1496" s="29"/>
      <c r="AG1496" s="30"/>
      <c r="AH1496" s="29"/>
      <c r="AI1496" s="29"/>
      <c r="AJ1496" s="29"/>
      <c r="AK1496" s="30"/>
      <c r="AL1496" s="29"/>
      <c r="AM1496" s="29"/>
      <c r="AN1496" s="29"/>
      <c r="AO1496" s="29"/>
      <c r="AP1496" s="29"/>
      <c r="AQ1496" s="29"/>
      <c r="AR1496" s="29"/>
      <c r="AS1496" s="29"/>
      <c r="AT1496" s="29"/>
      <c r="AU1496" s="29"/>
      <c r="AV1496" s="29"/>
      <c r="AW1496" s="29"/>
      <c r="AX1496" s="29"/>
      <c r="AY1496" s="29"/>
      <c r="AZ1496" s="29"/>
      <c r="BA1496" s="29"/>
      <c r="BB1496" s="29"/>
      <c r="BC1496" s="29"/>
      <c r="BD1496" s="29"/>
      <c r="BE1496" s="29"/>
      <c r="BF1496" s="29"/>
      <c r="BG1496" s="29"/>
      <c r="BH1496" s="29"/>
      <c r="BI1496" s="29"/>
      <c r="BJ1496" s="29"/>
      <c r="BK1496" s="29"/>
      <c r="BL1496" s="29"/>
      <c r="BM1496" s="29"/>
      <c r="BN1496" s="20">
        <f t="shared" si="161"/>
        <v>0</v>
      </c>
      <c r="BO1496" s="20">
        <f t="shared" si="162"/>
        <v>5</v>
      </c>
      <c r="BP1496" s="20">
        <f t="shared" si="163"/>
        <v>0</v>
      </c>
      <c r="BQ1496" s="51">
        <f t="shared" si="166"/>
        <v>0</v>
      </c>
      <c r="BR1496" s="56" t="s">
        <v>1318</v>
      </c>
      <c r="BS1496" s="33" t="s">
        <v>2425</v>
      </c>
      <c r="BT1496" s="57" t="s">
        <v>2426</v>
      </c>
      <c r="BU1496" s="35" t="s">
        <v>2424</v>
      </c>
    </row>
    <row r="1497" s="1" customFormat="1" customHeight="1" spans="1:73">
      <c r="A1497" s="15" t="s">
        <v>2427</v>
      </c>
      <c r="B1497" s="15">
        <v>235</v>
      </c>
      <c r="C1497" s="29">
        <v>87</v>
      </c>
      <c r="D1497" s="29"/>
      <c r="E1497" s="30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29"/>
      <c r="AB1497" s="29"/>
      <c r="AC1497" s="29"/>
      <c r="AD1497" s="29"/>
      <c r="AE1497" s="29"/>
      <c r="AF1497" s="29"/>
      <c r="AG1497" s="30"/>
      <c r="AH1497" s="29"/>
      <c r="AI1497" s="29"/>
      <c r="AJ1497" s="29"/>
      <c r="AK1497" s="30"/>
      <c r="AL1497" s="29"/>
      <c r="AM1497" s="29"/>
      <c r="AN1497" s="29"/>
      <c r="AO1497" s="29"/>
      <c r="AP1497" s="29"/>
      <c r="AQ1497" s="29"/>
      <c r="AR1497" s="29"/>
      <c r="AS1497" s="29"/>
      <c r="AT1497" s="29"/>
      <c r="AU1497" s="29"/>
      <c r="AV1497" s="29"/>
      <c r="AW1497" s="29"/>
      <c r="AX1497" s="29"/>
      <c r="AY1497" s="29"/>
      <c r="AZ1497" s="29"/>
      <c r="BA1497" s="29"/>
      <c r="BB1497" s="29"/>
      <c r="BC1497" s="29"/>
      <c r="BD1497" s="29"/>
      <c r="BE1497" s="29"/>
      <c r="BF1497" s="29"/>
      <c r="BG1497" s="29"/>
      <c r="BH1497" s="29"/>
      <c r="BI1497" s="29"/>
      <c r="BJ1497" s="29"/>
      <c r="BK1497" s="29"/>
      <c r="BL1497" s="29"/>
      <c r="BM1497" s="29"/>
      <c r="BN1497" s="20">
        <f t="shared" si="161"/>
        <v>0</v>
      </c>
      <c r="BO1497" s="20">
        <f t="shared" si="162"/>
        <v>0</v>
      </c>
      <c r="BP1497" s="20">
        <f t="shared" si="163"/>
        <v>87</v>
      </c>
      <c r="BQ1497" s="51">
        <f t="shared" si="166"/>
        <v>20.445</v>
      </c>
      <c r="BR1497" s="56" t="s">
        <v>919</v>
      </c>
      <c r="BS1497" s="33" t="s">
        <v>2428</v>
      </c>
      <c r="BT1497" s="57"/>
      <c r="BU1497" s="35" t="s">
        <v>2424</v>
      </c>
    </row>
    <row r="1498" s="1" customFormat="1" customHeight="1" spans="1:73">
      <c r="A1498" s="15" t="s">
        <v>2427</v>
      </c>
      <c r="B1498" s="15">
        <v>245</v>
      </c>
      <c r="C1498" s="29">
        <v>151</v>
      </c>
      <c r="D1498" s="29"/>
      <c r="E1498" s="30"/>
      <c r="F1498" s="29"/>
      <c r="G1498" s="29"/>
      <c r="H1498" s="29"/>
      <c r="I1498" s="29"/>
      <c r="J1498" s="29"/>
      <c r="K1498" s="29"/>
      <c r="L1498" s="29"/>
      <c r="M1498" s="29">
        <v>6</v>
      </c>
      <c r="N1498" s="29"/>
      <c r="O1498" s="29"/>
      <c r="P1498" s="29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29"/>
      <c r="AB1498" s="29"/>
      <c r="AC1498" s="29"/>
      <c r="AD1498" s="29"/>
      <c r="AE1498" s="29"/>
      <c r="AF1498" s="29"/>
      <c r="AG1498" s="30"/>
      <c r="AH1498" s="29"/>
      <c r="AI1498" s="29"/>
      <c r="AJ1498" s="29"/>
      <c r="AK1498" s="30"/>
      <c r="AL1498" s="29"/>
      <c r="AM1498" s="29"/>
      <c r="AN1498" s="29"/>
      <c r="AO1498" s="29"/>
      <c r="AP1498" s="29"/>
      <c r="AQ1498" s="29"/>
      <c r="AR1498" s="29"/>
      <c r="AS1498" s="29"/>
      <c r="AT1498" s="29"/>
      <c r="AU1498" s="29"/>
      <c r="AV1498" s="29"/>
      <c r="AW1498" s="29"/>
      <c r="AX1498" s="29"/>
      <c r="AY1498" s="29"/>
      <c r="AZ1498" s="29"/>
      <c r="BA1498" s="29"/>
      <c r="BB1498" s="29"/>
      <c r="BC1498" s="29"/>
      <c r="BD1498" s="29"/>
      <c r="BE1498" s="29"/>
      <c r="BF1498" s="29"/>
      <c r="BG1498" s="29"/>
      <c r="BH1498" s="29"/>
      <c r="BI1498" s="29"/>
      <c r="BJ1498" s="29"/>
      <c r="BK1498" s="29"/>
      <c r="BL1498" s="29"/>
      <c r="BM1498" s="29"/>
      <c r="BN1498" s="20">
        <f t="shared" si="161"/>
        <v>0</v>
      </c>
      <c r="BO1498" s="20">
        <f t="shared" si="162"/>
        <v>6</v>
      </c>
      <c r="BP1498" s="20">
        <f t="shared" si="163"/>
        <v>145</v>
      </c>
      <c r="BQ1498" s="51">
        <f t="shared" si="166"/>
        <v>35.525</v>
      </c>
      <c r="BR1498" s="56" t="s">
        <v>688</v>
      </c>
      <c r="BS1498" s="33" t="s">
        <v>266</v>
      </c>
      <c r="BT1498" s="57" t="s">
        <v>2429</v>
      </c>
      <c r="BU1498" s="35" t="s">
        <v>2424</v>
      </c>
    </row>
    <row r="1499" s="1" customFormat="1" customHeight="1" spans="1:73">
      <c r="A1499" s="15" t="s">
        <v>2427</v>
      </c>
      <c r="B1499" s="15">
        <v>280</v>
      </c>
      <c r="C1499" s="29">
        <v>242</v>
      </c>
      <c r="D1499" s="29"/>
      <c r="E1499" s="30"/>
      <c r="F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29"/>
      <c r="AB1499" s="29"/>
      <c r="AC1499" s="29"/>
      <c r="AD1499" s="29"/>
      <c r="AE1499" s="29"/>
      <c r="AF1499" s="29"/>
      <c r="AG1499" s="30"/>
      <c r="AH1499" s="29"/>
      <c r="AI1499" s="29"/>
      <c r="AJ1499" s="29"/>
      <c r="AK1499" s="30"/>
      <c r="AL1499" s="29"/>
      <c r="AM1499" s="29"/>
      <c r="AN1499" s="29"/>
      <c r="AO1499" s="29"/>
      <c r="AP1499" s="29"/>
      <c r="AQ1499" s="29"/>
      <c r="AR1499" s="29"/>
      <c r="AS1499" s="29"/>
      <c r="AT1499" s="29"/>
      <c r="AU1499" s="29"/>
      <c r="AV1499" s="29"/>
      <c r="AW1499" s="29"/>
      <c r="AX1499" s="29"/>
      <c r="AY1499" s="29"/>
      <c r="AZ1499" s="29"/>
      <c r="BA1499" s="29"/>
      <c r="BB1499" s="29"/>
      <c r="BC1499" s="29"/>
      <c r="BD1499" s="29"/>
      <c r="BE1499" s="29"/>
      <c r="BF1499" s="29"/>
      <c r="BG1499" s="29"/>
      <c r="BH1499" s="29"/>
      <c r="BI1499" s="29"/>
      <c r="BJ1499" s="29"/>
      <c r="BK1499" s="29"/>
      <c r="BL1499" s="29"/>
      <c r="BM1499" s="29"/>
      <c r="BN1499" s="20">
        <f t="shared" si="161"/>
        <v>0</v>
      </c>
      <c r="BO1499" s="20">
        <f t="shared" si="162"/>
        <v>0</v>
      </c>
      <c r="BP1499" s="20">
        <f t="shared" si="163"/>
        <v>242</v>
      </c>
      <c r="BQ1499" s="51">
        <f t="shared" si="166"/>
        <v>67.76</v>
      </c>
      <c r="BR1499" s="56" t="s">
        <v>688</v>
      </c>
      <c r="BS1499" s="33" t="s">
        <v>266</v>
      </c>
      <c r="BT1499" s="57" t="s">
        <v>2429</v>
      </c>
      <c r="BU1499" s="35" t="s">
        <v>2424</v>
      </c>
    </row>
    <row r="1500" s="1" customFormat="1" customHeight="1" spans="1:73">
      <c r="A1500" s="15" t="s">
        <v>2427</v>
      </c>
      <c r="B1500" s="15">
        <v>297</v>
      </c>
      <c r="C1500" s="29">
        <v>74</v>
      </c>
      <c r="D1500" s="29"/>
      <c r="E1500" s="30"/>
      <c r="F1500" s="29"/>
      <c r="G1500" s="29"/>
      <c r="H1500" s="29"/>
      <c r="I1500" s="29">
        <v>1</v>
      </c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29"/>
      <c r="AB1500" s="29"/>
      <c r="AC1500" s="29"/>
      <c r="AD1500" s="29"/>
      <c r="AE1500" s="29"/>
      <c r="AF1500" s="29"/>
      <c r="AG1500" s="30"/>
      <c r="AH1500" s="29"/>
      <c r="AI1500" s="29"/>
      <c r="AJ1500" s="29"/>
      <c r="AK1500" s="30"/>
      <c r="AL1500" s="29"/>
      <c r="AM1500" s="29"/>
      <c r="AN1500" s="29"/>
      <c r="AO1500" s="29"/>
      <c r="AP1500" s="29"/>
      <c r="AQ1500" s="29"/>
      <c r="AR1500" s="29"/>
      <c r="AS1500" s="29"/>
      <c r="AT1500" s="29"/>
      <c r="AU1500" s="29"/>
      <c r="AV1500" s="29"/>
      <c r="AW1500" s="29"/>
      <c r="AX1500" s="29"/>
      <c r="AY1500" s="29"/>
      <c r="AZ1500" s="29"/>
      <c r="BA1500" s="29"/>
      <c r="BB1500" s="29"/>
      <c r="BC1500" s="29"/>
      <c r="BD1500" s="29"/>
      <c r="BE1500" s="29"/>
      <c r="BF1500" s="29"/>
      <c r="BG1500" s="29"/>
      <c r="BH1500" s="29"/>
      <c r="BI1500" s="29"/>
      <c r="BJ1500" s="29"/>
      <c r="BK1500" s="29"/>
      <c r="BL1500" s="29"/>
      <c r="BM1500" s="29"/>
      <c r="BN1500" s="20">
        <f t="shared" si="161"/>
        <v>0</v>
      </c>
      <c r="BO1500" s="20">
        <f t="shared" si="162"/>
        <v>1</v>
      </c>
      <c r="BP1500" s="20">
        <f t="shared" si="163"/>
        <v>73</v>
      </c>
      <c r="BQ1500" s="51">
        <f t="shared" si="166"/>
        <v>21.681</v>
      </c>
      <c r="BR1500" s="56" t="s">
        <v>2430</v>
      </c>
      <c r="BS1500" s="33" t="s">
        <v>2431</v>
      </c>
      <c r="BT1500" s="57"/>
      <c r="BU1500" s="35" t="s">
        <v>2424</v>
      </c>
    </row>
    <row r="1501" s="1" customFormat="1" customHeight="1" spans="1:73">
      <c r="A1501" s="15" t="s">
        <v>2427</v>
      </c>
      <c r="B1501" s="15">
        <v>305</v>
      </c>
      <c r="C1501" s="29">
        <v>163</v>
      </c>
      <c r="D1501" s="29"/>
      <c r="E1501" s="30"/>
      <c r="F1501" s="29"/>
      <c r="G1501" s="29"/>
      <c r="H1501" s="29"/>
      <c r="I1501" s="29">
        <v>9</v>
      </c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29"/>
      <c r="AB1501" s="29"/>
      <c r="AC1501" s="29"/>
      <c r="AD1501" s="29"/>
      <c r="AE1501" s="29"/>
      <c r="AF1501" s="29"/>
      <c r="AG1501" s="30"/>
      <c r="AH1501" s="29"/>
      <c r="AI1501" s="29"/>
      <c r="AJ1501" s="29"/>
      <c r="AK1501" s="30"/>
      <c r="AL1501" s="29"/>
      <c r="AM1501" s="29"/>
      <c r="AN1501" s="29"/>
      <c r="AO1501" s="29"/>
      <c r="AP1501" s="29"/>
      <c r="AQ1501" s="29"/>
      <c r="AR1501" s="29"/>
      <c r="AS1501" s="29"/>
      <c r="AT1501" s="29"/>
      <c r="AU1501" s="29"/>
      <c r="AV1501" s="29"/>
      <c r="AW1501" s="29"/>
      <c r="AX1501" s="29"/>
      <c r="AY1501" s="29"/>
      <c r="AZ1501" s="29"/>
      <c r="BA1501" s="29"/>
      <c r="BB1501" s="29"/>
      <c r="BC1501" s="29"/>
      <c r="BD1501" s="29"/>
      <c r="BE1501" s="29"/>
      <c r="BF1501" s="29"/>
      <c r="BG1501" s="29"/>
      <c r="BH1501" s="29"/>
      <c r="BI1501" s="29"/>
      <c r="BJ1501" s="29"/>
      <c r="BK1501" s="29"/>
      <c r="BL1501" s="29"/>
      <c r="BM1501" s="29"/>
      <c r="BN1501" s="20">
        <f t="shared" si="161"/>
        <v>0</v>
      </c>
      <c r="BO1501" s="20">
        <f t="shared" si="162"/>
        <v>9</v>
      </c>
      <c r="BP1501" s="20">
        <f t="shared" si="163"/>
        <v>154</v>
      </c>
      <c r="BQ1501" s="51">
        <f t="shared" si="166"/>
        <v>46.97</v>
      </c>
      <c r="BR1501" s="56" t="s">
        <v>854</v>
      </c>
      <c r="BS1501" s="33" t="s">
        <v>2432</v>
      </c>
      <c r="BT1501" s="57" t="s">
        <v>2429</v>
      </c>
      <c r="BU1501" s="35" t="s">
        <v>2424</v>
      </c>
    </row>
    <row r="1502" s="1" customFormat="1" customHeight="1" spans="1:73">
      <c r="A1502" s="15" t="s">
        <v>2427</v>
      </c>
      <c r="B1502" s="15">
        <v>340</v>
      </c>
      <c r="C1502" s="29">
        <v>46</v>
      </c>
      <c r="D1502" s="29"/>
      <c r="E1502" s="30"/>
      <c r="F1502" s="29"/>
      <c r="G1502" s="29"/>
      <c r="H1502" s="29"/>
      <c r="I1502" s="29">
        <v>23</v>
      </c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29"/>
      <c r="AB1502" s="29"/>
      <c r="AC1502" s="29"/>
      <c r="AD1502" s="29"/>
      <c r="AE1502" s="29"/>
      <c r="AF1502" s="29"/>
      <c r="AG1502" s="30"/>
      <c r="AH1502" s="29"/>
      <c r="AI1502" s="29"/>
      <c r="AJ1502" s="29"/>
      <c r="AK1502" s="30"/>
      <c r="AL1502" s="29"/>
      <c r="AM1502" s="29"/>
      <c r="AN1502" s="29"/>
      <c r="AO1502" s="29"/>
      <c r="AP1502" s="29"/>
      <c r="AQ1502" s="29"/>
      <c r="AR1502" s="29"/>
      <c r="AS1502" s="29"/>
      <c r="AT1502" s="29"/>
      <c r="AU1502" s="29"/>
      <c r="AV1502" s="29"/>
      <c r="AW1502" s="29"/>
      <c r="AX1502" s="29"/>
      <c r="AY1502" s="29"/>
      <c r="AZ1502" s="29"/>
      <c r="BA1502" s="29"/>
      <c r="BB1502" s="29"/>
      <c r="BC1502" s="29"/>
      <c r="BD1502" s="29"/>
      <c r="BE1502" s="29"/>
      <c r="BF1502" s="29"/>
      <c r="BG1502" s="29"/>
      <c r="BH1502" s="29"/>
      <c r="BI1502" s="29"/>
      <c r="BJ1502" s="29"/>
      <c r="BK1502" s="29"/>
      <c r="BL1502" s="29"/>
      <c r="BM1502" s="29"/>
      <c r="BN1502" s="20">
        <f t="shared" si="161"/>
        <v>0</v>
      </c>
      <c r="BO1502" s="20">
        <f t="shared" si="162"/>
        <v>23</v>
      </c>
      <c r="BP1502" s="20">
        <f t="shared" si="163"/>
        <v>23</v>
      </c>
      <c r="BQ1502" s="51">
        <f t="shared" si="166"/>
        <v>7.82</v>
      </c>
      <c r="BR1502" s="56" t="s">
        <v>1569</v>
      </c>
      <c r="BS1502" s="33" t="s">
        <v>2402</v>
      </c>
      <c r="BT1502" s="57"/>
      <c r="BU1502" s="35" t="s">
        <v>2424</v>
      </c>
    </row>
    <row r="1503" s="1" customFormat="1" customHeight="1" spans="1:73">
      <c r="A1503" s="15" t="s">
        <v>2427</v>
      </c>
      <c r="B1503" s="15">
        <v>375</v>
      </c>
      <c r="C1503" s="29">
        <v>3</v>
      </c>
      <c r="D1503" s="29"/>
      <c r="E1503" s="30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  <c r="AA1503" s="29"/>
      <c r="AB1503" s="29"/>
      <c r="AC1503" s="29"/>
      <c r="AD1503" s="29"/>
      <c r="AE1503" s="29"/>
      <c r="AF1503" s="29"/>
      <c r="AG1503" s="30"/>
      <c r="AH1503" s="29"/>
      <c r="AI1503" s="29"/>
      <c r="AJ1503" s="29"/>
      <c r="AK1503" s="30"/>
      <c r="AL1503" s="29"/>
      <c r="AM1503" s="29"/>
      <c r="AN1503" s="29"/>
      <c r="AO1503" s="29"/>
      <c r="AP1503" s="29"/>
      <c r="AQ1503" s="29"/>
      <c r="AR1503" s="29"/>
      <c r="AS1503" s="29"/>
      <c r="AT1503" s="29"/>
      <c r="AU1503" s="29"/>
      <c r="AV1503" s="29"/>
      <c r="AW1503" s="29"/>
      <c r="AX1503" s="29"/>
      <c r="AY1503" s="29"/>
      <c r="AZ1503" s="29"/>
      <c r="BA1503" s="29"/>
      <c r="BB1503" s="29"/>
      <c r="BC1503" s="29"/>
      <c r="BD1503" s="29"/>
      <c r="BE1503" s="29"/>
      <c r="BF1503" s="29"/>
      <c r="BG1503" s="29"/>
      <c r="BH1503" s="29"/>
      <c r="BI1503" s="29"/>
      <c r="BJ1503" s="29"/>
      <c r="BK1503" s="29"/>
      <c r="BL1503" s="29"/>
      <c r="BM1503" s="29"/>
      <c r="BN1503" s="20">
        <f t="shared" si="161"/>
        <v>0</v>
      </c>
      <c r="BO1503" s="20">
        <f t="shared" si="162"/>
        <v>0</v>
      </c>
      <c r="BP1503" s="20">
        <f t="shared" si="163"/>
        <v>3</v>
      </c>
      <c r="BQ1503" s="51">
        <f t="shared" si="166"/>
        <v>1.125</v>
      </c>
      <c r="BR1503" s="56" t="s">
        <v>919</v>
      </c>
      <c r="BS1503" s="33" t="s">
        <v>2428</v>
      </c>
      <c r="BT1503" s="57"/>
      <c r="BU1503" s="35" t="s">
        <v>2424</v>
      </c>
    </row>
    <row r="1504" s="1" customFormat="1" customHeight="1" spans="1:73">
      <c r="A1504" s="37" t="s">
        <v>2433</v>
      </c>
      <c r="B1504" s="15" t="s">
        <v>2434</v>
      </c>
      <c r="C1504" s="29">
        <v>47</v>
      </c>
      <c r="D1504" s="29"/>
      <c r="E1504" s="30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  <c r="AA1504" s="29"/>
      <c r="AB1504" s="29"/>
      <c r="AC1504" s="29"/>
      <c r="AD1504" s="29"/>
      <c r="AE1504" s="29"/>
      <c r="AF1504" s="29"/>
      <c r="AG1504" s="30"/>
      <c r="AH1504" s="29"/>
      <c r="AI1504" s="29"/>
      <c r="AJ1504" s="29"/>
      <c r="AK1504" s="30"/>
      <c r="AL1504" s="29"/>
      <c r="AM1504" s="29"/>
      <c r="AN1504" s="29"/>
      <c r="AO1504" s="29"/>
      <c r="AP1504" s="29"/>
      <c r="AQ1504" s="29"/>
      <c r="AR1504" s="29"/>
      <c r="AS1504" s="29"/>
      <c r="AT1504" s="29"/>
      <c r="AU1504" s="29"/>
      <c r="AV1504" s="29"/>
      <c r="AW1504" s="29"/>
      <c r="AX1504" s="29"/>
      <c r="AY1504" s="29"/>
      <c r="AZ1504" s="29"/>
      <c r="BA1504" s="29"/>
      <c r="BB1504" s="29"/>
      <c r="BC1504" s="29"/>
      <c r="BD1504" s="29"/>
      <c r="BE1504" s="29"/>
      <c r="BF1504" s="29"/>
      <c r="BG1504" s="29"/>
      <c r="BH1504" s="29"/>
      <c r="BI1504" s="29"/>
      <c r="BJ1504" s="29"/>
      <c r="BK1504" s="29"/>
      <c r="BL1504" s="29"/>
      <c r="BM1504" s="29"/>
      <c r="BN1504" s="20">
        <f t="shared" si="161"/>
        <v>0</v>
      </c>
      <c r="BO1504" s="20">
        <f t="shared" si="162"/>
        <v>0</v>
      </c>
      <c r="BP1504" s="20">
        <f t="shared" si="163"/>
        <v>47</v>
      </c>
      <c r="BQ1504" s="51">
        <f>0.281*0.19*BP1504</f>
        <v>2.50933</v>
      </c>
      <c r="BR1504" s="56" t="s">
        <v>2435</v>
      </c>
      <c r="BS1504" s="33" t="s">
        <v>2436</v>
      </c>
      <c r="BT1504" s="57"/>
      <c r="BU1504" s="35" t="s">
        <v>2424</v>
      </c>
    </row>
    <row r="1505" s="4" customFormat="1" customHeight="1" spans="1:74">
      <c r="A1505" s="37" t="s">
        <v>2437</v>
      </c>
      <c r="B1505" s="52" t="s">
        <v>2438</v>
      </c>
      <c r="C1505" s="82">
        <v>1380</v>
      </c>
      <c r="D1505" s="82"/>
      <c r="E1505" s="82"/>
      <c r="F1505" s="82"/>
      <c r="G1505" s="82"/>
      <c r="H1505" s="82"/>
      <c r="I1505" s="82"/>
      <c r="J1505" s="82"/>
      <c r="K1505" s="82"/>
      <c r="L1505" s="82"/>
      <c r="M1505" s="82"/>
      <c r="N1505" s="82"/>
      <c r="O1505" s="82"/>
      <c r="P1505" s="29"/>
      <c r="Q1505" s="82"/>
      <c r="R1505" s="82"/>
      <c r="S1505" s="82"/>
      <c r="T1505" s="82"/>
      <c r="U1505" s="29"/>
      <c r="V1505" s="82"/>
      <c r="W1505" s="29"/>
      <c r="X1505" s="82"/>
      <c r="Y1505" s="82"/>
      <c r="Z1505" s="82"/>
      <c r="AA1505" s="82"/>
      <c r="AB1505" s="82"/>
      <c r="AC1505" s="82"/>
      <c r="AD1505" s="82"/>
      <c r="AE1505" s="82"/>
      <c r="AF1505" s="82"/>
      <c r="AG1505" s="82"/>
      <c r="AH1505" s="82"/>
      <c r="AI1505" s="82"/>
      <c r="AJ1505" s="82"/>
      <c r="AK1505" s="82"/>
      <c r="AL1505" s="82"/>
      <c r="AM1505" s="82"/>
      <c r="AN1505" s="82"/>
      <c r="AO1505" s="82"/>
      <c r="AP1505" s="82"/>
      <c r="AQ1505" s="82"/>
      <c r="AR1505" s="82"/>
      <c r="AS1505" s="82"/>
      <c r="AT1505" s="82"/>
      <c r="AU1505" s="82"/>
      <c r="AV1505" s="82"/>
      <c r="AW1505" s="82"/>
      <c r="AX1505" s="82"/>
      <c r="AY1505" s="82"/>
      <c r="AZ1505" s="82"/>
      <c r="BA1505" s="82"/>
      <c r="BB1505" s="82"/>
      <c r="BC1505" s="82"/>
      <c r="BD1505" s="82"/>
      <c r="BE1505" s="82"/>
      <c r="BF1505" s="82"/>
      <c r="BG1505" s="82"/>
      <c r="BH1505" s="82"/>
      <c r="BI1505" s="82"/>
      <c r="BJ1505" s="82"/>
      <c r="BK1505" s="82"/>
      <c r="BL1505" s="82"/>
      <c r="BM1505" s="82"/>
      <c r="BN1505" s="20">
        <f t="shared" si="161"/>
        <v>0</v>
      </c>
      <c r="BO1505" s="20">
        <f t="shared" si="162"/>
        <v>0</v>
      </c>
      <c r="BP1505" s="20">
        <f t="shared" si="163"/>
        <v>1380</v>
      </c>
      <c r="BQ1505" s="51">
        <f>0.38*0.315*BP1505</f>
        <v>165.186</v>
      </c>
      <c r="BR1505" s="51" t="s">
        <v>2439</v>
      </c>
      <c r="BS1505" s="197" t="s">
        <v>2440</v>
      </c>
      <c r="BT1505" s="61" t="s">
        <v>2441</v>
      </c>
      <c r="BU1505" s="64" t="s">
        <v>2442</v>
      </c>
      <c r="BV1505" s="1" t="s">
        <v>2443</v>
      </c>
    </row>
    <row r="1506" s="4" customFormat="1" customHeight="1" spans="1:74">
      <c r="A1506" s="198" t="s">
        <v>2437</v>
      </c>
      <c r="B1506" s="52">
        <v>275</v>
      </c>
      <c r="C1506" s="82">
        <v>98</v>
      </c>
      <c r="D1506" s="82"/>
      <c r="E1506" s="82"/>
      <c r="F1506" s="82"/>
      <c r="G1506" s="82"/>
      <c r="H1506" s="82"/>
      <c r="I1506" s="82"/>
      <c r="J1506" s="82"/>
      <c r="K1506" s="82"/>
      <c r="L1506" s="82"/>
      <c r="M1506" s="82"/>
      <c r="N1506" s="82"/>
      <c r="O1506" s="82"/>
      <c r="P1506" s="82"/>
      <c r="Q1506" s="82"/>
      <c r="R1506" s="82"/>
      <c r="S1506" s="82"/>
      <c r="T1506" s="82"/>
      <c r="U1506" s="82"/>
      <c r="V1506" s="82"/>
      <c r="W1506" s="82"/>
      <c r="X1506" s="82"/>
      <c r="Y1506" s="82"/>
      <c r="Z1506" s="82"/>
      <c r="AA1506" s="82"/>
      <c r="AB1506" s="82"/>
      <c r="AC1506" s="82"/>
      <c r="AD1506" s="82"/>
      <c r="AE1506" s="82"/>
      <c r="AF1506" s="82"/>
      <c r="AG1506" s="82"/>
      <c r="AH1506" s="82"/>
      <c r="AI1506" s="82"/>
      <c r="AJ1506" s="82"/>
      <c r="AK1506" s="82"/>
      <c r="AL1506" s="82"/>
      <c r="AM1506" s="82"/>
      <c r="AN1506" s="82"/>
      <c r="AO1506" s="82"/>
      <c r="AP1506" s="82"/>
      <c r="AQ1506" s="82"/>
      <c r="AR1506" s="82"/>
      <c r="AS1506" s="82"/>
      <c r="AT1506" s="82"/>
      <c r="AU1506" s="82"/>
      <c r="AV1506" s="82"/>
      <c r="AW1506" s="82"/>
      <c r="AX1506" s="82"/>
      <c r="AY1506" s="82"/>
      <c r="AZ1506" s="82"/>
      <c r="BA1506" s="82"/>
      <c r="BB1506" s="82"/>
      <c r="BC1506" s="82"/>
      <c r="BD1506" s="82"/>
      <c r="BE1506" s="82"/>
      <c r="BF1506" s="82"/>
      <c r="BG1506" s="82"/>
      <c r="BH1506" s="82"/>
      <c r="BI1506" s="82"/>
      <c r="BJ1506" s="82"/>
      <c r="BK1506" s="82"/>
      <c r="BL1506" s="82"/>
      <c r="BM1506" s="82"/>
      <c r="BN1506" s="20">
        <f t="shared" si="161"/>
        <v>0</v>
      </c>
      <c r="BO1506" s="20">
        <f t="shared" si="162"/>
        <v>0</v>
      </c>
      <c r="BP1506" s="20">
        <f t="shared" si="163"/>
        <v>98</v>
      </c>
      <c r="BQ1506" s="51">
        <f t="shared" ref="BQ1506:BQ1510" si="167">B1506*BP1506/1000</f>
        <v>26.95</v>
      </c>
      <c r="BR1506" s="51" t="s">
        <v>833</v>
      </c>
      <c r="BS1506" s="197" t="s">
        <v>2444</v>
      </c>
      <c r="BT1506" s="63" t="s">
        <v>2445</v>
      </c>
      <c r="BU1506" s="64" t="s">
        <v>2442</v>
      </c>
      <c r="BV1506" s="1" t="s">
        <v>2443</v>
      </c>
    </row>
    <row r="1507" s="4" customFormat="1" customHeight="1" spans="1:74">
      <c r="A1507" s="198" t="s">
        <v>2437</v>
      </c>
      <c r="B1507" s="52">
        <v>335</v>
      </c>
      <c r="C1507" s="82">
        <v>79</v>
      </c>
      <c r="D1507" s="82"/>
      <c r="E1507" s="82"/>
      <c r="F1507" s="82"/>
      <c r="G1507" s="82"/>
      <c r="H1507" s="82"/>
      <c r="I1507" s="82"/>
      <c r="J1507" s="82"/>
      <c r="K1507" s="82"/>
      <c r="L1507" s="82"/>
      <c r="M1507" s="82"/>
      <c r="N1507" s="82"/>
      <c r="O1507" s="82"/>
      <c r="P1507" s="82"/>
      <c r="Q1507" s="82"/>
      <c r="R1507" s="82"/>
      <c r="S1507" s="82"/>
      <c r="T1507" s="82"/>
      <c r="U1507" s="82"/>
      <c r="V1507" s="82"/>
      <c r="W1507" s="82"/>
      <c r="X1507" s="82"/>
      <c r="Y1507" s="82"/>
      <c r="Z1507" s="82"/>
      <c r="AA1507" s="82"/>
      <c r="AB1507" s="82"/>
      <c r="AC1507" s="82"/>
      <c r="AD1507" s="82"/>
      <c r="AE1507" s="82"/>
      <c r="AF1507" s="82"/>
      <c r="AG1507" s="82"/>
      <c r="AH1507" s="82"/>
      <c r="AI1507" s="82"/>
      <c r="AJ1507" s="82"/>
      <c r="AK1507" s="82"/>
      <c r="AL1507" s="82"/>
      <c r="AM1507" s="82"/>
      <c r="AN1507" s="82"/>
      <c r="AO1507" s="82"/>
      <c r="AP1507" s="82"/>
      <c r="AQ1507" s="82"/>
      <c r="AR1507" s="82"/>
      <c r="AS1507" s="82"/>
      <c r="AT1507" s="82"/>
      <c r="AU1507" s="82"/>
      <c r="AV1507" s="82"/>
      <c r="AW1507" s="82"/>
      <c r="AX1507" s="82"/>
      <c r="AY1507" s="29"/>
      <c r="AZ1507" s="82"/>
      <c r="BA1507" s="82"/>
      <c r="BB1507" s="82"/>
      <c r="BC1507" s="82"/>
      <c r="BD1507" s="82"/>
      <c r="BE1507" s="82"/>
      <c r="BF1507" s="82"/>
      <c r="BG1507" s="82"/>
      <c r="BH1507" s="82"/>
      <c r="BI1507" s="82"/>
      <c r="BJ1507" s="82"/>
      <c r="BK1507" s="82"/>
      <c r="BL1507" s="82"/>
      <c r="BM1507" s="82"/>
      <c r="BN1507" s="20">
        <f t="shared" si="161"/>
        <v>0</v>
      </c>
      <c r="BO1507" s="20">
        <f t="shared" si="162"/>
        <v>0</v>
      </c>
      <c r="BP1507" s="20">
        <f t="shared" si="163"/>
        <v>79</v>
      </c>
      <c r="BQ1507" s="51">
        <f t="shared" si="167"/>
        <v>26.465</v>
      </c>
      <c r="BR1507" s="51" t="s">
        <v>833</v>
      </c>
      <c r="BS1507" s="197" t="s">
        <v>2444</v>
      </c>
      <c r="BT1507" s="63" t="s">
        <v>2445</v>
      </c>
      <c r="BU1507" s="64" t="s">
        <v>2442</v>
      </c>
      <c r="BV1507" s="1" t="s">
        <v>2443</v>
      </c>
    </row>
    <row r="1508" s="4" customFormat="1" customHeight="1" spans="1:74">
      <c r="A1508" s="37" t="s">
        <v>2446</v>
      </c>
      <c r="B1508" s="15">
        <v>305</v>
      </c>
      <c r="C1508" s="29">
        <v>240</v>
      </c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  <c r="AA1508" s="82"/>
      <c r="AB1508" s="82"/>
      <c r="AC1508" s="82"/>
      <c r="AD1508" s="82"/>
      <c r="AE1508" s="82"/>
      <c r="AF1508" s="82"/>
      <c r="AG1508" s="82"/>
      <c r="AH1508" s="82"/>
      <c r="AI1508" s="82"/>
      <c r="AJ1508" s="82"/>
      <c r="AK1508" s="82"/>
      <c r="AL1508" s="82"/>
      <c r="AM1508" s="82"/>
      <c r="AN1508" s="82"/>
      <c r="AO1508" s="82"/>
      <c r="AP1508" s="82"/>
      <c r="AQ1508" s="82"/>
      <c r="AR1508" s="82"/>
      <c r="AS1508" s="82"/>
      <c r="AT1508" s="82"/>
      <c r="AU1508" s="82"/>
      <c r="AV1508" s="82"/>
      <c r="AW1508" s="82"/>
      <c r="AX1508" s="82"/>
      <c r="AY1508" s="82"/>
      <c r="AZ1508" s="82"/>
      <c r="BA1508" s="82"/>
      <c r="BB1508" s="82"/>
      <c r="BC1508" s="82"/>
      <c r="BD1508" s="82"/>
      <c r="BE1508" s="82"/>
      <c r="BF1508" s="82"/>
      <c r="BG1508" s="82"/>
      <c r="BH1508" s="82"/>
      <c r="BI1508" s="82"/>
      <c r="BJ1508" s="82"/>
      <c r="BK1508" s="82"/>
      <c r="BL1508" s="82"/>
      <c r="BM1508" s="82"/>
      <c r="BN1508" s="20">
        <f t="shared" si="161"/>
        <v>0</v>
      </c>
      <c r="BO1508" s="20">
        <f t="shared" si="162"/>
        <v>0</v>
      </c>
      <c r="BP1508" s="20">
        <f t="shared" si="163"/>
        <v>240</v>
      </c>
      <c r="BQ1508" s="51">
        <f t="shared" si="167"/>
        <v>73.2</v>
      </c>
      <c r="BR1508" s="175" t="s">
        <v>815</v>
      </c>
      <c r="BS1508" s="33" t="s">
        <v>2447</v>
      </c>
      <c r="BT1508" s="61" t="s">
        <v>2448</v>
      </c>
      <c r="BU1508" s="64" t="s">
        <v>2442</v>
      </c>
      <c r="BV1508" s="1"/>
    </row>
    <row r="1509" s="4" customFormat="1" customHeight="1" spans="1:74">
      <c r="A1509" s="37" t="s">
        <v>2446</v>
      </c>
      <c r="B1509" s="15">
        <v>260</v>
      </c>
      <c r="C1509" s="29">
        <v>92</v>
      </c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  <c r="AA1509" s="82"/>
      <c r="AB1509" s="82"/>
      <c r="AC1509" s="29"/>
      <c r="AD1509" s="82"/>
      <c r="AE1509" s="82"/>
      <c r="AF1509" s="82"/>
      <c r="AG1509" s="29"/>
      <c r="AH1509" s="82"/>
      <c r="AI1509" s="82"/>
      <c r="AJ1509" s="82"/>
      <c r="AK1509" s="82"/>
      <c r="AL1509" s="82"/>
      <c r="AM1509" s="82"/>
      <c r="AN1509" s="82"/>
      <c r="AO1509" s="82"/>
      <c r="AP1509" s="82"/>
      <c r="AQ1509" s="82"/>
      <c r="AR1509" s="82"/>
      <c r="AS1509" s="82"/>
      <c r="AT1509" s="82"/>
      <c r="AU1509" s="82"/>
      <c r="AV1509" s="82"/>
      <c r="AW1509" s="82"/>
      <c r="AX1509" s="82"/>
      <c r="AY1509" s="82"/>
      <c r="AZ1509" s="82"/>
      <c r="BA1509" s="82"/>
      <c r="BB1509" s="82"/>
      <c r="BC1509" s="82"/>
      <c r="BD1509" s="82"/>
      <c r="BE1509" s="82"/>
      <c r="BF1509" s="82"/>
      <c r="BG1509" s="82"/>
      <c r="BH1509" s="82"/>
      <c r="BI1509" s="82"/>
      <c r="BJ1509" s="82"/>
      <c r="BK1509" s="82"/>
      <c r="BL1509" s="82"/>
      <c r="BM1509" s="82"/>
      <c r="BN1509" s="20">
        <f t="shared" si="161"/>
        <v>0</v>
      </c>
      <c r="BO1509" s="20">
        <f t="shared" si="162"/>
        <v>0</v>
      </c>
      <c r="BP1509" s="20">
        <f t="shared" si="163"/>
        <v>92</v>
      </c>
      <c r="BQ1509" s="51">
        <f t="shared" si="167"/>
        <v>23.92</v>
      </c>
      <c r="BR1509" s="175" t="s">
        <v>815</v>
      </c>
      <c r="BS1509" s="33" t="s">
        <v>2447</v>
      </c>
      <c r="BT1509" s="61" t="s">
        <v>2448</v>
      </c>
      <c r="BU1509" s="64" t="s">
        <v>2442</v>
      </c>
      <c r="BV1509" s="1"/>
    </row>
    <row r="1510" s="4" customFormat="1" customHeight="1" spans="1:74">
      <c r="A1510" s="37" t="s">
        <v>2446</v>
      </c>
      <c r="B1510" s="15">
        <v>370</v>
      </c>
      <c r="C1510" s="29">
        <v>150</v>
      </c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82"/>
      <c r="AB1510" s="82"/>
      <c r="AC1510" s="82"/>
      <c r="AD1510" s="82"/>
      <c r="AE1510" s="82"/>
      <c r="AF1510" s="82"/>
      <c r="AG1510" s="82"/>
      <c r="AH1510" s="82"/>
      <c r="AI1510" s="82"/>
      <c r="AJ1510" s="82"/>
      <c r="AK1510" s="82"/>
      <c r="AL1510" s="82"/>
      <c r="AM1510" s="82"/>
      <c r="AN1510" s="82"/>
      <c r="AO1510" s="82"/>
      <c r="AP1510" s="82"/>
      <c r="AQ1510" s="82"/>
      <c r="AR1510" s="82"/>
      <c r="AS1510" s="82"/>
      <c r="AT1510" s="82"/>
      <c r="AU1510" s="82"/>
      <c r="AV1510" s="82"/>
      <c r="AW1510" s="82"/>
      <c r="AX1510" s="82"/>
      <c r="AY1510" s="82"/>
      <c r="AZ1510" s="82"/>
      <c r="BA1510" s="82"/>
      <c r="BB1510" s="82"/>
      <c r="BC1510" s="82"/>
      <c r="BD1510" s="82"/>
      <c r="BE1510" s="82"/>
      <c r="BF1510" s="82"/>
      <c r="BG1510" s="82"/>
      <c r="BH1510" s="82"/>
      <c r="BI1510" s="82"/>
      <c r="BJ1510" s="82"/>
      <c r="BK1510" s="82"/>
      <c r="BL1510" s="82"/>
      <c r="BM1510" s="82"/>
      <c r="BN1510" s="20">
        <f t="shared" si="161"/>
        <v>0</v>
      </c>
      <c r="BO1510" s="20">
        <f t="shared" si="162"/>
        <v>0</v>
      </c>
      <c r="BP1510" s="20">
        <f t="shared" si="163"/>
        <v>150</v>
      </c>
      <c r="BQ1510" s="51">
        <f t="shared" si="167"/>
        <v>55.5</v>
      </c>
      <c r="BR1510" s="175" t="s">
        <v>815</v>
      </c>
      <c r="BS1510" s="33" t="s">
        <v>2447</v>
      </c>
      <c r="BT1510" s="61" t="s">
        <v>2448</v>
      </c>
      <c r="BU1510" s="64" t="s">
        <v>2442</v>
      </c>
      <c r="BV1510" s="1"/>
    </row>
    <row r="1511" s="1" customFormat="1" customHeight="1" spans="1:74">
      <c r="A1511" s="53" t="s">
        <v>2449</v>
      </c>
      <c r="B1511" s="15"/>
      <c r="C1511" s="29"/>
      <c r="D1511" s="29"/>
      <c r="E1511" s="30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  <c r="AA1511" s="29"/>
      <c r="AB1511" s="29"/>
      <c r="AC1511" s="29"/>
      <c r="AD1511" s="29"/>
      <c r="AE1511" s="29"/>
      <c r="AF1511" s="29"/>
      <c r="AG1511" s="30"/>
      <c r="AH1511" s="29"/>
      <c r="AI1511" s="29"/>
      <c r="AJ1511" s="29"/>
      <c r="AK1511" s="30"/>
      <c r="AL1511" s="29"/>
      <c r="AM1511" s="29"/>
      <c r="AN1511" s="29"/>
      <c r="AO1511" s="29"/>
      <c r="AP1511" s="29"/>
      <c r="AQ1511" s="29"/>
      <c r="AR1511" s="29"/>
      <c r="AS1511" s="29"/>
      <c r="AT1511" s="29"/>
      <c r="AU1511" s="29"/>
      <c r="AV1511" s="29"/>
      <c r="AW1511" s="29"/>
      <c r="AX1511" s="29"/>
      <c r="AY1511" s="29"/>
      <c r="AZ1511" s="29"/>
      <c r="BA1511" s="29"/>
      <c r="BB1511" s="29"/>
      <c r="BC1511" s="29"/>
      <c r="BD1511" s="29"/>
      <c r="BE1511" s="29"/>
      <c r="BF1511" s="29"/>
      <c r="BG1511" s="29"/>
      <c r="BH1511" s="29"/>
      <c r="BI1511" s="29"/>
      <c r="BJ1511" s="29"/>
      <c r="BK1511" s="29"/>
      <c r="BL1511" s="29"/>
      <c r="BM1511" s="29"/>
      <c r="BN1511" s="20">
        <f t="shared" si="161"/>
        <v>0</v>
      </c>
      <c r="BO1511" s="20">
        <f t="shared" si="162"/>
        <v>0</v>
      </c>
      <c r="BP1511" s="20">
        <f t="shared" si="163"/>
        <v>0</v>
      </c>
      <c r="BQ1511" s="55"/>
      <c r="BR1511" s="68"/>
      <c r="BS1511" s="33"/>
      <c r="BT1511" s="36"/>
      <c r="BU1511" s="44"/>
    </row>
    <row r="1512" s="1" customFormat="1" customHeight="1" spans="1:74">
      <c r="A1512" s="15" t="s">
        <v>2450</v>
      </c>
      <c r="B1512" s="15">
        <v>203</v>
      </c>
      <c r="C1512" s="29">
        <v>105</v>
      </c>
      <c r="D1512" s="29"/>
      <c r="E1512" s="30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  <c r="AA1512" s="29"/>
      <c r="AB1512" s="29"/>
      <c r="AC1512" s="29"/>
      <c r="AD1512" s="29"/>
      <c r="AE1512" s="29"/>
      <c r="AF1512" s="29"/>
      <c r="AG1512" s="30"/>
      <c r="AH1512" s="29"/>
      <c r="AI1512" s="29"/>
      <c r="AJ1512" s="29"/>
      <c r="AK1512" s="30"/>
      <c r="AL1512" s="29"/>
      <c r="AM1512" s="29"/>
      <c r="AN1512" s="29"/>
      <c r="AO1512" s="29"/>
      <c r="AP1512" s="29"/>
      <c r="AQ1512" s="29"/>
      <c r="AR1512" s="29"/>
      <c r="AS1512" s="29"/>
      <c r="AT1512" s="29"/>
      <c r="AU1512" s="29"/>
      <c r="AV1512" s="29"/>
      <c r="AW1512" s="29"/>
      <c r="AX1512" s="29"/>
      <c r="AY1512" s="29"/>
      <c r="AZ1512" s="29"/>
      <c r="BA1512" s="29"/>
      <c r="BB1512" s="29"/>
      <c r="BC1512" s="29"/>
      <c r="BD1512" s="29"/>
      <c r="BE1512" s="29"/>
      <c r="BF1512" s="29"/>
      <c r="BG1512" s="29"/>
      <c r="BH1512" s="29"/>
      <c r="BI1512" s="29"/>
      <c r="BJ1512" s="29"/>
      <c r="BK1512" s="29"/>
      <c r="BL1512" s="29"/>
      <c r="BM1512" s="29"/>
      <c r="BN1512" s="20">
        <f t="shared" si="161"/>
        <v>0</v>
      </c>
      <c r="BO1512" s="20">
        <f t="shared" si="162"/>
        <v>0</v>
      </c>
      <c r="BP1512" s="20">
        <f t="shared" si="163"/>
        <v>105</v>
      </c>
      <c r="BQ1512" s="51">
        <f t="shared" ref="BQ1512:BQ1515" si="168">B1512*BP1512/1000</f>
        <v>21.315</v>
      </c>
      <c r="BR1512" s="68" t="s">
        <v>919</v>
      </c>
      <c r="BS1512" s="33" t="s">
        <v>2428</v>
      </c>
      <c r="BT1512" s="36"/>
      <c r="BU1512" s="35" t="s">
        <v>2451</v>
      </c>
    </row>
    <row r="1513" s="1" customFormat="1" customHeight="1" spans="1:74">
      <c r="A1513" s="15" t="s">
        <v>2450</v>
      </c>
      <c r="B1513" s="15">
        <v>240</v>
      </c>
      <c r="C1513" s="16">
        <v>44</v>
      </c>
      <c r="D1513" s="29"/>
      <c r="E1513" s="30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  <c r="AA1513" s="29"/>
      <c r="AB1513" s="29"/>
      <c r="AC1513" s="29"/>
      <c r="AD1513" s="29"/>
      <c r="AE1513" s="29"/>
      <c r="AF1513" s="29"/>
      <c r="AG1513" s="30"/>
      <c r="AH1513" s="29"/>
      <c r="AI1513" s="29"/>
      <c r="AJ1513" s="29"/>
      <c r="AK1513" s="30"/>
      <c r="AL1513" s="29"/>
      <c r="AM1513" s="29"/>
      <c r="AN1513" s="29"/>
      <c r="AO1513" s="29"/>
      <c r="AP1513" s="29"/>
      <c r="AQ1513" s="29"/>
      <c r="AR1513" s="29"/>
      <c r="AS1513" s="29"/>
      <c r="AT1513" s="29"/>
      <c r="AU1513" s="29"/>
      <c r="AV1513" s="29"/>
      <c r="AW1513" s="29"/>
      <c r="AX1513" s="29"/>
      <c r="AY1513" s="29"/>
      <c r="AZ1513" s="29"/>
      <c r="BA1513" s="29"/>
      <c r="BB1513" s="29"/>
      <c r="BC1513" s="29"/>
      <c r="BD1513" s="29"/>
      <c r="BE1513" s="29"/>
      <c r="BF1513" s="29"/>
      <c r="BG1513" s="29"/>
      <c r="BH1513" s="29"/>
      <c r="BI1513" s="29"/>
      <c r="BJ1513" s="29"/>
      <c r="BK1513" s="29"/>
      <c r="BL1513" s="29"/>
      <c r="BM1513" s="29"/>
      <c r="BN1513" s="20">
        <f t="shared" ref="BN1513:BN1576" si="169">D1513+F1513+H1513+J1513+L1513+N1513+P1513+R1513+T1513+V1513+X1513+Z1513+AB1513+AD1513+AF1513+AH1513+AJ1513+AL1513+AN1513+AP1513+AR1513+AT1513+AV1513+AX1513+AZ1513+BB1513+BD1513+BF1513+BH1513+BJ1513+BL1513</f>
        <v>0</v>
      </c>
      <c r="BO1513" s="20">
        <f t="shared" ref="BO1513:BO1576" si="170">E1513+G1513+I1513+K1513+M1513+O1513+Q1513+S1513+U1513+W1513+Y1513+AA1513+AC1513+AE1513+AG1513+AI1513+AK1513+AM1513+AO1513+AQ1513+AS1513+AU1513+AW1513+AY1513+BA1513+BC1513+BE1513+BG1513+BI1513+BK1513+BM1513</f>
        <v>0</v>
      </c>
      <c r="BP1513" s="20">
        <f t="shared" ref="BP1513:BP1576" si="171">C1513+BN1513-BO1513</f>
        <v>44</v>
      </c>
      <c r="BQ1513" s="51">
        <f t="shared" si="168"/>
        <v>10.56</v>
      </c>
      <c r="BR1513" s="56" t="s">
        <v>1569</v>
      </c>
      <c r="BS1513" s="33" t="s">
        <v>2402</v>
      </c>
      <c r="BT1513" s="36"/>
      <c r="BU1513" s="35" t="s">
        <v>2451</v>
      </c>
    </row>
    <row r="1514" s="1" customFormat="1" customHeight="1" spans="1:74">
      <c r="A1514" s="15" t="s">
        <v>2450</v>
      </c>
      <c r="B1514" s="15">
        <v>301</v>
      </c>
      <c r="C1514" s="16">
        <v>77</v>
      </c>
      <c r="D1514" s="29"/>
      <c r="E1514" s="30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  <c r="AA1514" s="29"/>
      <c r="AB1514" s="29"/>
      <c r="AC1514" s="29"/>
      <c r="AD1514" s="29"/>
      <c r="AE1514" s="29"/>
      <c r="AF1514" s="29"/>
      <c r="AG1514" s="30"/>
      <c r="AH1514" s="29"/>
      <c r="AI1514" s="29"/>
      <c r="AJ1514" s="29"/>
      <c r="AK1514" s="30"/>
      <c r="AL1514" s="29"/>
      <c r="AM1514" s="29"/>
      <c r="AN1514" s="29"/>
      <c r="AO1514" s="29"/>
      <c r="AP1514" s="29"/>
      <c r="AQ1514" s="29"/>
      <c r="AR1514" s="29"/>
      <c r="AS1514" s="29"/>
      <c r="AT1514" s="29"/>
      <c r="AU1514" s="29"/>
      <c r="AV1514" s="29"/>
      <c r="AW1514" s="29"/>
      <c r="AX1514" s="29"/>
      <c r="AY1514" s="29"/>
      <c r="AZ1514" s="29"/>
      <c r="BA1514" s="29"/>
      <c r="BB1514" s="29"/>
      <c r="BC1514" s="29"/>
      <c r="BD1514" s="29"/>
      <c r="BE1514" s="29"/>
      <c r="BF1514" s="29"/>
      <c r="BG1514" s="29"/>
      <c r="BH1514" s="29"/>
      <c r="BI1514" s="29"/>
      <c r="BJ1514" s="29"/>
      <c r="BK1514" s="29"/>
      <c r="BL1514" s="29"/>
      <c r="BM1514" s="29"/>
      <c r="BN1514" s="20">
        <f t="shared" si="169"/>
        <v>0</v>
      </c>
      <c r="BO1514" s="20">
        <f t="shared" si="170"/>
        <v>0</v>
      </c>
      <c r="BP1514" s="20">
        <f t="shared" si="171"/>
        <v>77</v>
      </c>
      <c r="BQ1514" s="51">
        <f t="shared" si="168"/>
        <v>23.177</v>
      </c>
      <c r="BR1514" s="68" t="s">
        <v>184</v>
      </c>
      <c r="BS1514" s="33" t="s">
        <v>185</v>
      </c>
      <c r="BT1514" s="36"/>
      <c r="BU1514" s="35" t="s">
        <v>2451</v>
      </c>
    </row>
    <row r="1515" s="1" customFormat="1" customHeight="1" spans="1:74">
      <c r="A1515" s="15" t="s">
        <v>2450</v>
      </c>
      <c r="B1515" s="15">
        <v>305</v>
      </c>
      <c r="C1515" s="16">
        <v>36</v>
      </c>
      <c r="D1515" s="29"/>
      <c r="E1515" s="30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  <c r="AA1515" s="29"/>
      <c r="AB1515" s="29"/>
      <c r="AC1515" s="29"/>
      <c r="AD1515" s="29"/>
      <c r="AE1515" s="29"/>
      <c r="AF1515" s="29"/>
      <c r="AG1515" s="30"/>
      <c r="AH1515" s="29"/>
      <c r="AI1515" s="29"/>
      <c r="AJ1515" s="29"/>
      <c r="AK1515" s="30"/>
      <c r="AL1515" s="29"/>
      <c r="AM1515" s="29"/>
      <c r="AN1515" s="29"/>
      <c r="AO1515" s="29"/>
      <c r="AP1515" s="29"/>
      <c r="AQ1515" s="29"/>
      <c r="AR1515" s="29"/>
      <c r="AS1515" s="29"/>
      <c r="AT1515" s="29"/>
      <c r="AU1515" s="29"/>
      <c r="AV1515" s="29"/>
      <c r="AW1515" s="29"/>
      <c r="AX1515" s="29"/>
      <c r="AY1515" s="29"/>
      <c r="AZ1515" s="29"/>
      <c r="BA1515" s="29"/>
      <c r="BB1515" s="29"/>
      <c r="BC1515" s="29"/>
      <c r="BD1515" s="29"/>
      <c r="BE1515" s="29"/>
      <c r="BF1515" s="29"/>
      <c r="BG1515" s="29"/>
      <c r="BH1515" s="29"/>
      <c r="BI1515" s="29"/>
      <c r="BJ1515" s="29"/>
      <c r="BK1515" s="29"/>
      <c r="BL1515" s="29"/>
      <c r="BM1515" s="29"/>
      <c r="BN1515" s="20">
        <f t="shared" si="169"/>
        <v>0</v>
      </c>
      <c r="BO1515" s="20">
        <f t="shared" si="170"/>
        <v>0</v>
      </c>
      <c r="BP1515" s="20">
        <f t="shared" si="171"/>
        <v>36</v>
      </c>
      <c r="BQ1515" s="51">
        <f t="shared" si="168"/>
        <v>10.98</v>
      </c>
      <c r="BR1515" s="56" t="s">
        <v>1438</v>
      </c>
      <c r="BS1515" s="33" t="s">
        <v>310</v>
      </c>
      <c r="BT1515" s="36"/>
      <c r="BU1515" s="35" t="s">
        <v>2451</v>
      </c>
    </row>
    <row r="1516" s="1" customFormat="1" customHeight="1" spans="1:74">
      <c r="A1516" s="53" t="s">
        <v>2452</v>
      </c>
      <c r="B1516" s="15"/>
      <c r="C1516" s="16"/>
      <c r="D1516" s="29"/>
      <c r="E1516" s="30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  <c r="AA1516" s="29"/>
      <c r="AB1516" s="29"/>
      <c r="AC1516" s="29"/>
      <c r="AD1516" s="29"/>
      <c r="AE1516" s="29"/>
      <c r="AF1516" s="29"/>
      <c r="AG1516" s="30"/>
      <c r="AH1516" s="29"/>
      <c r="AI1516" s="29"/>
      <c r="AJ1516" s="29"/>
      <c r="AK1516" s="30"/>
      <c r="AL1516" s="29"/>
      <c r="AM1516" s="29"/>
      <c r="AN1516" s="29"/>
      <c r="AO1516" s="29"/>
      <c r="AP1516" s="29"/>
      <c r="AQ1516" s="29"/>
      <c r="AR1516" s="29"/>
      <c r="AS1516" s="29"/>
      <c r="AT1516" s="29"/>
      <c r="AU1516" s="29"/>
      <c r="AV1516" s="29"/>
      <c r="AW1516" s="29"/>
      <c r="AX1516" s="29"/>
      <c r="AY1516" s="29"/>
      <c r="AZ1516" s="29"/>
      <c r="BA1516" s="29"/>
      <c r="BB1516" s="29"/>
      <c r="BC1516" s="29"/>
      <c r="BD1516" s="29"/>
      <c r="BE1516" s="29"/>
      <c r="BF1516" s="29"/>
      <c r="BG1516" s="29"/>
      <c r="BH1516" s="29"/>
      <c r="BI1516" s="29"/>
      <c r="BJ1516" s="29"/>
      <c r="BK1516" s="29"/>
      <c r="BL1516" s="29"/>
      <c r="BM1516" s="29"/>
      <c r="BN1516" s="20">
        <f t="shared" si="169"/>
        <v>0</v>
      </c>
      <c r="BO1516" s="20">
        <f t="shared" si="170"/>
        <v>0</v>
      </c>
      <c r="BP1516" s="20">
        <f t="shared" si="171"/>
        <v>0</v>
      </c>
      <c r="BQ1516" s="51"/>
      <c r="BR1516" s="56"/>
      <c r="BS1516" s="33"/>
      <c r="BT1516" s="199"/>
      <c r="BU1516" s="112"/>
    </row>
    <row r="1517" s="1" customFormat="1" customHeight="1" spans="1:74">
      <c r="A1517" s="28" t="s">
        <v>2453</v>
      </c>
      <c r="B1517" s="15">
        <v>290</v>
      </c>
      <c r="C1517" s="16">
        <v>44</v>
      </c>
      <c r="D1517" s="29"/>
      <c r="E1517" s="30"/>
      <c r="F1517" s="29"/>
      <c r="G1517" s="29"/>
      <c r="H1517" s="29"/>
      <c r="I1517" s="29">
        <v>1</v>
      </c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  <c r="AA1517" s="29"/>
      <c r="AB1517" s="29"/>
      <c r="AC1517" s="29"/>
      <c r="AD1517" s="29"/>
      <c r="AE1517" s="29"/>
      <c r="AF1517" s="29"/>
      <c r="AG1517" s="30"/>
      <c r="AH1517" s="29"/>
      <c r="AI1517" s="29"/>
      <c r="AJ1517" s="29"/>
      <c r="AK1517" s="30"/>
      <c r="AL1517" s="29"/>
      <c r="AM1517" s="29"/>
      <c r="AN1517" s="29"/>
      <c r="AO1517" s="29"/>
      <c r="AP1517" s="29"/>
      <c r="AQ1517" s="29"/>
      <c r="AR1517" s="29"/>
      <c r="AS1517" s="29"/>
      <c r="AT1517" s="29"/>
      <c r="AU1517" s="29"/>
      <c r="AV1517" s="29"/>
      <c r="AW1517" s="29"/>
      <c r="AX1517" s="29"/>
      <c r="AY1517" s="29"/>
      <c r="AZ1517" s="29"/>
      <c r="BA1517" s="29"/>
      <c r="BB1517" s="29"/>
      <c r="BC1517" s="29"/>
      <c r="BD1517" s="29"/>
      <c r="BE1517" s="29"/>
      <c r="BF1517" s="29"/>
      <c r="BG1517" s="29"/>
      <c r="BH1517" s="29"/>
      <c r="BI1517" s="29"/>
      <c r="BJ1517" s="29"/>
      <c r="BK1517" s="29"/>
      <c r="BL1517" s="29"/>
      <c r="BM1517" s="29"/>
      <c r="BN1517" s="20">
        <f t="shared" si="169"/>
        <v>0</v>
      </c>
      <c r="BO1517" s="20">
        <f t="shared" si="170"/>
        <v>1</v>
      </c>
      <c r="BP1517" s="20">
        <f t="shared" si="171"/>
        <v>43</v>
      </c>
      <c r="BQ1517" s="51">
        <f>B1517*BP1517/1000</f>
        <v>12.47</v>
      </c>
      <c r="BR1517" s="56" t="s">
        <v>1216</v>
      </c>
      <c r="BS1517" s="33" t="s">
        <v>2454</v>
      </c>
      <c r="BT1517" s="199"/>
      <c r="BU1517" s="35" t="s">
        <v>964</v>
      </c>
    </row>
    <row r="1518" s="1" customFormat="1" customHeight="1" spans="1:74">
      <c r="A1518" s="28" t="s">
        <v>2453</v>
      </c>
      <c r="B1518" s="15">
        <v>320</v>
      </c>
      <c r="C1518" s="16">
        <v>17</v>
      </c>
      <c r="D1518" s="29"/>
      <c r="E1518" s="30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  <c r="AA1518" s="29"/>
      <c r="AB1518" s="29"/>
      <c r="AC1518" s="29"/>
      <c r="AD1518" s="29"/>
      <c r="AE1518" s="29"/>
      <c r="AF1518" s="29"/>
      <c r="AG1518" s="30"/>
      <c r="AH1518" s="29"/>
      <c r="AI1518" s="29"/>
      <c r="AJ1518" s="29"/>
      <c r="AK1518" s="30"/>
      <c r="AL1518" s="29"/>
      <c r="AM1518" s="29"/>
      <c r="AN1518" s="29"/>
      <c r="AO1518" s="29"/>
      <c r="AP1518" s="29"/>
      <c r="AQ1518" s="29"/>
      <c r="AR1518" s="29"/>
      <c r="AS1518" s="29"/>
      <c r="AT1518" s="29"/>
      <c r="AU1518" s="29"/>
      <c r="AV1518" s="29"/>
      <c r="AW1518" s="29"/>
      <c r="AX1518" s="29"/>
      <c r="AY1518" s="29"/>
      <c r="AZ1518" s="29"/>
      <c r="BA1518" s="29"/>
      <c r="BB1518" s="29"/>
      <c r="BC1518" s="29"/>
      <c r="BD1518" s="29"/>
      <c r="BE1518" s="29"/>
      <c r="BF1518" s="29"/>
      <c r="BG1518" s="29"/>
      <c r="BH1518" s="29"/>
      <c r="BI1518" s="29"/>
      <c r="BJ1518" s="29"/>
      <c r="BK1518" s="29"/>
      <c r="BL1518" s="29"/>
      <c r="BM1518" s="29"/>
      <c r="BN1518" s="20">
        <f t="shared" si="169"/>
        <v>0</v>
      </c>
      <c r="BO1518" s="20">
        <f t="shared" si="170"/>
        <v>0</v>
      </c>
      <c r="BP1518" s="20">
        <f t="shared" si="171"/>
        <v>17</v>
      </c>
      <c r="BQ1518" s="51">
        <f>B1518*BP1518/1000</f>
        <v>5.44</v>
      </c>
      <c r="BR1518" s="56" t="s">
        <v>1216</v>
      </c>
      <c r="BS1518" s="33" t="s">
        <v>2454</v>
      </c>
      <c r="BT1518" s="199"/>
      <c r="BU1518" s="35" t="s">
        <v>964</v>
      </c>
    </row>
    <row r="1519" s="1" customFormat="1" customHeight="1" spans="1:74">
      <c r="A1519" s="15" t="s">
        <v>2455</v>
      </c>
      <c r="B1519" s="15" t="s">
        <v>2456</v>
      </c>
      <c r="C1519" s="16">
        <v>9</v>
      </c>
      <c r="D1519" s="29"/>
      <c r="E1519" s="30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29"/>
      <c r="AB1519" s="29"/>
      <c r="AC1519" s="29"/>
      <c r="AD1519" s="29"/>
      <c r="AE1519" s="29"/>
      <c r="AF1519" s="29"/>
      <c r="AG1519" s="30"/>
      <c r="AH1519" s="29"/>
      <c r="AI1519" s="29"/>
      <c r="AJ1519" s="29"/>
      <c r="AK1519" s="30"/>
      <c r="AL1519" s="29"/>
      <c r="AM1519" s="29"/>
      <c r="AN1519" s="29"/>
      <c r="AO1519" s="29"/>
      <c r="AP1519" s="29"/>
      <c r="AQ1519" s="29"/>
      <c r="AR1519" s="29"/>
      <c r="AS1519" s="29"/>
      <c r="AT1519" s="29"/>
      <c r="AU1519" s="29"/>
      <c r="AV1519" s="29"/>
      <c r="AW1519" s="29"/>
      <c r="AX1519" s="29"/>
      <c r="AY1519" s="29"/>
      <c r="AZ1519" s="29"/>
      <c r="BA1519" s="29"/>
      <c r="BB1519" s="29"/>
      <c r="BC1519" s="29"/>
      <c r="BD1519" s="29"/>
      <c r="BE1519" s="29"/>
      <c r="BF1519" s="29"/>
      <c r="BG1519" s="29"/>
      <c r="BH1519" s="29"/>
      <c r="BI1519" s="29"/>
      <c r="BJ1519" s="29"/>
      <c r="BK1519" s="29"/>
      <c r="BL1519" s="29"/>
      <c r="BM1519" s="29"/>
      <c r="BN1519" s="20">
        <f t="shared" si="169"/>
        <v>0</v>
      </c>
      <c r="BO1519" s="20">
        <f t="shared" si="170"/>
        <v>0</v>
      </c>
      <c r="BP1519" s="20">
        <f t="shared" si="171"/>
        <v>9</v>
      </c>
      <c r="BQ1519" s="51">
        <f>0.23*0.23*BP1519</f>
        <v>0.4761</v>
      </c>
      <c r="BR1519" s="56" t="s">
        <v>2457</v>
      </c>
      <c r="BS1519" s="33" t="s">
        <v>376</v>
      </c>
      <c r="BT1519" s="36"/>
      <c r="BU1519" s="35" t="s">
        <v>964</v>
      </c>
    </row>
    <row r="1520" s="1" customFormat="1" customHeight="1" spans="1:74">
      <c r="A1520" s="15" t="s">
        <v>2458</v>
      </c>
      <c r="B1520" s="58" t="s">
        <v>2459</v>
      </c>
      <c r="C1520" s="16">
        <v>66</v>
      </c>
      <c r="D1520" s="29"/>
      <c r="E1520" s="30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  <c r="AA1520" s="29"/>
      <c r="AB1520" s="29"/>
      <c r="AC1520" s="29"/>
      <c r="AD1520" s="29"/>
      <c r="AE1520" s="29"/>
      <c r="AF1520" s="29"/>
      <c r="AG1520" s="30"/>
      <c r="AH1520" s="29"/>
      <c r="AI1520" s="29"/>
      <c r="AJ1520" s="29"/>
      <c r="AK1520" s="30"/>
      <c r="AL1520" s="29"/>
      <c r="AM1520" s="29"/>
      <c r="AN1520" s="29"/>
      <c r="AO1520" s="29"/>
      <c r="AP1520" s="29"/>
      <c r="AQ1520" s="29"/>
      <c r="AR1520" s="29"/>
      <c r="AS1520" s="29"/>
      <c r="AT1520" s="29"/>
      <c r="AU1520" s="29"/>
      <c r="AV1520" s="29"/>
      <c r="AW1520" s="29"/>
      <c r="AX1520" s="29"/>
      <c r="AY1520" s="29"/>
      <c r="AZ1520" s="29"/>
      <c r="BA1520" s="29"/>
      <c r="BB1520" s="29"/>
      <c r="BC1520" s="29"/>
      <c r="BD1520" s="29"/>
      <c r="BE1520" s="29"/>
      <c r="BF1520" s="29"/>
      <c r="BG1520" s="29"/>
      <c r="BH1520" s="29"/>
      <c r="BI1520" s="29"/>
      <c r="BJ1520" s="29"/>
      <c r="BK1520" s="29"/>
      <c r="BL1520" s="29"/>
      <c r="BM1520" s="29"/>
      <c r="BN1520" s="20">
        <f t="shared" si="169"/>
        <v>0</v>
      </c>
      <c r="BO1520" s="20">
        <f t="shared" si="170"/>
        <v>0</v>
      </c>
      <c r="BP1520" s="20">
        <f t="shared" si="171"/>
        <v>66</v>
      </c>
      <c r="BQ1520" s="51">
        <f>0.32*0.29*BP1520</f>
        <v>6.1248</v>
      </c>
      <c r="BR1520" s="56" t="s">
        <v>261</v>
      </c>
      <c r="BS1520" s="33" t="s">
        <v>262</v>
      </c>
      <c r="BT1520" s="75" t="s">
        <v>2460</v>
      </c>
      <c r="BU1520" s="35" t="s">
        <v>964</v>
      </c>
      <c r="BV1520" s="1" t="s">
        <v>2443</v>
      </c>
    </row>
    <row r="1521" s="1" customFormat="1" customHeight="1" spans="1:74">
      <c r="A1521" s="15" t="s">
        <v>2458</v>
      </c>
      <c r="B1521" s="58" t="s">
        <v>2459</v>
      </c>
      <c r="C1521" s="16">
        <v>650</v>
      </c>
      <c r="D1521" s="29"/>
      <c r="E1521" s="30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29"/>
      <c r="AB1521" s="29"/>
      <c r="AC1521" s="29"/>
      <c r="AD1521" s="29"/>
      <c r="AE1521" s="29"/>
      <c r="AF1521" s="29"/>
      <c r="AG1521" s="30"/>
      <c r="AH1521" s="29"/>
      <c r="AI1521" s="29"/>
      <c r="AJ1521" s="29"/>
      <c r="AK1521" s="30"/>
      <c r="AL1521" s="29"/>
      <c r="AM1521" s="29"/>
      <c r="AN1521" s="29"/>
      <c r="AO1521" s="29"/>
      <c r="AP1521" s="29"/>
      <c r="AQ1521" s="29"/>
      <c r="AR1521" s="29"/>
      <c r="AS1521" s="29"/>
      <c r="AT1521" s="29"/>
      <c r="AU1521" s="29"/>
      <c r="AV1521" s="29"/>
      <c r="AW1521" s="29"/>
      <c r="AX1521" s="29"/>
      <c r="AY1521" s="29"/>
      <c r="AZ1521" s="29"/>
      <c r="BA1521" s="29"/>
      <c r="BB1521" s="29"/>
      <c r="BC1521" s="29"/>
      <c r="BD1521" s="29"/>
      <c r="BE1521" s="29"/>
      <c r="BF1521" s="29"/>
      <c r="BG1521" s="29"/>
      <c r="BH1521" s="29"/>
      <c r="BI1521" s="29"/>
      <c r="BJ1521" s="29"/>
      <c r="BK1521" s="29"/>
      <c r="BL1521" s="29"/>
      <c r="BM1521" s="29"/>
      <c r="BN1521" s="20">
        <f t="shared" si="169"/>
        <v>0</v>
      </c>
      <c r="BO1521" s="20">
        <f t="shared" si="170"/>
        <v>0</v>
      </c>
      <c r="BP1521" s="20">
        <f t="shared" si="171"/>
        <v>650</v>
      </c>
      <c r="BQ1521" s="51">
        <f>0.32*0.29*BP1521</f>
        <v>60.32</v>
      </c>
      <c r="BR1521" s="56" t="s">
        <v>2461</v>
      </c>
      <c r="BS1521" s="33" t="s">
        <v>2462</v>
      </c>
      <c r="BT1521" s="75" t="s">
        <v>2460</v>
      </c>
      <c r="BU1521" s="35" t="s">
        <v>964</v>
      </c>
      <c r="BV1521" s="1" t="s">
        <v>2443</v>
      </c>
    </row>
    <row r="1522" s="1" customFormat="1" customHeight="1" spans="1:74">
      <c r="A1522" s="15" t="s">
        <v>2455</v>
      </c>
      <c r="B1522" s="15" t="s">
        <v>2463</v>
      </c>
      <c r="C1522" s="16">
        <v>17</v>
      </c>
      <c r="D1522" s="29"/>
      <c r="E1522" s="30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  <c r="AA1522" s="29"/>
      <c r="AB1522" s="29"/>
      <c r="AC1522" s="29"/>
      <c r="AD1522" s="29"/>
      <c r="AE1522" s="29"/>
      <c r="AF1522" s="29"/>
      <c r="AG1522" s="30"/>
      <c r="AH1522" s="29"/>
      <c r="AI1522" s="29"/>
      <c r="AJ1522" s="29"/>
      <c r="AK1522" s="30"/>
      <c r="AL1522" s="29"/>
      <c r="AM1522" s="29"/>
      <c r="AN1522" s="29"/>
      <c r="AO1522" s="29"/>
      <c r="AP1522" s="29"/>
      <c r="AQ1522" s="29"/>
      <c r="AR1522" s="29"/>
      <c r="AS1522" s="29"/>
      <c r="AT1522" s="29"/>
      <c r="AU1522" s="29"/>
      <c r="AV1522" s="29"/>
      <c r="AW1522" s="29"/>
      <c r="AX1522" s="29"/>
      <c r="AY1522" s="29"/>
      <c r="AZ1522" s="29"/>
      <c r="BA1522" s="29"/>
      <c r="BB1522" s="29"/>
      <c r="BC1522" s="29"/>
      <c r="BD1522" s="29"/>
      <c r="BE1522" s="29"/>
      <c r="BF1522" s="29"/>
      <c r="BG1522" s="29"/>
      <c r="BH1522" s="29"/>
      <c r="BI1522" s="29"/>
      <c r="BJ1522" s="29"/>
      <c r="BK1522" s="29"/>
      <c r="BL1522" s="29"/>
      <c r="BM1522" s="29"/>
      <c r="BN1522" s="20">
        <f t="shared" si="169"/>
        <v>0</v>
      </c>
      <c r="BO1522" s="20">
        <f t="shared" si="170"/>
        <v>0</v>
      </c>
      <c r="BP1522" s="20">
        <f t="shared" si="171"/>
        <v>17</v>
      </c>
      <c r="BQ1522" s="51">
        <f>0.455*0.32*BP1522</f>
        <v>2.4752</v>
      </c>
      <c r="BR1522" s="56" t="s">
        <v>984</v>
      </c>
      <c r="BS1522" s="33" t="s">
        <v>228</v>
      </c>
      <c r="BT1522" s="36"/>
      <c r="BU1522" s="35" t="s">
        <v>964</v>
      </c>
    </row>
    <row r="1523" s="1" customFormat="1" customHeight="1" spans="1:74">
      <c r="A1523" s="15" t="s">
        <v>2455</v>
      </c>
      <c r="B1523" s="15">
        <v>270</v>
      </c>
      <c r="C1523" s="16">
        <v>138</v>
      </c>
      <c r="D1523" s="29"/>
      <c r="E1523" s="30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  <c r="AA1523" s="29"/>
      <c r="AB1523" s="29"/>
      <c r="AC1523" s="29"/>
      <c r="AD1523" s="29"/>
      <c r="AE1523" s="29"/>
      <c r="AF1523" s="29"/>
      <c r="AG1523" s="30"/>
      <c r="AH1523" s="29"/>
      <c r="AI1523" s="29"/>
      <c r="AJ1523" s="29"/>
      <c r="AK1523" s="30"/>
      <c r="AL1523" s="29"/>
      <c r="AM1523" s="29"/>
      <c r="AN1523" s="29"/>
      <c r="AO1523" s="29"/>
      <c r="AP1523" s="29"/>
      <c r="AQ1523" s="29"/>
      <c r="AR1523" s="29"/>
      <c r="AS1523" s="29"/>
      <c r="AT1523" s="29"/>
      <c r="AU1523" s="29"/>
      <c r="AV1523" s="29"/>
      <c r="AW1523" s="29"/>
      <c r="AX1523" s="29"/>
      <c r="AY1523" s="29"/>
      <c r="AZ1523" s="29"/>
      <c r="BA1523" s="29"/>
      <c r="BB1523" s="29"/>
      <c r="BC1523" s="29"/>
      <c r="BD1523" s="29"/>
      <c r="BE1523" s="29"/>
      <c r="BF1523" s="29"/>
      <c r="BG1523" s="29"/>
      <c r="BH1523" s="29"/>
      <c r="BI1523" s="29"/>
      <c r="BJ1523" s="29"/>
      <c r="BK1523" s="29"/>
      <c r="BL1523" s="29"/>
      <c r="BM1523" s="29"/>
      <c r="BN1523" s="20">
        <f t="shared" si="169"/>
        <v>0</v>
      </c>
      <c r="BO1523" s="20">
        <f t="shared" si="170"/>
        <v>0</v>
      </c>
      <c r="BP1523" s="20">
        <f t="shared" si="171"/>
        <v>138</v>
      </c>
      <c r="BQ1523" s="51">
        <f t="shared" ref="BQ1523:BQ1532" si="172">B1523*BP1523/1000</f>
        <v>37.26</v>
      </c>
      <c r="BR1523" s="56" t="s">
        <v>954</v>
      </c>
      <c r="BS1523" s="33" t="s">
        <v>228</v>
      </c>
      <c r="BT1523" s="36"/>
      <c r="BU1523" s="35" t="s">
        <v>964</v>
      </c>
    </row>
    <row r="1524" s="1" customFormat="1" customHeight="1" spans="1:74">
      <c r="A1524" s="15" t="s">
        <v>2455</v>
      </c>
      <c r="B1524" s="15">
        <v>275</v>
      </c>
      <c r="C1524" s="16">
        <v>87</v>
      </c>
      <c r="D1524" s="29"/>
      <c r="E1524" s="30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  <c r="AA1524" s="29"/>
      <c r="AB1524" s="29"/>
      <c r="AC1524" s="29"/>
      <c r="AD1524" s="29"/>
      <c r="AE1524" s="29"/>
      <c r="AF1524" s="29"/>
      <c r="AG1524" s="30"/>
      <c r="AH1524" s="29"/>
      <c r="AI1524" s="29"/>
      <c r="AJ1524" s="29"/>
      <c r="AK1524" s="30"/>
      <c r="AL1524" s="29"/>
      <c r="AM1524" s="29"/>
      <c r="AN1524" s="29"/>
      <c r="AO1524" s="29"/>
      <c r="AP1524" s="29"/>
      <c r="AQ1524" s="29"/>
      <c r="AR1524" s="29"/>
      <c r="AS1524" s="29"/>
      <c r="AT1524" s="29"/>
      <c r="AU1524" s="29"/>
      <c r="AV1524" s="29"/>
      <c r="AW1524" s="29"/>
      <c r="AX1524" s="29"/>
      <c r="AY1524" s="29"/>
      <c r="AZ1524" s="29"/>
      <c r="BA1524" s="29"/>
      <c r="BB1524" s="29"/>
      <c r="BC1524" s="29"/>
      <c r="BD1524" s="29"/>
      <c r="BE1524" s="29"/>
      <c r="BF1524" s="29"/>
      <c r="BG1524" s="29"/>
      <c r="BH1524" s="29"/>
      <c r="BI1524" s="29"/>
      <c r="BJ1524" s="29"/>
      <c r="BK1524" s="29"/>
      <c r="BL1524" s="29"/>
      <c r="BM1524" s="29"/>
      <c r="BN1524" s="20">
        <f t="shared" si="169"/>
        <v>0</v>
      </c>
      <c r="BO1524" s="20">
        <f t="shared" si="170"/>
        <v>0</v>
      </c>
      <c r="BP1524" s="20">
        <f t="shared" si="171"/>
        <v>87</v>
      </c>
      <c r="BQ1524" s="51">
        <f t="shared" si="172"/>
        <v>23.925</v>
      </c>
      <c r="BR1524" s="56" t="s">
        <v>102</v>
      </c>
      <c r="BS1524" s="33" t="s">
        <v>103</v>
      </c>
      <c r="BT1524" s="36"/>
      <c r="BU1524" s="35" t="s">
        <v>964</v>
      </c>
    </row>
    <row r="1525" s="1" customFormat="1" customHeight="1" spans="1:74">
      <c r="A1525" s="15" t="s">
        <v>2455</v>
      </c>
      <c r="B1525" s="15">
        <v>280</v>
      </c>
      <c r="C1525" s="16">
        <v>17.5</v>
      </c>
      <c r="D1525" s="29"/>
      <c r="E1525" s="30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29"/>
      <c r="AB1525" s="29"/>
      <c r="AC1525" s="29"/>
      <c r="AD1525" s="29"/>
      <c r="AE1525" s="29"/>
      <c r="AF1525" s="29"/>
      <c r="AG1525" s="30"/>
      <c r="AH1525" s="29"/>
      <c r="AI1525" s="29"/>
      <c r="AJ1525" s="29"/>
      <c r="AK1525" s="30"/>
      <c r="AL1525" s="29"/>
      <c r="AM1525" s="29"/>
      <c r="AN1525" s="29"/>
      <c r="AO1525" s="29"/>
      <c r="AP1525" s="29"/>
      <c r="AQ1525" s="29"/>
      <c r="AR1525" s="29"/>
      <c r="AS1525" s="29"/>
      <c r="AT1525" s="29"/>
      <c r="AU1525" s="29"/>
      <c r="AV1525" s="29"/>
      <c r="AW1525" s="29"/>
      <c r="AX1525" s="29"/>
      <c r="AY1525" s="29"/>
      <c r="AZ1525" s="29"/>
      <c r="BA1525" s="29"/>
      <c r="BB1525" s="29"/>
      <c r="BC1525" s="29"/>
      <c r="BD1525" s="29"/>
      <c r="BE1525" s="29"/>
      <c r="BF1525" s="29"/>
      <c r="BG1525" s="29"/>
      <c r="BH1525" s="29"/>
      <c r="BI1525" s="29"/>
      <c r="BJ1525" s="29"/>
      <c r="BK1525" s="29"/>
      <c r="BL1525" s="29"/>
      <c r="BM1525" s="29"/>
      <c r="BN1525" s="20">
        <f t="shared" si="169"/>
        <v>0</v>
      </c>
      <c r="BO1525" s="20">
        <f t="shared" si="170"/>
        <v>0</v>
      </c>
      <c r="BP1525" s="20">
        <f t="shared" si="171"/>
        <v>17.5</v>
      </c>
      <c r="BQ1525" s="51">
        <f t="shared" si="172"/>
        <v>4.9</v>
      </c>
      <c r="BR1525" s="56" t="s">
        <v>2464</v>
      </c>
      <c r="BS1525" s="33" t="s">
        <v>2465</v>
      </c>
      <c r="BT1525" s="36"/>
      <c r="BU1525" s="35" t="s">
        <v>964</v>
      </c>
    </row>
    <row r="1526" s="1" customFormat="1" customHeight="1" spans="1:74">
      <c r="A1526" s="15" t="s">
        <v>2455</v>
      </c>
      <c r="B1526" s="15">
        <v>290</v>
      </c>
      <c r="C1526" s="16">
        <v>23.5</v>
      </c>
      <c r="D1526" s="29"/>
      <c r="E1526" s="30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  <c r="AA1526" s="29"/>
      <c r="AB1526" s="29"/>
      <c r="AC1526" s="29"/>
      <c r="AD1526" s="29"/>
      <c r="AE1526" s="29"/>
      <c r="AF1526" s="29"/>
      <c r="AG1526" s="30"/>
      <c r="AH1526" s="29"/>
      <c r="AI1526" s="29"/>
      <c r="AJ1526" s="29"/>
      <c r="AK1526" s="30"/>
      <c r="AL1526" s="29"/>
      <c r="AM1526" s="29"/>
      <c r="AN1526" s="29"/>
      <c r="AO1526" s="29"/>
      <c r="AP1526" s="29"/>
      <c r="AQ1526" s="29"/>
      <c r="AR1526" s="29"/>
      <c r="AS1526" s="29"/>
      <c r="AT1526" s="29"/>
      <c r="AU1526" s="29"/>
      <c r="AV1526" s="29"/>
      <c r="AW1526" s="29"/>
      <c r="AX1526" s="29"/>
      <c r="AY1526" s="29"/>
      <c r="AZ1526" s="29"/>
      <c r="BA1526" s="29"/>
      <c r="BB1526" s="29"/>
      <c r="BC1526" s="29"/>
      <c r="BD1526" s="29"/>
      <c r="BE1526" s="29"/>
      <c r="BF1526" s="29"/>
      <c r="BG1526" s="29"/>
      <c r="BH1526" s="29"/>
      <c r="BI1526" s="29"/>
      <c r="BJ1526" s="29"/>
      <c r="BK1526" s="29"/>
      <c r="BL1526" s="29"/>
      <c r="BM1526" s="29"/>
      <c r="BN1526" s="20">
        <f t="shared" si="169"/>
        <v>0</v>
      </c>
      <c r="BO1526" s="20">
        <f t="shared" si="170"/>
        <v>0</v>
      </c>
      <c r="BP1526" s="20">
        <f t="shared" si="171"/>
        <v>23.5</v>
      </c>
      <c r="BQ1526" s="51">
        <f t="shared" si="172"/>
        <v>6.815</v>
      </c>
      <c r="BR1526" s="56" t="s">
        <v>1434</v>
      </c>
      <c r="BS1526" s="33" t="s">
        <v>2466</v>
      </c>
      <c r="BT1526" s="36"/>
      <c r="BU1526" s="35" t="s">
        <v>964</v>
      </c>
    </row>
    <row r="1527" s="1" customFormat="1" customHeight="1" spans="1:74">
      <c r="A1527" s="58" t="s">
        <v>2467</v>
      </c>
      <c r="B1527" s="15">
        <v>312</v>
      </c>
      <c r="C1527" s="29">
        <v>17</v>
      </c>
      <c r="D1527" s="29"/>
      <c r="E1527" s="30"/>
      <c r="F1527" s="29"/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  <c r="AA1527" s="29"/>
      <c r="AB1527" s="29"/>
      <c r="AC1527" s="29"/>
      <c r="AD1527" s="29"/>
      <c r="AE1527" s="29"/>
      <c r="AF1527" s="29"/>
      <c r="AG1527" s="30"/>
      <c r="AH1527" s="29"/>
      <c r="AI1527" s="29"/>
      <c r="AJ1527" s="29"/>
      <c r="AK1527" s="30"/>
      <c r="AL1527" s="29"/>
      <c r="AM1527" s="29"/>
      <c r="AN1527" s="29"/>
      <c r="AO1527" s="29"/>
      <c r="AP1527" s="29"/>
      <c r="AQ1527" s="29"/>
      <c r="AR1527" s="29"/>
      <c r="AS1527" s="29"/>
      <c r="AT1527" s="29"/>
      <c r="AU1527" s="29"/>
      <c r="AV1527" s="29"/>
      <c r="AW1527" s="29"/>
      <c r="AX1527" s="29"/>
      <c r="AY1527" s="29"/>
      <c r="AZ1527" s="29"/>
      <c r="BA1527" s="29"/>
      <c r="BB1527" s="29"/>
      <c r="BC1527" s="29"/>
      <c r="BD1527" s="29"/>
      <c r="BE1527" s="29"/>
      <c r="BF1527" s="29"/>
      <c r="BG1527" s="29"/>
      <c r="BH1527" s="29"/>
      <c r="BI1527" s="29"/>
      <c r="BJ1527" s="29"/>
      <c r="BK1527" s="29"/>
      <c r="BL1527" s="29"/>
      <c r="BM1527" s="29"/>
      <c r="BN1527" s="20">
        <f t="shared" si="169"/>
        <v>0</v>
      </c>
      <c r="BO1527" s="20">
        <f t="shared" si="170"/>
        <v>0</v>
      </c>
      <c r="BP1527" s="20">
        <f t="shared" si="171"/>
        <v>17</v>
      </c>
      <c r="BQ1527" s="51">
        <f t="shared" si="172"/>
        <v>5.304</v>
      </c>
      <c r="BR1527" s="68" t="s">
        <v>1531</v>
      </c>
      <c r="BS1527" s="33" t="s">
        <v>2468</v>
      </c>
      <c r="BT1527" s="200" t="s">
        <v>2469</v>
      </c>
      <c r="BU1527" s="44" t="s">
        <v>964</v>
      </c>
    </row>
    <row r="1528" s="1" customFormat="1" customHeight="1" spans="1:74">
      <c r="A1528" s="15" t="s">
        <v>2455</v>
      </c>
      <c r="B1528" s="15">
        <v>340</v>
      </c>
      <c r="C1528" s="29">
        <v>44</v>
      </c>
      <c r="D1528" s="29"/>
      <c r="E1528" s="30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  <c r="AA1528" s="29"/>
      <c r="AB1528" s="29"/>
      <c r="AC1528" s="29"/>
      <c r="AD1528" s="29"/>
      <c r="AE1528" s="29"/>
      <c r="AF1528" s="29"/>
      <c r="AG1528" s="30"/>
      <c r="AH1528" s="29"/>
      <c r="AI1528" s="29"/>
      <c r="AJ1528" s="29"/>
      <c r="AK1528" s="30"/>
      <c r="AL1528" s="29"/>
      <c r="AM1528" s="29"/>
      <c r="AN1528" s="29"/>
      <c r="AO1528" s="29"/>
      <c r="AP1528" s="29"/>
      <c r="AQ1528" s="29"/>
      <c r="AR1528" s="29"/>
      <c r="AS1528" s="29"/>
      <c r="AT1528" s="29"/>
      <c r="AU1528" s="29"/>
      <c r="AV1528" s="29"/>
      <c r="AW1528" s="29"/>
      <c r="AX1528" s="29"/>
      <c r="AY1528" s="29"/>
      <c r="AZ1528" s="29"/>
      <c r="BA1528" s="29"/>
      <c r="BB1528" s="29"/>
      <c r="BC1528" s="29"/>
      <c r="BD1528" s="29"/>
      <c r="BE1528" s="29"/>
      <c r="BF1528" s="29"/>
      <c r="BG1528" s="29"/>
      <c r="BH1528" s="29"/>
      <c r="BI1528" s="29"/>
      <c r="BJ1528" s="29"/>
      <c r="BK1528" s="29"/>
      <c r="BL1528" s="29"/>
      <c r="BM1528" s="29"/>
      <c r="BN1528" s="20">
        <f t="shared" si="169"/>
        <v>0</v>
      </c>
      <c r="BO1528" s="20">
        <f t="shared" si="170"/>
        <v>0</v>
      </c>
      <c r="BP1528" s="20">
        <f t="shared" si="171"/>
        <v>44</v>
      </c>
      <c r="BQ1528" s="51">
        <f t="shared" si="172"/>
        <v>14.96</v>
      </c>
      <c r="BR1528" s="68" t="s">
        <v>954</v>
      </c>
      <c r="BS1528" s="33" t="s">
        <v>2470</v>
      </c>
      <c r="BT1528" s="201"/>
      <c r="BU1528" s="44" t="s">
        <v>964</v>
      </c>
    </row>
    <row r="1529" s="1" customFormat="1" customHeight="1" spans="1:74">
      <c r="A1529" s="15" t="s">
        <v>2455</v>
      </c>
      <c r="B1529" s="15">
        <v>375</v>
      </c>
      <c r="C1529" s="16">
        <v>68</v>
      </c>
      <c r="D1529" s="29"/>
      <c r="E1529" s="30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  <c r="AA1529" s="29"/>
      <c r="AB1529" s="29"/>
      <c r="AC1529" s="29"/>
      <c r="AD1529" s="29"/>
      <c r="AE1529" s="29"/>
      <c r="AF1529" s="29"/>
      <c r="AG1529" s="30"/>
      <c r="AH1529" s="29"/>
      <c r="AI1529" s="29"/>
      <c r="AJ1529" s="29"/>
      <c r="AK1529" s="30"/>
      <c r="AL1529" s="29"/>
      <c r="AM1529" s="29"/>
      <c r="AN1529" s="29"/>
      <c r="AO1529" s="29"/>
      <c r="AP1529" s="29"/>
      <c r="AQ1529" s="29"/>
      <c r="AR1529" s="29"/>
      <c r="AS1529" s="29"/>
      <c r="AT1529" s="29"/>
      <c r="AU1529" s="29"/>
      <c r="AV1529" s="29"/>
      <c r="AW1529" s="29"/>
      <c r="AX1529" s="29"/>
      <c r="AY1529" s="29"/>
      <c r="AZ1529" s="29"/>
      <c r="BA1529" s="29"/>
      <c r="BB1529" s="29"/>
      <c r="BC1529" s="29"/>
      <c r="BD1529" s="29"/>
      <c r="BE1529" s="29"/>
      <c r="BF1529" s="29"/>
      <c r="BG1529" s="29"/>
      <c r="BH1529" s="29"/>
      <c r="BI1529" s="29"/>
      <c r="BJ1529" s="29"/>
      <c r="BK1529" s="29"/>
      <c r="BL1529" s="29"/>
      <c r="BM1529" s="29"/>
      <c r="BN1529" s="20">
        <f t="shared" si="169"/>
        <v>0</v>
      </c>
      <c r="BO1529" s="20">
        <f t="shared" si="170"/>
        <v>0</v>
      </c>
      <c r="BP1529" s="20">
        <f t="shared" si="171"/>
        <v>68</v>
      </c>
      <c r="BQ1529" s="51">
        <f t="shared" si="172"/>
        <v>25.5</v>
      </c>
      <c r="BR1529" s="56" t="s">
        <v>1569</v>
      </c>
      <c r="BS1529" s="33" t="s">
        <v>2402</v>
      </c>
      <c r="BT1529" s="36"/>
      <c r="BU1529" s="35" t="s">
        <v>964</v>
      </c>
    </row>
    <row r="1530" s="1" customFormat="1" customHeight="1" spans="1:74">
      <c r="A1530" s="15" t="s">
        <v>2455</v>
      </c>
      <c r="B1530" s="15">
        <v>415</v>
      </c>
      <c r="C1530" s="29">
        <v>55</v>
      </c>
      <c r="D1530" s="29"/>
      <c r="E1530" s="30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  <c r="AA1530" s="29"/>
      <c r="AB1530" s="29"/>
      <c r="AC1530" s="29"/>
      <c r="AD1530" s="29"/>
      <c r="AE1530" s="29"/>
      <c r="AF1530" s="29"/>
      <c r="AG1530" s="30"/>
      <c r="AH1530" s="29"/>
      <c r="AI1530" s="29"/>
      <c r="AJ1530" s="29"/>
      <c r="AK1530" s="30"/>
      <c r="AL1530" s="29"/>
      <c r="AM1530" s="29"/>
      <c r="AN1530" s="29"/>
      <c r="AO1530" s="29"/>
      <c r="AP1530" s="29"/>
      <c r="AQ1530" s="29"/>
      <c r="AR1530" s="29"/>
      <c r="AS1530" s="29"/>
      <c r="AT1530" s="29"/>
      <c r="AU1530" s="29"/>
      <c r="AV1530" s="29"/>
      <c r="AW1530" s="29"/>
      <c r="AX1530" s="29"/>
      <c r="AY1530" s="29"/>
      <c r="AZ1530" s="29"/>
      <c r="BA1530" s="29"/>
      <c r="BB1530" s="29"/>
      <c r="BC1530" s="29"/>
      <c r="BD1530" s="29"/>
      <c r="BE1530" s="29"/>
      <c r="BF1530" s="29"/>
      <c r="BG1530" s="29"/>
      <c r="BH1530" s="29"/>
      <c r="BI1530" s="29"/>
      <c r="BJ1530" s="29"/>
      <c r="BK1530" s="29"/>
      <c r="BL1530" s="29"/>
      <c r="BM1530" s="29"/>
      <c r="BN1530" s="20">
        <f t="shared" si="169"/>
        <v>0</v>
      </c>
      <c r="BO1530" s="20">
        <f t="shared" si="170"/>
        <v>0</v>
      </c>
      <c r="BP1530" s="20">
        <f t="shared" si="171"/>
        <v>55</v>
      </c>
      <c r="BQ1530" s="51">
        <f t="shared" si="172"/>
        <v>22.825</v>
      </c>
      <c r="BR1530" s="68" t="s">
        <v>919</v>
      </c>
      <c r="BS1530" s="33" t="s">
        <v>2428</v>
      </c>
      <c r="BT1530" s="201"/>
      <c r="BU1530" s="35" t="s">
        <v>964</v>
      </c>
    </row>
    <row r="1531" s="1" customFormat="1" customHeight="1" spans="1:74">
      <c r="A1531" s="179" t="s">
        <v>2467</v>
      </c>
      <c r="B1531" s="15">
        <v>385</v>
      </c>
      <c r="C1531" s="16">
        <v>22</v>
      </c>
      <c r="D1531" s="29"/>
      <c r="E1531" s="30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  <c r="AA1531" s="29"/>
      <c r="AB1531" s="29"/>
      <c r="AC1531" s="29"/>
      <c r="AD1531" s="29"/>
      <c r="AE1531" s="29"/>
      <c r="AF1531" s="29"/>
      <c r="AG1531" s="30"/>
      <c r="AH1531" s="29"/>
      <c r="AI1531" s="29"/>
      <c r="AJ1531" s="29"/>
      <c r="AK1531" s="30"/>
      <c r="AL1531" s="29"/>
      <c r="AM1531" s="29"/>
      <c r="AN1531" s="29"/>
      <c r="AO1531" s="29"/>
      <c r="AP1531" s="29"/>
      <c r="AQ1531" s="29"/>
      <c r="AR1531" s="29"/>
      <c r="AS1531" s="29"/>
      <c r="AT1531" s="29"/>
      <c r="AU1531" s="29"/>
      <c r="AV1531" s="29"/>
      <c r="AW1531" s="29"/>
      <c r="AX1531" s="29"/>
      <c r="AY1531" s="29"/>
      <c r="AZ1531" s="29"/>
      <c r="BA1531" s="29"/>
      <c r="BB1531" s="29"/>
      <c r="BC1531" s="29"/>
      <c r="BD1531" s="29"/>
      <c r="BE1531" s="29"/>
      <c r="BF1531" s="29"/>
      <c r="BG1531" s="29"/>
      <c r="BH1531" s="29"/>
      <c r="BI1531" s="29"/>
      <c r="BJ1531" s="29"/>
      <c r="BK1531" s="29"/>
      <c r="BL1531" s="29"/>
      <c r="BM1531" s="29"/>
      <c r="BN1531" s="20">
        <f t="shared" si="169"/>
        <v>0</v>
      </c>
      <c r="BO1531" s="20">
        <f t="shared" si="170"/>
        <v>0</v>
      </c>
      <c r="BP1531" s="20">
        <f t="shared" si="171"/>
        <v>22</v>
      </c>
      <c r="BQ1531" s="51">
        <f t="shared" si="172"/>
        <v>8.47</v>
      </c>
      <c r="BR1531" s="56" t="s">
        <v>2471</v>
      </c>
      <c r="BS1531" s="33" t="s">
        <v>2393</v>
      </c>
      <c r="BT1531" s="202" t="s">
        <v>2472</v>
      </c>
      <c r="BU1531" s="35" t="s">
        <v>964</v>
      </c>
    </row>
    <row r="1532" s="1" customFormat="1" customHeight="1" spans="1:74">
      <c r="A1532" s="124" t="s">
        <v>2473</v>
      </c>
      <c r="B1532" s="15">
        <v>305</v>
      </c>
      <c r="C1532" s="16">
        <v>31.5</v>
      </c>
      <c r="D1532" s="29"/>
      <c r="E1532" s="30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29"/>
      <c r="AB1532" s="29"/>
      <c r="AC1532" s="29"/>
      <c r="AD1532" s="29"/>
      <c r="AE1532" s="29"/>
      <c r="AF1532" s="29"/>
      <c r="AG1532" s="30"/>
      <c r="AH1532" s="29"/>
      <c r="AI1532" s="29"/>
      <c r="AJ1532" s="29"/>
      <c r="AK1532" s="29"/>
      <c r="AL1532" s="29"/>
      <c r="AM1532" s="29"/>
      <c r="AN1532" s="29"/>
      <c r="AO1532" s="29"/>
      <c r="AP1532" s="29"/>
      <c r="AQ1532" s="29"/>
      <c r="AR1532" s="29"/>
      <c r="AS1532" s="29"/>
      <c r="AT1532" s="29"/>
      <c r="AU1532" s="29"/>
      <c r="AV1532" s="29"/>
      <c r="AW1532" s="29"/>
      <c r="AX1532" s="29"/>
      <c r="AY1532" s="29"/>
      <c r="AZ1532" s="29"/>
      <c r="BA1532" s="29"/>
      <c r="BB1532" s="29"/>
      <c r="BC1532" s="29"/>
      <c r="BD1532" s="29"/>
      <c r="BE1532" s="29"/>
      <c r="BF1532" s="29"/>
      <c r="BG1532" s="29"/>
      <c r="BH1532" s="29"/>
      <c r="BI1532" s="29"/>
      <c r="BJ1532" s="29"/>
      <c r="BK1532" s="29"/>
      <c r="BL1532" s="29"/>
      <c r="BM1532" s="29"/>
      <c r="BN1532" s="20">
        <f t="shared" si="169"/>
        <v>0</v>
      </c>
      <c r="BO1532" s="20">
        <f t="shared" si="170"/>
        <v>0</v>
      </c>
      <c r="BP1532" s="20">
        <f t="shared" si="171"/>
        <v>31.5</v>
      </c>
      <c r="BQ1532" s="51">
        <f t="shared" si="172"/>
        <v>9.6075</v>
      </c>
      <c r="BR1532" s="56" t="s">
        <v>1119</v>
      </c>
      <c r="BS1532" s="33" t="s">
        <v>376</v>
      </c>
      <c r="BT1532" s="199"/>
      <c r="BU1532" s="203" t="s">
        <v>2474</v>
      </c>
    </row>
    <row r="1533" s="1" customFormat="1" customHeight="1" spans="1:74">
      <c r="A1533" s="53" t="s">
        <v>2475</v>
      </c>
      <c r="B1533" s="15"/>
      <c r="C1533" s="16"/>
      <c r="D1533" s="29"/>
      <c r="E1533" s="30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  <c r="AA1533" s="29"/>
      <c r="AB1533" s="29"/>
      <c r="AC1533" s="29"/>
      <c r="AD1533" s="29"/>
      <c r="AE1533" s="29"/>
      <c r="AF1533" s="29"/>
      <c r="AG1533" s="30"/>
      <c r="AH1533" s="29"/>
      <c r="AI1533" s="29"/>
      <c r="AJ1533" s="29"/>
      <c r="AK1533" s="29"/>
      <c r="AL1533" s="29"/>
      <c r="AM1533" s="29"/>
      <c r="AN1533" s="29"/>
      <c r="AO1533" s="29"/>
      <c r="AP1533" s="29"/>
      <c r="AQ1533" s="29"/>
      <c r="AR1533" s="29"/>
      <c r="AS1533" s="29"/>
      <c r="AT1533" s="29"/>
      <c r="AU1533" s="29"/>
      <c r="AV1533" s="29"/>
      <c r="AW1533" s="29"/>
      <c r="AX1533" s="29"/>
      <c r="AY1533" s="29"/>
      <c r="AZ1533" s="29"/>
      <c r="BA1533" s="29"/>
      <c r="BB1533" s="29"/>
      <c r="BC1533" s="29"/>
      <c r="BD1533" s="29"/>
      <c r="BE1533" s="29"/>
      <c r="BF1533" s="29"/>
      <c r="BG1533" s="29"/>
      <c r="BH1533" s="29"/>
      <c r="BI1533" s="29"/>
      <c r="BJ1533" s="29"/>
      <c r="BK1533" s="29"/>
      <c r="BL1533" s="29"/>
      <c r="BM1533" s="29"/>
      <c r="BN1533" s="20">
        <f t="shared" si="169"/>
        <v>0</v>
      </c>
      <c r="BO1533" s="20">
        <f t="shared" si="170"/>
        <v>0</v>
      </c>
      <c r="BP1533" s="20">
        <f t="shared" si="171"/>
        <v>0</v>
      </c>
      <c r="BQ1533" s="51"/>
      <c r="BR1533" s="56"/>
      <c r="BS1533" s="33"/>
      <c r="BT1533" s="36"/>
      <c r="BU1533" s="35"/>
    </row>
    <row r="1534" s="1" customFormat="1" customHeight="1" spans="1:74">
      <c r="A1534" s="28" t="s">
        <v>2476</v>
      </c>
      <c r="B1534" s="15">
        <v>275</v>
      </c>
      <c r="C1534" s="16">
        <v>30</v>
      </c>
      <c r="D1534" s="29"/>
      <c r="E1534" s="30"/>
      <c r="F1534" s="29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  <c r="AA1534" s="29"/>
      <c r="AB1534" s="29"/>
      <c r="AC1534" s="29"/>
      <c r="AD1534" s="29"/>
      <c r="AE1534" s="29"/>
      <c r="AF1534" s="29"/>
      <c r="AG1534" s="30"/>
      <c r="AH1534" s="29"/>
      <c r="AI1534" s="29"/>
      <c r="AJ1534" s="29"/>
      <c r="AK1534" s="30"/>
      <c r="AL1534" s="29"/>
      <c r="AM1534" s="29"/>
      <c r="AN1534" s="29"/>
      <c r="AO1534" s="29"/>
      <c r="AP1534" s="29"/>
      <c r="AQ1534" s="29"/>
      <c r="AR1534" s="29"/>
      <c r="AS1534" s="29"/>
      <c r="AT1534" s="29"/>
      <c r="AU1534" s="29"/>
      <c r="AV1534" s="29"/>
      <c r="AW1534" s="29"/>
      <c r="AX1534" s="29"/>
      <c r="AY1534" s="29"/>
      <c r="AZ1534" s="29"/>
      <c r="BA1534" s="29"/>
      <c r="BB1534" s="29"/>
      <c r="BC1534" s="29"/>
      <c r="BD1534" s="29"/>
      <c r="BE1534" s="29"/>
      <c r="BF1534" s="29"/>
      <c r="BG1534" s="29"/>
      <c r="BH1534" s="29"/>
      <c r="BI1534" s="29"/>
      <c r="BJ1534" s="29"/>
      <c r="BK1534" s="29"/>
      <c r="BL1534" s="29"/>
      <c r="BM1534" s="29"/>
      <c r="BN1534" s="20">
        <f t="shared" si="169"/>
        <v>0</v>
      </c>
      <c r="BO1534" s="20">
        <f t="shared" si="170"/>
        <v>0</v>
      </c>
      <c r="BP1534" s="20">
        <f t="shared" si="171"/>
        <v>30</v>
      </c>
      <c r="BQ1534" s="51">
        <f t="shared" ref="BQ1534:BQ1539" si="173">B1534*BP1534/1000</f>
        <v>8.25</v>
      </c>
      <c r="BR1534" s="56" t="s">
        <v>2477</v>
      </c>
      <c r="BS1534" s="33" t="s">
        <v>376</v>
      </c>
      <c r="BT1534" s="36"/>
      <c r="BU1534" s="35" t="s">
        <v>950</v>
      </c>
    </row>
    <row r="1535" s="1" customFormat="1" customHeight="1" spans="1:74">
      <c r="A1535" s="28" t="s">
        <v>2476</v>
      </c>
      <c r="B1535" s="15">
        <v>335</v>
      </c>
      <c r="C1535" s="16">
        <v>59</v>
      </c>
      <c r="D1535" s="29"/>
      <c r="E1535" s="30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29"/>
      <c r="AB1535" s="29"/>
      <c r="AC1535" s="29"/>
      <c r="AD1535" s="29"/>
      <c r="AE1535" s="29"/>
      <c r="AF1535" s="29"/>
      <c r="AG1535" s="30"/>
      <c r="AH1535" s="29"/>
      <c r="AI1535" s="29"/>
      <c r="AJ1535" s="29"/>
      <c r="AK1535" s="30"/>
      <c r="AL1535" s="29"/>
      <c r="AM1535" s="29"/>
      <c r="AN1535" s="29"/>
      <c r="AO1535" s="29"/>
      <c r="AP1535" s="29"/>
      <c r="AQ1535" s="29"/>
      <c r="AR1535" s="29"/>
      <c r="AS1535" s="29"/>
      <c r="AT1535" s="29"/>
      <c r="AU1535" s="29"/>
      <c r="AV1535" s="29"/>
      <c r="AW1535" s="29"/>
      <c r="AX1535" s="29"/>
      <c r="AY1535" s="29"/>
      <c r="AZ1535" s="29"/>
      <c r="BA1535" s="29"/>
      <c r="BB1535" s="29"/>
      <c r="BC1535" s="29"/>
      <c r="BD1535" s="29"/>
      <c r="BE1535" s="29"/>
      <c r="BF1535" s="29"/>
      <c r="BG1535" s="29"/>
      <c r="BH1535" s="29"/>
      <c r="BI1535" s="29"/>
      <c r="BJ1535" s="29"/>
      <c r="BK1535" s="29"/>
      <c r="BL1535" s="29"/>
      <c r="BM1535" s="29"/>
      <c r="BN1535" s="20">
        <f t="shared" si="169"/>
        <v>0</v>
      </c>
      <c r="BO1535" s="20">
        <f t="shared" si="170"/>
        <v>0</v>
      </c>
      <c r="BP1535" s="20">
        <f t="shared" si="171"/>
        <v>59</v>
      </c>
      <c r="BQ1535" s="51">
        <f t="shared" si="173"/>
        <v>19.765</v>
      </c>
      <c r="BR1535" s="56" t="s">
        <v>2477</v>
      </c>
      <c r="BS1535" s="33" t="s">
        <v>376</v>
      </c>
      <c r="BT1535" s="36"/>
      <c r="BU1535" s="35" t="s">
        <v>950</v>
      </c>
    </row>
    <row r="1536" s="1" customFormat="1" customHeight="1" spans="1:74">
      <c r="A1536" s="53" t="s">
        <v>2478</v>
      </c>
      <c r="B1536" s="15"/>
      <c r="C1536" s="16"/>
      <c r="D1536" s="29"/>
      <c r="E1536" s="30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  <c r="AA1536" s="29"/>
      <c r="AB1536" s="29"/>
      <c r="AC1536" s="29"/>
      <c r="AD1536" s="29"/>
      <c r="AE1536" s="29"/>
      <c r="AF1536" s="29"/>
      <c r="AG1536" s="30"/>
      <c r="AH1536" s="29"/>
      <c r="AI1536" s="29"/>
      <c r="AJ1536" s="29"/>
      <c r="AK1536" s="30"/>
      <c r="AL1536" s="29"/>
      <c r="AM1536" s="29"/>
      <c r="AN1536" s="29"/>
      <c r="AO1536" s="29"/>
      <c r="AP1536" s="29"/>
      <c r="AQ1536" s="29"/>
      <c r="AR1536" s="29"/>
      <c r="AS1536" s="29"/>
      <c r="AT1536" s="29"/>
      <c r="AU1536" s="29"/>
      <c r="AV1536" s="29"/>
      <c r="AW1536" s="29"/>
      <c r="AX1536" s="29"/>
      <c r="AY1536" s="29"/>
      <c r="AZ1536" s="29"/>
      <c r="BA1536" s="29"/>
      <c r="BB1536" s="29"/>
      <c r="BC1536" s="29"/>
      <c r="BD1536" s="29"/>
      <c r="BE1536" s="29"/>
      <c r="BF1536" s="29"/>
      <c r="BG1536" s="29"/>
      <c r="BH1536" s="29"/>
      <c r="BI1536" s="29"/>
      <c r="BJ1536" s="29"/>
      <c r="BK1536" s="29"/>
      <c r="BL1536" s="29"/>
      <c r="BM1536" s="29"/>
      <c r="BN1536" s="20">
        <f t="shared" si="169"/>
        <v>0</v>
      </c>
      <c r="BO1536" s="20">
        <f t="shared" si="170"/>
        <v>0</v>
      </c>
      <c r="BP1536" s="20">
        <f t="shared" si="171"/>
        <v>0</v>
      </c>
      <c r="BQ1536" s="51"/>
      <c r="BR1536" s="56"/>
      <c r="BS1536" s="33"/>
      <c r="BT1536" s="36"/>
      <c r="BU1536" s="112"/>
    </row>
    <row r="1537" s="1" customFormat="1" customHeight="1" spans="1:73">
      <c r="A1537" s="15" t="s">
        <v>2479</v>
      </c>
      <c r="B1537" s="15">
        <v>215</v>
      </c>
      <c r="C1537" s="16">
        <v>37</v>
      </c>
      <c r="D1537" s="29"/>
      <c r="E1537" s="30"/>
      <c r="F1537" s="29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  <c r="AA1537" s="29"/>
      <c r="AB1537" s="29"/>
      <c r="AC1537" s="29"/>
      <c r="AD1537" s="29"/>
      <c r="AE1537" s="29"/>
      <c r="AF1537" s="29"/>
      <c r="AG1537" s="30"/>
      <c r="AH1537" s="29"/>
      <c r="AI1537" s="29"/>
      <c r="AJ1537" s="29"/>
      <c r="AK1537" s="30"/>
      <c r="AL1537" s="29"/>
      <c r="AM1537" s="29"/>
      <c r="AN1537" s="29"/>
      <c r="AO1537" s="29"/>
      <c r="AP1537" s="29"/>
      <c r="AQ1537" s="29"/>
      <c r="AR1537" s="29"/>
      <c r="AS1537" s="29"/>
      <c r="AT1537" s="88"/>
      <c r="AU1537" s="29"/>
      <c r="AV1537" s="29"/>
      <c r="AW1537" s="29"/>
      <c r="AX1537" s="29"/>
      <c r="AY1537" s="29"/>
      <c r="AZ1537" s="29"/>
      <c r="BA1537" s="29"/>
      <c r="BB1537" s="29"/>
      <c r="BC1537" s="29"/>
      <c r="BD1537" s="29"/>
      <c r="BE1537" s="29"/>
      <c r="BF1537" s="29"/>
      <c r="BG1537" s="29"/>
      <c r="BH1537" s="29"/>
      <c r="BI1537" s="29"/>
      <c r="BJ1537" s="29"/>
      <c r="BK1537" s="29"/>
      <c r="BL1537" s="29"/>
      <c r="BM1537" s="29"/>
      <c r="BN1537" s="20">
        <f t="shared" si="169"/>
        <v>0</v>
      </c>
      <c r="BO1537" s="20">
        <f t="shared" si="170"/>
        <v>0</v>
      </c>
      <c r="BP1537" s="20">
        <f t="shared" si="171"/>
        <v>37</v>
      </c>
      <c r="BQ1537" s="51">
        <f t="shared" si="173"/>
        <v>7.955</v>
      </c>
      <c r="BR1537" s="56" t="s">
        <v>820</v>
      </c>
      <c r="BS1537" s="33" t="s">
        <v>2480</v>
      </c>
      <c r="BT1537" s="36" t="s">
        <v>2481</v>
      </c>
      <c r="BU1537" s="35" t="s">
        <v>2482</v>
      </c>
    </row>
    <row r="1538" s="1" customFormat="1" customHeight="1" spans="1:73">
      <c r="A1538" s="15" t="s">
        <v>2479</v>
      </c>
      <c r="B1538" s="15">
        <v>290</v>
      </c>
      <c r="C1538" s="16">
        <v>33</v>
      </c>
      <c r="D1538" s="29"/>
      <c r="E1538" s="30"/>
      <c r="F1538" s="29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  <c r="AA1538" s="29"/>
      <c r="AB1538" s="29"/>
      <c r="AC1538" s="29"/>
      <c r="AD1538" s="29"/>
      <c r="AE1538" s="29"/>
      <c r="AF1538" s="29"/>
      <c r="AG1538" s="30"/>
      <c r="AH1538" s="29"/>
      <c r="AI1538" s="29"/>
      <c r="AJ1538" s="29"/>
      <c r="AK1538" s="30"/>
      <c r="AL1538" s="29"/>
      <c r="AM1538" s="29"/>
      <c r="AN1538" s="29"/>
      <c r="AO1538" s="29"/>
      <c r="AP1538" s="29"/>
      <c r="AQ1538" s="29"/>
      <c r="AR1538" s="29"/>
      <c r="AS1538" s="29"/>
      <c r="AT1538" s="88"/>
      <c r="AU1538" s="29"/>
      <c r="AV1538" s="29"/>
      <c r="AW1538" s="29"/>
      <c r="AX1538" s="29"/>
      <c r="AY1538" s="29"/>
      <c r="AZ1538" s="29"/>
      <c r="BA1538" s="29"/>
      <c r="BB1538" s="29"/>
      <c r="BC1538" s="29"/>
      <c r="BD1538" s="29"/>
      <c r="BE1538" s="29"/>
      <c r="BF1538" s="29"/>
      <c r="BG1538" s="29"/>
      <c r="BH1538" s="29"/>
      <c r="BI1538" s="29"/>
      <c r="BJ1538" s="29"/>
      <c r="BK1538" s="29"/>
      <c r="BL1538" s="29"/>
      <c r="BM1538" s="29"/>
      <c r="BN1538" s="20">
        <f t="shared" si="169"/>
        <v>0</v>
      </c>
      <c r="BO1538" s="20">
        <f t="shared" si="170"/>
        <v>0</v>
      </c>
      <c r="BP1538" s="20">
        <f t="shared" si="171"/>
        <v>33</v>
      </c>
      <c r="BQ1538" s="51">
        <f t="shared" si="173"/>
        <v>9.57</v>
      </c>
      <c r="BR1538" s="56" t="s">
        <v>2483</v>
      </c>
      <c r="BS1538" s="33" t="s">
        <v>2484</v>
      </c>
      <c r="BT1538" s="36"/>
      <c r="BU1538" s="35" t="s">
        <v>2482</v>
      </c>
    </row>
    <row r="1539" s="1" customFormat="1" customHeight="1" spans="1:73">
      <c r="A1539" s="15" t="s">
        <v>2479</v>
      </c>
      <c r="B1539" s="15">
        <v>395</v>
      </c>
      <c r="C1539" s="16">
        <v>53</v>
      </c>
      <c r="D1539" s="29"/>
      <c r="E1539" s="30"/>
      <c r="F1539" s="29"/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  <c r="AA1539" s="29"/>
      <c r="AB1539" s="29"/>
      <c r="AC1539" s="29"/>
      <c r="AD1539" s="29"/>
      <c r="AE1539" s="29"/>
      <c r="AF1539" s="29"/>
      <c r="AG1539" s="30"/>
      <c r="AH1539" s="29"/>
      <c r="AI1539" s="29"/>
      <c r="AJ1539" s="29"/>
      <c r="AK1539" s="30"/>
      <c r="AL1539" s="29"/>
      <c r="AM1539" s="29"/>
      <c r="AN1539" s="29"/>
      <c r="AO1539" s="29"/>
      <c r="AP1539" s="29"/>
      <c r="AQ1539" s="29"/>
      <c r="AR1539" s="29"/>
      <c r="AS1539" s="29"/>
      <c r="AT1539" s="88"/>
      <c r="AU1539" s="29"/>
      <c r="AV1539" s="29"/>
      <c r="AW1539" s="29"/>
      <c r="AX1539" s="29"/>
      <c r="AY1539" s="29"/>
      <c r="AZ1539" s="29"/>
      <c r="BA1539" s="29"/>
      <c r="BB1539" s="29"/>
      <c r="BC1539" s="29"/>
      <c r="BD1539" s="29"/>
      <c r="BE1539" s="29"/>
      <c r="BF1539" s="29"/>
      <c r="BG1539" s="29"/>
      <c r="BH1539" s="29"/>
      <c r="BI1539" s="29"/>
      <c r="BJ1539" s="29"/>
      <c r="BK1539" s="29"/>
      <c r="BL1539" s="29"/>
      <c r="BM1539" s="29"/>
      <c r="BN1539" s="20">
        <f t="shared" si="169"/>
        <v>0</v>
      </c>
      <c r="BO1539" s="20">
        <f t="shared" si="170"/>
        <v>0</v>
      </c>
      <c r="BP1539" s="20">
        <f t="shared" si="171"/>
        <v>53</v>
      </c>
      <c r="BQ1539" s="51">
        <f t="shared" si="173"/>
        <v>20.935</v>
      </c>
      <c r="BR1539" s="56" t="s">
        <v>833</v>
      </c>
      <c r="BS1539" s="33" t="s">
        <v>2485</v>
      </c>
      <c r="BT1539" s="36"/>
      <c r="BU1539" s="35" t="s">
        <v>2482</v>
      </c>
    </row>
    <row r="1540" s="1" customFormat="1" customHeight="1" spans="1:73">
      <c r="A1540" s="15" t="s">
        <v>2479</v>
      </c>
      <c r="B1540" s="15" t="s">
        <v>2486</v>
      </c>
      <c r="C1540" s="16">
        <v>130</v>
      </c>
      <c r="D1540" s="29"/>
      <c r="E1540" s="30"/>
      <c r="F1540" s="29"/>
      <c r="G1540" s="29"/>
      <c r="H1540" s="29"/>
      <c r="I1540" s="29"/>
      <c r="J1540" s="29"/>
      <c r="K1540" s="29"/>
      <c r="L1540" s="29"/>
      <c r="M1540" s="29">
        <v>44</v>
      </c>
      <c r="N1540" s="29"/>
      <c r="O1540" s="29"/>
      <c r="P1540" s="29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  <c r="AA1540" s="29"/>
      <c r="AB1540" s="29"/>
      <c r="AC1540" s="29"/>
      <c r="AD1540" s="29"/>
      <c r="AE1540" s="29"/>
      <c r="AF1540" s="29"/>
      <c r="AG1540" s="30"/>
      <c r="AH1540" s="29"/>
      <c r="AI1540" s="29"/>
      <c r="AJ1540" s="29"/>
      <c r="AK1540" s="30"/>
      <c r="AL1540" s="29"/>
      <c r="AM1540" s="29"/>
      <c r="AN1540" s="29"/>
      <c r="AO1540" s="29"/>
      <c r="AP1540" s="29"/>
      <c r="AQ1540" s="29"/>
      <c r="AR1540" s="29"/>
      <c r="AS1540" s="29"/>
      <c r="AT1540" s="88"/>
      <c r="AU1540" s="29"/>
      <c r="AV1540" s="29"/>
      <c r="AW1540" s="29"/>
      <c r="AX1540" s="29"/>
      <c r="AY1540" s="29"/>
      <c r="AZ1540" s="29"/>
      <c r="BA1540" s="29"/>
      <c r="BB1540" s="29"/>
      <c r="BC1540" s="29"/>
      <c r="BD1540" s="29"/>
      <c r="BE1540" s="29"/>
      <c r="BF1540" s="29"/>
      <c r="BG1540" s="29"/>
      <c r="BH1540" s="29"/>
      <c r="BI1540" s="29"/>
      <c r="BJ1540" s="29"/>
      <c r="BK1540" s="29"/>
      <c r="BL1540" s="29"/>
      <c r="BM1540" s="29"/>
      <c r="BN1540" s="20">
        <f t="shared" si="169"/>
        <v>0</v>
      </c>
      <c r="BO1540" s="20">
        <f t="shared" si="170"/>
        <v>44</v>
      </c>
      <c r="BP1540" s="20">
        <f t="shared" si="171"/>
        <v>86</v>
      </c>
      <c r="BQ1540" s="51">
        <f>0.305*0.15*BP1540</f>
        <v>3.9345</v>
      </c>
      <c r="BR1540" s="56" t="s">
        <v>429</v>
      </c>
      <c r="BS1540" s="33" t="s">
        <v>430</v>
      </c>
      <c r="BT1540" s="36"/>
      <c r="BU1540" s="35" t="s">
        <v>964</v>
      </c>
    </row>
    <row r="1541" s="1" customFormat="1" customHeight="1" spans="1:73">
      <c r="A1541" s="53" t="s">
        <v>2487</v>
      </c>
      <c r="B1541" s="15" t="s">
        <v>2488</v>
      </c>
      <c r="C1541" s="16">
        <v>42</v>
      </c>
      <c r="D1541" s="29"/>
      <c r="E1541" s="30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  <c r="AA1541" s="29"/>
      <c r="AB1541" s="29"/>
      <c r="AC1541" s="29"/>
      <c r="AD1541" s="29"/>
      <c r="AE1541" s="29"/>
      <c r="AF1541" s="29"/>
      <c r="AG1541" s="30"/>
      <c r="AH1541" s="29"/>
      <c r="AI1541" s="29"/>
      <c r="AJ1541" s="29"/>
      <c r="AK1541" s="30"/>
      <c r="AL1541" s="29"/>
      <c r="AM1541" s="29"/>
      <c r="AN1541" s="29"/>
      <c r="AO1541" s="29"/>
      <c r="AP1541" s="29"/>
      <c r="AQ1541" s="29"/>
      <c r="AR1541" s="29"/>
      <c r="AS1541" s="29"/>
      <c r="AT1541" s="88"/>
      <c r="AU1541" s="29"/>
      <c r="AV1541" s="29"/>
      <c r="AW1541" s="29"/>
      <c r="AX1541" s="29"/>
      <c r="AY1541" s="29"/>
      <c r="AZ1541" s="29"/>
      <c r="BA1541" s="29"/>
      <c r="BB1541" s="29"/>
      <c r="BC1541" s="29"/>
      <c r="BD1541" s="29"/>
      <c r="BE1541" s="29"/>
      <c r="BF1541" s="29"/>
      <c r="BG1541" s="29"/>
      <c r="BH1541" s="29"/>
      <c r="BI1541" s="29"/>
      <c r="BJ1541" s="29"/>
      <c r="BK1541" s="29"/>
      <c r="BL1541" s="29"/>
      <c r="BM1541" s="29"/>
      <c r="BN1541" s="20">
        <f t="shared" si="169"/>
        <v>0</v>
      </c>
      <c r="BO1541" s="20">
        <f t="shared" si="170"/>
        <v>0</v>
      </c>
      <c r="BP1541" s="20">
        <f t="shared" si="171"/>
        <v>42</v>
      </c>
      <c r="BQ1541" s="51">
        <f>0.415*0.35*BP1541</f>
        <v>6.1005</v>
      </c>
      <c r="BR1541" s="56" t="s">
        <v>2489</v>
      </c>
      <c r="BS1541" s="33" t="s">
        <v>2490</v>
      </c>
      <c r="BT1541" s="36"/>
      <c r="BU1541" s="35" t="s">
        <v>964</v>
      </c>
    </row>
    <row r="1542" s="1" customFormat="1" customHeight="1" spans="1:73">
      <c r="A1542" s="37" t="s">
        <v>2491</v>
      </c>
      <c r="B1542" s="15" t="s">
        <v>2492</v>
      </c>
      <c r="C1542" s="16">
        <v>51</v>
      </c>
      <c r="D1542" s="29"/>
      <c r="E1542" s="30"/>
      <c r="F1542" s="29"/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  <c r="AA1542" s="29"/>
      <c r="AB1542" s="29"/>
      <c r="AC1542" s="29"/>
      <c r="AD1542" s="29"/>
      <c r="AE1542" s="29"/>
      <c r="AF1542" s="29"/>
      <c r="AG1542" s="30"/>
      <c r="AH1542" s="29"/>
      <c r="AI1542" s="29"/>
      <c r="AJ1542" s="29"/>
      <c r="AK1542" s="30"/>
      <c r="AL1542" s="29"/>
      <c r="AM1542" s="29"/>
      <c r="AN1542" s="29"/>
      <c r="AO1542" s="29"/>
      <c r="AP1542" s="29"/>
      <c r="AQ1542" s="29"/>
      <c r="AR1542" s="29"/>
      <c r="AS1542" s="29"/>
      <c r="AT1542" s="88"/>
      <c r="AU1542" s="29"/>
      <c r="AV1542" s="29"/>
      <c r="AW1542" s="29"/>
      <c r="AX1542" s="29"/>
      <c r="AY1542" s="29"/>
      <c r="AZ1542" s="29"/>
      <c r="BA1542" s="29"/>
      <c r="BB1542" s="29"/>
      <c r="BC1542" s="29"/>
      <c r="BD1542" s="29"/>
      <c r="BE1542" s="29"/>
      <c r="BF1542" s="29"/>
      <c r="BG1542" s="29"/>
      <c r="BH1542" s="29"/>
      <c r="BI1542" s="29"/>
      <c r="BJ1542" s="29"/>
      <c r="BK1542" s="29"/>
      <c r="BL1542" s="29"/>
      <c r="BM1542" s="29"/>
      <c r="BN1542" s="20">
        <f t="shared" si="169"/>
        <v>0</v>
      </c>
      <c r="BO1542" s="20">
        <f t="shared" si="170"/>
        <v>0</v>
      </c>
      <c r="BP1542" s="20">
        <f t="shared" si="171"/>
        <v>51</v>
      </c>
      <c r="BQ1542" s="51">
        <f>0.375*0.23*BP1542</f>
        <v>4.39875</v>
      </c>
      <c r="BR1542" s="56" t="s">
        <v>2493</v>
      </c>
      <c r="BS1542" s="33" t="s">
        <v>2494</v>
      </c>
      <c r="BT1542" s="36"/>
      <c r="BU1542" s="35" t="s">
        <v>2482</v>
      </c>
    </row>
    <row r="1543" s="1" customFormat="1" customHeight="1" spans="1:73">
      <c r="A1543" s="15" t="s">
        <v>2495</v>
      </c>
      <c r="B1543" s="15">
        <v>310</v>
      </c>
      <c r="C1543" s="16">
        <v>42</v>
      </c>
      <c r="D1543" s="29"/>
      <c r="E1543" s="30"/>
      <c r="F1543" s="29"/>
      <c r="G1543" s="29"/>
      <c r="H1543" s="29"/>
      <c r="I1543" s="29"/>
      <c r="J1543" s="29"/>
      <c r="K1543" s="29"/>
      <c r="L1543" s="29"/>
      <c r="M1543" s="29">
        <v>3</v>
      </c>
      <c r="N1543" s="29"/>
      <c r="O1543" s="29"/>
      <c r="P1543" s="29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  <c r="AA1543" s="29"/>
      <c r="AB1543" s="29"/>
      <c r="AC1543" s="29"/>
      <c r="AD1543" s="29"/>
      <c r="AE1543" s="29"/>
      <c r="AF1543" s="29"/>
      <c r="AG1543" s="30"/>
      <c r="AH1543" s="29"/>
      <c r="AI1543" s="29"/>
      <c r="AJ1543" s="29"/>
      <c r="AK1543" s="30"/>
      <c r="AL1543" s="29"/>
      <c r="AM1543" s="29"/>
      <c r="AN1543" s="29"/>
      <c r="AO1543" s="29"/>
      <c r="AP1543" s="29"/>
      <c r="AQ1543" s="29"/>
      <c r="AR1543" s="29"/>
      <c r="AS1543" s="29"/>
      <c r="AT1543" s="88"/>
      <c r="AU1543" s="29"/>
      <c r="AV1543" s="29"/>
      <c r="AW1543" s="29"/>
      <c r="AX1543" s="29"/>
      <c r="AY1543" s="29"/>
      <c r="AZ1543" s="29"/>
      <c r="BA1543" s="29"/>
      <c r="BB1543" s="29"/>
      <c r="BC1543" s="29"/>
      <c r="BD1543" s="29"/>
      <c r="BE1543" s="29"/>
      <c r="BF1543" s="29"/>
      <c r="BG1543" s="29"/>
      <c r="BH1543" s="29"/>
      <c r="BI1543" s="29"/>
      <c r="BJ1543" s="29"/>
      <c r="BK1543" s="29"/>
      <c r="BL1543" s="29"/>
      <c r="BM1543" s="29"/>
      <c r="BN1543" s="20">
        <f t="shared" si="169"/>
        <v>0</v>
      </c>
      <c r="BO1543" s="20">
        <f t="shared" si="170"/>
        <v>3</v>
      </c>
      <c r="BP1543" s="20">
        <f t="shared" si="171"/>
        <v>39</v>
      </c>
      <c r="BQ1543" s="51">
        <f t="shared" ref="BQ1543:BQ1546" si="174">B1543*BP1543/1000</f>
        <v>12.09</v>
      </c>
      <c r="BR1543" s="56" t="s">
        <v>429</v>
      </c>
      <c r="BS1543" s="33" t="s">
        <v>430</v>
      </c>
      <c r="BT1543" s="36"/>
      <c r="BU1543" s="35" t="s">
        <v>2482</v>
      </c>
    </row>
    <row r="1544" s="1" customFormat="1" customHeight="1" spans="1:73">
      <c r="A1544" s="15" t="s">
        <v>2495</v>
      </c>
      <c r="B1544" s="15">
        <v>365</v>
      </c>
      <c r="C1544" s="16">
        <v>117</v>
      </c>
      <c r="D1544" s="29"/>
      <c r="E1544" s="30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  <c r="AA1544" s="29"/>
      <c r="AB1544" s="29"/>
      <c r="AC1544" s="29"/>
      <c r="AD1544" s="29"/>
      <c r="AE1544" s="29"/>
      <c r="AF1544" s="29"/>
      <c r="AG1544" s="30"/>
      <c r="AH1544" s="29"/>
      <c r="AI1544" s="29"/>
      <c r="AJ1544" s="29"/>
      <c r="AK1544" s="30"/>
      <c r="AL1544" s="29"/>
      <c r="AM1544" s="29"/>
      <c r="AN1544" s="29"/>
      <c r="AO1544" s="29"/>
      <c r="AP1544" s="29"/>
      <c r="AQ1544" s="29"/>
      <c r="AR1544" s="29"/>
      <c r="AS1544" s="29"/>
      <c r="AT1544" s="88"/>
      <c r="AU1544" s="29"/>
      <c r="AV1544" s="29"/>
      <c r="AW1544" s="29"/>
      <c r="AX1544" s="29"/>
      <c r="AY1544" s="29"/>
      <c r="AZ1544" s="29"/>
      <c r="BA1544" s="29"/>
      <c r="BB1544" s="29"/>
      <c r="BC1544" s="29"/>
      <c r="BD1544" s="29"/>
      <c r="BE1544" s="29"/>
      <c r="BF1544" s="29"/>
      <c r="BG1544" s="29"/>
      <c r="BH1544" s="29"/>
      <c r="BI1544" s="29"/>
      <c r="BJ1544" s="29"/>
      <c r="BK1544" s="29"/>
      <c r="BL1544" s="29"/>
      <c r="BM1544" s="29"/>
      <c r="BN1544" s="20">
        <f t="shared" si="169"/>
        <v>0</v>
      </c>
      <c r="BO1544" s="20">
        <f t="shared" si="170"/>
        <v>0</v>
      </c>
      <c r="BP1544" s="20">
        <f t="shared" si="171"/>
        <v>117</v>
      </c>
      <c r="BQ1544" s="51">
        <f t="shared" si="174"/>
        <v>42.705</v>
      </c>
      <c r="BR1544" s="56" t="s">
        <v>429</v>
      </c>
      <c r="BS1544" s="33" t="s">
        <v>430</v>
      </c>
      <c r="BT1544" s="36"/>
      <c r="BU1544" s="35" t="s">
        <v>2482</v>
      </c>
    </row>
    <row r="1545" s="1" customFormat="1" customHeight="1" spans="1:73">
      <c r="A1545" s="15" t="s">
        <v>2496</v>
      </c>
      <c r="B1545" s="15">
        <v>305</v>
      </c>
      <c r="C1545" s="16">
        <v>50.5</v>
      </c>
      <c r="D1545" s="29"/>
      <c r="E1545" s="30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  <c r="AA1545" s="29"/>
      <c r="AB1545" s="29"/>
      <c r="AC1545" s="29"/>
      <c r="AD1545" s="29"/>
      <c r="AE1545" s="29"/>
      <c r="AF1545" s="29"/>
      <c r="AG1545" s="30"/>
      <c r="AH1545" s="29"/>
      <c r="AI1545" s="29"/>
      <c r="AJ1545" s="29"/>
      <c r="AK1545" s="30"/>
      <c r="AL1545" s="29"/>
      <c r="AM1545" s="29"/>
      <c r="AN1545" s="29"/>
      <c r="AO1545" s="29"/>
      <c r="AP1545" s="29"/>
      <c r="AQ1545" s="29"/>
      <c r="AR1545" s="29"/>
      <c r="AS1545" s="29"/>
      <c r="AT1545" s="88"/>
      <c r="AU1545" s="29"/>
      <c r="AV1545" s="29"/>
      <c r="AW1545" s="29"/>
      <c r="AX1545" s="29"/>
      <c r="AY1545" s="29"/>
      <c r="AZ1545" s="29"/>
      <c r="BA1545" s="29"/>
      <c r="BB1545" s="29"/>
      <c r="BC1545" s="29"/>
      <c r="BD1545" s="29"/>
      <c r="BE1545" s="29"/>
      <c r="BF1545" s="29"/>
      <c r="BG1545" s="29"/>
      <c r="BH1545" s="29"/>
      <c r="BI1545" s="29"/>
      <c r="BJ1545" s="29"/>
      <c r="BK1545" s="29"/>
      <c r="BL1545" s="29"/>
      <c r="BM1545" s="29"/>
      <c r="BN1545" s="20">
        <f t="shared" si="169"/>
        <v>0</v>
      </c>
      <c r="BO1545" s="20">
        <f t="shared" si="170"/>
        <v>0</v>
      </c>
      <c r="BP1545" s="20">
        <f t="shared" si="171"/>
        <v>50.5</v>
      </c>
      <c r="BQ1545" s="51">
        <f t="shared" si="174"/>
        <v>15.4025</v>
      </c>
      <c r="BR1545" s="56" t="s">
        <v>112</v>
      </c>
      <c r="BS1545" s="33" t="s">
        <v>113</v>
      </c>
      <c r="BT1545" s="36"/>
      <c r="BU1545" s="35" t="s">
        <v>2482</v>
      </c>
    </row>
    <row r="1546" s="1" customFormat="1" customHeight="1" spans="1:73">
      <c r="A1546" s="15" t="s">
        <v>2496</v>
      </c>
      <c r="B1546" s="15">
        <v>380</v>
      </c>
      <c r="C1546" s="16">
        <v>23</v>
      </c>
      <c r="D1546" s="29"/>
      <c r="E1546" s="30"/>
      <c r="F1546" s="29"/>
      <c r="G1546" s="29"/>
      <c r="H1546" s="29"/>
      <c r="I1546" s="29"/>
      <c r="J1546" s="29"/>
      <c r="K1546" s="29"/>
      <c r="L1546" s="29"/>
      <c r="M1546" s="29">
        <v>6.5</v>
      </c>
      <c r="N1546" s="29"/>
      <c r="O1546" s="29"/>
      <c r="P1546" s="29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  <c r="AA1546" s="29"/>
      <c r="AB1546" s="29"/>
      <c r="AC1546" s="29"/>
      <c r="AD1546" s="29"/>
      <c r="AE1546" s="29"/>
      <c r="AF1546" s="29"/>
      <c r="AG1546" s="30"/>
      <c r="AH1546" s="29"/>
      <c r="AI1546" s="30"/>
      <c r="AJ1546" s="29"/>
      <c r="AK1546" s="30"/>
      <c r="AL1546" s="29"/>
      <c r="AM1546" s="29"/>
      <c r="AN1546" s="29"/>
      <c r="AO1546" s="29"/>
      <c r="AP1546" s="29"/>
      <c r="AQ1546" s="29"/>
      <c r="AR1546" s="29"/>
      <c r="AS1546" s="29"/>
      <c r="AT1546" s="88"/>
      <c r="AU1546" s="29"/>
      <c r="AV1546" s="29"/>
      <c r="AW1546" s="29"/>
      <c r="AX1546" s="29"/>
      <c r="AY1546" s="29"/>
      <c r="AZ1546" s="29"/>
      <c r="BA1546" s="29"/>
      <c r="BB1546" s="29"/>
      <c r="BC1546" s="29"/>
      <c r="BD1546" s="29"/>
      <c r="BE1546" s="29"/>
      <c r="BF1546" s="29"/>
      <c r="BG1546" s="29"/>
      <c r="BH1546" s="29"/>
      <c r="BI1546" s="29"/>
      <c r="BJ1546" s="29"/>
      <c r="BK1546" s="29"/>
      <c r="BL1546" s="29"/>
      <c r="BM1546" s="29"/>
      <c r="BN1546" s="20">
        <f t="shared" si="169"/>
        <v>0</v>
      </c>
      <c r="BO1546" s="20">
        <f t="shared" si="170"/>
        <v>6.5</v>
      </c>
      <c r="BP1546" s="20">
        <f t="shared" si="171"/>
        <v>16.5</v>
      </c>
      <c r="BQ1546" s="51">
        <f t="shared" si="174"/>
        <v>6.27</v>
      </c>
      <c r="BR1546" s="56" t="s">
        <v>213</v>
      </c>
      <c r="BS1546" s="33" t="s">
        <v>189</v>
      </c>
      <c r="BT1546" s="36"/>
      <c r="BU1546" s="35" t="s">
        <v>2482</v>
      </c>
    </row>
    <row r="1547" s="1" customFormat="1" customHeight="1" spans="1:73">
      <c r="A1547" s="15" t="s">
        <v>2497</v>
      </c>
      <c r="B1547" s="15"/>
      <c r="C1547" s="16"/>
      <c r="D1547" s="29"/>
      <c r="E1547" s="30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  <c r="AA1547" s="29"/>
      <c r="AB1547" s="29"/>
      <c r="AC1547" s="29"/>
      <c r="AD1547" s="29"/>
      <c r="AE1547" s="29"/>
      <c r="AF1547" s="29"/>
      <c r="AG1547" s="30"/>
      <c r="AH1547" s="29"/>
      <c r="AI1547" s="30"/>
      <c r="AJ1547" s="29"/>
      <c r="AK1547" s="30"/>
      <c r="AL1547" s="29"/>
      <c r="AM1547" s="29"/>
      <c r="AN1547" s="29"/>
      <c r="AO1547" s="29"/>
      <c r="AP1547" s="29"/>
      <c r="AQ1547" s="29"/>
      <c r="AR1547" s="29"/>
      <c r="AS1547" s="29"/>
      <c r="AT1547" s="88"/>
      <c r="AU1547" s="29"/>
      <c r="AV1547" s="29"/>
      <c r="AW1547" s="29"/>
      <c r="AX1547" s="29"/>
      <c r="AY1547" s="29"/>
      <c r="AZ1547" s="29"/>
      <c r="BA1547" s="29"/>
      <c r="BB1547" s="29"/>
      <c r="BC1547" s="29"/>
      <c r="BD1547" s="29"/>
      <c r="BE1547" s="29"/>
      <c r="BF1547" s="29"/>
      <c r="BG1547" s="29"/>
      <c r="BH1547" s="29"/>
      <c r="BI1547" s="29"/>
      <c r="BJ1547" s="29"/>
      <c r="BK1547" s="29"/>
      <c r="BL1547" s="29"/>
      <c r="BM1547" s="29"/>
      <c r="BN1547" s="20">
        <f t="shared" si="169"/>
        <v>0</v>
      </c>
      <c r="BO1547" s="20">
        <f t="shared" si="170"/>
        <v>0</v>
      </c>
      <c r="BP1547" s="20">
        <f t="shared" si="171"/>
        <v>0</v>
      </c>
      <c r="BQ1547" s="51"/>
      <c r="BR1547" s="56"/>
      <c r="BS1547" s="33"/>
      <c r="BT1547" s="36"/>
      <c r="BU1547" s="35"/>
    </row>
    <row r="1548" s="1" customFormat="1" customHeight="1" spans="1:73">
      <c r="A1548" s="53" t="s">
        <v>2498</v>
      </c>
      <c r="B1548" s="15"/>
      <c r="C1548" s="16"/>
      <c r="D1548" s="29"/>
      <c r="E1548" s="30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29"/>
      <c r="AB1548" s="29"/>
      <c r="AC1548" s="29"/>
      <c r="AD1548" s="29"/>
      <c r="AE1548" s="29"/>
      <c r="AF1548" s="29"/>
      <c r="AG1548" s="30"/>
      <c r="AH1548" s="29"/>
      <c r="AI1548" s="29"/>
      <c r="AJ1548" s="29"/>
      <c r="AK1548" s="30"/>
      <c r="AL1548" s="29"/>
      <c r="AM1548" s="29"/>
      <c r="AN1548" s="29"/>
      <c r="AO1548" s="29"/>
      <c r="AP1548" s="29"/>
      <c r="AQ1548" s="29"/>
      <c r="AR1548" s="29"/>
      <c r="AS1548" s="29"/>
      <c r="AT1548" s="29"/>
      <c r="AU1548" s="29"/>
      <c r="AV1548" s="29"/>
      <c r="AW1548" s="29"/>
      <c r="AX1548" s="29"/>
      <c r="AY1548" s="29"/>
      <c r="AZ1548" s="29"/>
      <c r="BA1548" s="29"/>
      <c r="BB1548" s="29"/>
      <c r="BC1548" s="29"/>
      <c r="BD1548" s="29"/>
      <c r="BE1548" s="29"/>
      <c r="BF1548" s="29"/>
      <c r="BG1548" s="29"/>
      <c r="BH1548" s="29"/>
      <c r="BI1548" s="29"/>
      <c r="BJ1548" s="29"/>
      <c r="BK1548" s="29"/>
      <c r="BL1548" s="29"/>
      <c r="BM1548" s="29"/>
      <c r="BN1548" s="20">
        <f t="shared" si="169"/>
        <v>0</v>
      </c>
      <c r="BO1548" s="20">
        <f t="shared" si="170"/>
        <v>0</v>
      </c>
      <c r="BP1548" s="20">
        <f t="shared" si="171"/>
        <v>0</v>
      </c>
      <c r="BQ1548" s="51"/>
      <c r="BR1548" s="56"/>
      <c r="BS1548" s="33"/>
      <c r="BT1548" s="36"/>
      <c r="BU1548" s="35"/>
    </row>
    <row r="1549" s="1" customFormat="1" customHeight="1" spans="1:73">
      <c r="A1549" s="52" t="s">
        <v>2499</v>
      </c>
      <c r="B1549" s="15">
        <v>204</v>
      </c>
      <c r="C1549" s="16">
        <v>97</v>
      </c>
      <c r="D1549" s="29"/>
      <c r="E1549" s="30"/>
      <c r="F1549" s="29"/>
      <c r="G1549" s="29"/>
      <c r="H1549" s="29"/>
      <c r="I1549" s="29"/>
      <c r="J1549" s="29"/>
      <c r="K1549" s="29"/>
      <c r="L1549" s="29"/>
      <c r="M1549" s="29">
        <v>4</v>
      </c>
      <c r="N1549" s="29"/>
      <c r="O1549" s="29"/>
      <c r="P1549" s="29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29"/>
      <c r="AB1549" s="29"/>
      <c r="AC1549" s="29"/>
      <c r="AD1549" s="29"/>
      <c r="AE1549" s="29"/>
      <c r="AF1549" s="29"/>
      <c r="AG1549" s="30"/>
      <c r="AH1549" s="29"/>
      <c r="AI1549" s="29"/>
      <c r="AJ1549" s="29"/>
      <c r="AK1549" s="30"/>
      <c r="AL1549" s="29"/>
      <c r="AM1549" s="29"/>
      <c r="AN1549" s="29"/>
      <c r="AO1549" s="29"/>
      <c r="AP1549" s="29"/>
      <c r="AQ1549" s="29"/>
      <c r="AR1549" s="29"/>
      <c r="AS1549" s="29"/>
      <c r="AT1549" s="88"/>
      <c r="AU1549" s="29"/>
      <c r="AV1549" s="29"/>
      <c r="AW1549" s="29"/>
      <c r="AX1549" s="29"/>
      <c r="AY1549" s="29"/>
      <c r="AZ1549" s="29"/>
      <c r="BA1549" s="29"/>
      <c r="BB1549" s="29"/>
      <c r="BC1549" s="29"/>
      <c r="BD1549" s="29"/>
      <c r="BE1549" s="29"/>
      <c r="BF1549" s="29"/>
      <c r="BG1549" s="29"/>
      <c r="BH1549" s="29"/>
      <c r="BI1549" s="29"/>
      <c r="BJ1549" s="29"/>
      <c r="BK1549" s="29"/>
      <c r="BL1549" s="29"/>
      <c r="BM1549" s="29"/>
      <c r="BN1549" s="20">
        <f t="shared" si="169"/>
        <v>0</v>
      </c>
      <c r="BO1549" s="20">
        <f t="shared" si="170"/>
        <v>4</v>
      </c>
      <c r="BP1549" s="20">
        <f t="shared" si="171"/>
        <v>93</v>
      </c>
      <c r="BQ1549" s="51">
        <f t="shared" ref="BQ1549:BQ1551" si="175">B1549*BP1549/1000</f>
        <v>18.972</v>
      </c>
      <c r="BR1549" s="56" t="s">
        <v>522</v>
      </c>
      <c r="BS1549" s="33" t="s">
        <v>523</v>
      </c>
      <c r="BT1549" s="96"/>
      <c r="BU1549" s="35" t="s">
        <v>1273</v>
      </c>
    </row>
    <row r="1550" s="1" customFormat="1" customHeight="1" spans="1:73">
      <c r="A1550" s="52" t="s">
        <v>2499</v>
      </c>
      <c r="B1550" s="15">
        <v>330</v>
      </c>
      <c r="C1550" s="16">
        <v>70</v>
      </c>
      <c r="D1550" s="29"/>
      <c r="E1550" s="30"/>
      <c r="F1550" s="29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  <c r="AA1550" s="29"/>
      <c r="AB1550" s="29"/>
      <c r="AC1550" s="29"/>
      <c r="AD1550" s="29"/>
      <c r="AE1550" s="29"/>
      <c r="AF1550" s="29"/>
      <c r="AG1550" s="30"/>
      <c r="AH1550" s="29"/>
      <c r="AI1550" s="29"/>
      <c r="AJ1550" s="29"/>
      <c r="AK1550" s="30"/>
      <c r="AL1550" s="29"/>
      <c r="AM1550" s="29"/>
      <c r="AN1550" s="29"/>
      <c r="AO1550" s="29"/>
      <c r="AP1550" s="29"/>
      <c r="AQ1550" s="29"/>
      <c r="AR1550" s="29"/>
      <c r="AS1550" s="29"/>
      <c r="AT1550" s="88"/>
      <c r="AU1550" s="29"/>
      <c r="AV1550" s="29"/>
      <c r="AW1550" s="29"/>
      <c r="AX1550" s="29"/>
      <c r="AY1550" s="29"/>
      <c r="AZ1550" s="29"/>
      <c r="BA1550" s="29"/>
      <c r="BB1550" s="29"/>
      <c r="BC1550" s="29"/>
      <c r="BD1550" s="29"/>
      <c r="BE1550" s="29"/>
      <c r="BF1550" s="29"/>
      <c r="BG1550" s="29"/>
      <c r="BH1550" s="29"/>
      <c r="BI1550" s="29"/>
      <c r="BJ1550" s="29"/>
      <c r="BK1550" s="29"/>
      <c r="BL1550" s="29"/>
      <c r="BM1550" s="29"/>
      <c r="BN1550" s="20">
        <f t="shared" si="169"/>
        <v>0</v>
      </c>
      <c r="BO1550" s="20">
        <f t="shared" si="170"/>
        <v>0</v>
      </c>
      <c r="BP1550" s="20">
        <f t="shared" si="171"/>
        <v>70</v>
      </c>
      <c r="BQ1550" s="51">
        <f t="shared" si="175"/>
        <v>23.1</v>
      </c>
      <c r="BR1550" s="56" t="s">
        <v>348</v>
      </c>
      <c r="BS1550" s="33" t="s">
        <v>349</v>
      </c>
      <c r="BT1550" s="96"/>
      <c r="BU1550" s="35" t="s">
        <v>1273</v>
      </c>
    </row>
    <row r="1551" s="1" customFormat="1" customHeight="1" spans="1:73">
      <c r="A1551" s="52" t="s">
        <v>2499</v>
      </c>
      <c r="B1551" s="15">
        <v>406</v>
      </c>
      <c r="C1551" s="16">
        <v>16.3</v>
      </c>
      <c r="D1551" s="29"/>
      <c r="E1551" s="30"/>
      <c r="F1551" s="29"/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  <c r="AA1551" s="29"/>
      <c r="AB1551" s="29"/>
      <c r="AC1551" s="29"/>
      <c r="AD1551" s="29"/>
      <c r="AE1551" s="29"/>
      <c r="AF1551" s="29"/>
      <c r="AG1551" s="30"/>
      <c r="AH1551" s="29"/>
      <c r="AI1551" s="29"/>
      <c r="AJ1551" s="29"/>
      <c r="AK1551" s="30"/>
      <c r="AL1551" s="29"/>
      <c r="AM1551" s="29"/>
      <c r="AN1551" s="29"/>
      <c r="AO1551" s="29"/>
      <c r="AP1551" s="29"/>
      <c r="AQ1551" s="29"/>
      <c r="AR1551" s="29"/>
      <c r="AS1551" s="29"/>
      <c r="AT1551" s="29"/>
      <c r="AU1551" s="29"/>
      <c r="AV1551" s="29"/>
      <c r="AW1551" s="29"/>
      <c r="AX1551" s="29"/>
      <c r="AY1551" s="29"/>
      <c r="AZ1551" s="29"/>
      <c r="BA1551" s="29"/>
      <c r="BB1551" s="29"/>
      <c r="BC1551" s="29"/>
      <c r="BD1551" s="29"/>
      <c r="BE1551" s="29"/>
      <c r="BF1551" s="29"/>
      <c r="BG1551" s="29"/>
      <c r="BH1551" s="29"/>
      <c r="BI1551" s="29"/>
      <c r="BJ1551" s="29"/>
      <c r="BK1551" s="29"/>
      <c r="BL1551" s="29"/>
      <c r="BM1551" s="29"/>
      <c r="BN1551" s="20">
        <f t="shared" si="169"/>
        <v>0</v>
      </c>
      <c r="BO1551" s="20">
        <f t="shared" si="170"/>
        <v>0</v>
      </c>
      <c r="BP1551" s="20">
        <f t="shared" si="171"/>
        <v>16.3</v>
      </c>
      <c r="BQ1551" s="51">
        <f t="shared" si="175"/>
        <v>6.6178</v>
      </c>
      <c r="BR1551" s="56" t="s">
        <v>2500</v>
      </c>
      <c r="BS1551" s="33" t="s">
        <v>2501</v>
      </c>
      <c r="BT1551" s="96" t="s">
        <v>2502</v>
      </c>
      <c r="BU1551" s="35" t="s">
        <v>1273</v>
      </c>
    </row>
    <row r="1552" s="1" customFormat="1" customHeight="1" spans="1:73">
      <c r="A1552" s="53" t="s">
        <v>2503</v>
      </c>
      <c r="B1552" s="15"/>
      <c r="C1552" s="16"/>
      <c r="D1552" s="29"/>
      <c r="E1552" s="30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  <c r="AA1552" s="29"/>
      <c r="AB1552" s="29"/>
      <c r="AC1552" s="29"/>
      <c r="AD1552" s="29"/>
      <c r="AE1552" s="29"/>
      <c r="AF1552" s="29"/>
      <c r="AG1552" s="30"/>
      <c r="AH1552" s="29"/>
      <c r="AI1552" s="29"/>
      <c r="AJ1552" s="29"/>
      <c r="AK1552" s="30"/>
      <c r="AL1552" s="29"/>
      <c r="AM1552" s="29"/>
      <c r="AN1552" s="29"/>
      <c r="AO1552" s="29"/>
      <c r="AP1552" s="29"/>
      <c r="AQ1552" s="29"/>
      <c r="AR1552" s="29"/>
      <c r="AS1552" s="29"/>
      <c r="AT1552" s="29"/>
      <c r="AU1552" s="29"/>
      <c r="AV1552" s="29"/>
      <c r="AW1552" s="29"/>
      <c r="AX1552" s="29"/>
      <c r="AY1552" s="29"/>
      <c r="AZ1552" s="29"/>
      <c r="BA1552" s="29"/>
      <c r="BB1552" s="29"/>
      <c r="BC1552" s="29"/>
      <c r="BD1552" s="29"/>
      <c r="BE1552" s="29"/>
      <c r="BF1552" s="29"/>
      <c r="BG1552" s="29"/>
      <c r="BH1552" s="29"/>
      <c r="BI1552" s="29"/>
      <c r="BJ1552" s="29"/>
      <c r="BK1552" s="29"/>
      <c r="BL1552" s="29"/>
      <c r="BM1552" s="29"/>
      <c r="BN1552" s="20">
        <f t="shared" si="169"/>
        <v>0</v>
      </c>
      <c r="BO1552" s="20">
        <f t="shared" si="170"/>
        <v>0</v>
      </c>
      <c r="BP1552" s="20">
        <f t="shared" si="171"/>
        <v>0</v>
      </c>
      <c r="BQ1552" s="51"/>
      <c r="BR1552" s="56"/>
      <c r="BS1552" s="33"/>
      <c r="BT1552" s="34"/>
      <c r="BU1552" s="35"/>
    </row>
    <row r="1553" s="1" customFormat="1" customHeight="1" spans="1:73">
      <c r="A1553" s="37" t="s">
        <v>2504</v>
      </c>
      <c r="B1553" s="15" t="s">
        <v>2505</v>
      </c>
      <c r="C1553" s="16">
        <v>288</v>
      </c>
      <c r="D1553" s="29"/>
      <c r="E1553" s="30"/>
      <c r="F1553" s="29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  <c r="AA1553" s="29"/>
      <c r="AB1553" s="29"/>
      <c r="AC1553" s="29"/>
      <c r="AD1553" s="29"/>
      <c r="AE1553" s="29"/>
      <c r="AF1553" s="29"/>
      <c r="AG1553" s="30"/>
      <c r="AH1553" s="29"/>
      <c r="AI1553" s="29"/>
      <c r="AJ1553" s="29"/>
      <c r="AK1553" s="30"/>
      <c r="AL1553" s="29"/>
      <c r="AM1553" s="29"/>
      <c r="AN1553" s="29"/>
      <c r="AO1553" s="29"/>
      <c r="AP1553" s="29"/>
      <c r="AQ1553" s="29"/>
      <c r="AR1553" s="29"/>
      <c r="AS1553" s="29"/>
      <c r="AT1553" s="29"/>
      <c r="AU1553" s="29"/>
      <c r="AV1553" s="29"/>
      <c r="AW1553" s="29"/>
      <c r="AX1553" s="29"/>
      <c r="AY1553" s="29"/>
      <c r="AZ1553" s="29"/>
      <c r="BA1553" s="29"/>
      <c r="BB1553" s="29"/>
      <c r="BC1553" s="29"/>
      <c r="BD1553" s="29"/>
      <c r="BE1553" s="29"/>
      <c r="BF1553" s="29"/>
      <c r="BG1553" s="29"/>
      <c r="BH1553" s="29"/>
      <c r="BI1553" s="29"/>
      <c r="BJ1553" s="29"/>
      <c r="BK1553" s="29"/>
      <c r="BL1553" s="29"/>
      <c r="BM1553" s="29"/>
      <c r="BN1553" s="20">
        <f t="shared" si="169"/>
        <v>0</v>
      </c>
      <c r="BO1553" s="20">
        <f t="shared" si="170"/>
        <v>0</v>
      </c>
      <c r="BP1553" s="20">
        <f t="shared" si="171"/>
        <v>288</v>
      </c>
      <c r="BQ1553" s="51">
        <f>0.305*0.235*BP1553</f>
        <v>20.6424</v>
      </c>
      <c r="BR1553" s="56" t="s">
        <v>2506</v>
      </c>
      <c r="BS1553" s="33" t="s">
        <v>2507</v>
      </c>
      <c r="BT1553" s="36" t="s">
        <v>2508</v>
      </c>
      <c r="BU1553" s="35" t="s">
        <v>964</v>
      </c>
    </row>
    <row r="1554" s="1" customFormat="1" customHeight="1" spans="1:73">
      <c r="A1554" s="15" t="s">
        <v>2509</v>
      </c>
      <c r="B1554" s="15" t="s">
        <v>2510</v>
      </c>
      <c r="C1554" s="16">
        <v>975</v>
      </c>
      <c r="D1554" s="29"/>
      <c r="E1554" s="30"/>
      <c r="F1554" s="29"/>
      <c r="G1554" s="29"/>
      <c r="H1554" s="29"/>
      <c r="I1554" s="29">
        <v>975</v>
      </c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  <c r="AA1554" s="29"/>
      <c r="AB1554" s="29"/>
      <c r="AC1554" s="29"/>
      <c r="AD1554" s="29"/>
      <c r="AE1554" s="29"/>
      <c r="AF1554" s="29"/>
      <c r="AG1554" s="30"/>
      <c r="AH1554" s="29"/>
      <c r="AI1554" s="29"/>
      <c r="AJ1554" s="29"/>
      <c r="AK1554" s="30"/>
      <c r="AL1554" s="29"/>
      <c r="AM1554" s="29"/>
      <c r="AN1554" s="29"/>
      <c r="AO1554" s="29"/>
      <c r="AP1554" s="29"/>
      <c r="AQ1554" s="29"/>
      <c r="AR1554" s="29"/>
      <c r="AS1554" s="29"/>
      <c r="AT1554" s="29"/>
      <c r="AU1554" s="29"/>
      <c r="AV1554" s="29"/>
      <c r="AW1554" s="29"/>
      <c r="AX1554" s="29"/>
      <c r="AY1554" s="29"/>
      <c r="AZ1554" s="29"/>
      <c r="BA1554" s="29"/>
      <c r="BB1554" s="29"/>
      <c r="BC1554" s="29"/>
      <c r="BD1554" s="29"/>
      <c r="BE1554" s="29"/>
      <c r="BF1554" s="29"/>
      <c r="BG1554" s="29"/>
      <c r="BH1554" s="29"/>
      <c r="BI1554" s="29"/>
      <c r="BJ1554" s="29"/>
      <c r="BK1554" s="29"/>
      <c r="BL1554" s="29"/>
      <c r="BM1554" s="29"/>
      <c r="BN1554" s="20">
        <f t="shared" si="169"/>
        <v>0</v>
      </c>
      <c r="BO1554" s="20">
        <f t="shared" si="170"/>
        <v>975</v>
      </c>
      <c r="BP1554" s="20">
        <f t="shared" si="171"/>
        <v>0</v>
      </c>
      <c r="BQ1554" s="51">
        <f>0.305*0.235*BP1554</f>
        <v>0</v>
      </c>
      <c r="BR1554" s="56" t="s">
        <v>247</v>
      </c>
      <c r="BS1554" s="33" t="s">
        <v>248</v>
      </c>
      <c r="BT1554" s="34" t="s">
        <v>2511</v>
      </c>
      <c r="BU1554" s="35" t="s">
        <v>964</v>
      </c>
    </row>
    <row r="1555" s="1" customFormat="1" customHeight="1" spans="1:73">
      <c r="A1555" s="15" t="s">
        <v>2509</v>
      </c>
      <c r="B1555" s="15">
        <v>110</v>
      </c>
      <c r="C1555" s="16">
        <v>11</v>
      </c>
      <c r="D1555" s="29"/>
      <c r="E1555" s="30"/>
      <c r="F1555" s="29"/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  <c r="AA1555" s="29"/>
      <c r="AB1555" s="29"/>
      <c r="AC1555" s="29"/>
      <c r="AD1555" s="29"/>
      <c r="AE1555" s="29"/>
      <c r="AF1555" s="29"/>
      <c r="AG1555" s="30"/>
      <c r="AH1555" s="29"/>
      <c r="AI1555" s="29"/>
      <c r="AJ1555" s="29"/>
      <c r="AK1555" s="30"/>
      <c r="AL1555" s="29"/>
      <c r="AM1555" s="29"/>
      <c r="AN1555" s="29"/>
      <c r="AO1555" s="29"/>
      <c r="AP1555" s="29"/>
      <c r="AQ1555" s="29"/>
      <c r="AR1555" s="29"/>
      <c r="AS1555" s="29"/>
      <c r="AT1555" s="29"/>
      <c r="AU1555" s="29"/>
      <c r="AV1555" s="29"/>
      <c r="AW1555" s="29"/>
      <c r="AX1555" s="29"/>
      <c r="AY1555" s="29"/>
      <c r="AZ1555" s="29"/>
      <c r="BA1555" s="29"/>
      <c r="BB1555" s="29"/>
      <c r="BC1555" s="29"/>
      <c r="BD1555" s="29"/>
      <c r="BE1555" s="29"/>
      <c r="BF1555" s="29"/>
      <c r="BG1555" s="29"/>
      <c r="BH1555" s="29"/>
      <c r="BI1555" s="29"/>
      <c r="BJ1555" s="29"/>
      <c r="BK1555" s="29"/>
      <c r="BL1555" s="29"/>
      <c r="BM1555" s="29"/>
      <c r="BN1555" s="20">
        <f t="shared" si="169"/>
        <v>0</v>
      </c>
      <c r="BO1555" s="20">
        <f t="shared" si="170"/>
        <v>0</v>
      </c>
      <c r="BP1555" s="20">
        <f t="shared" si="171"/>
        <v>11</v>
      </c>
      <c r="BQ1555" s="51">
        <f t="shared" ref="BQ1555:BQ1564" si="176">B1555*BP1555/1000</f>
        <v>1.21</v>
      </c>
      <c r="BR1555" s="56" t="s">
        <v>2512</v>
      </c>
      <c r="BS1555" s="33" t="s">
        <v>376</v>
      </c>
      <c r="BT1555" s="36"/>
      <c r="BU1555" s="35" t="s">
        <v>2424</v>
      </c>
    </row>
    <row r="1556" s="1" customFormat="1" customHeight="1" spans="1:73">
      <c r="A1556" s="15" t="s">
        <v>2509</v>
      </c>
      <c r="B1556" s="15">
        <v>175</v>
      </c>
      <c r="C1556" s="16">
        <v>38</v>
      </c>
      <c r="D1556" s="29"/>
      <c r="E1556" s="30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  <c r="AA1556" s="29"/>
      <c r="AB1556" s="29"/>
      <c r="AC1556" s="29"/>
      <c r="AD1556" s="29"/>
      <c r="AE1556" s="29"/>
      <c r="AF1556" s="29"/>
      <c r="AG1556" s="30"/>
      <c r="AH1556" s="29"/>
      <c r="AI1556" s="29"/>
      <c r="AJ1556" s="29"/>
      <c r="AK1556" s="30"/>
      <c r="AL1556" s="29"/>
      <c r="AM1556" s="29"/>
      <c r="AN1556" s="29"/>
      <c r="AO1556" s="29"/>
      <c r="AP1556" s="29"/>
      <c r="AQ1556" s="29"/>
      <c r="AR1556" s="29"/>
      <c r="AS1556" s="29"/>
      <c r="AT1556" s="88"/>
      <c r="AU1556" s="29"/>
      <c r="AV1556" s="29"/>
      <c r="AW1556" s="29"/>
      <c r="AX1556" s="29"/>
      <c r="AY1556" s="29"/>
      <c r="AZ1556" s="29"/>
      <c r="BA1556" s="29"/>
      <c r="BB1556" s="29"/>
      <c r="BC1556" s="29"/>
      <c r="BD1556" s="29"/>
      <c r="BE1556" s="29"/>
      <c r="BF1556" s="29"/>
      <c r="BG1556" s="29"/>
      <c r="BH1556" s="29"/>
      <c r="BI1556" s="29"/>
      <c r="BJ1556" s="29"/>
      <c r="BK1556" s="29"/>
      <c r="BL1556" s="29"/>
      <c r="BM1556" s="29"/>
      <c r="BN1556" s="20">
        <f t="shared" si="169"/>
        <v>0</v>
      </c>
      <c r="BO1556" s="20">
        <f t="shared" si="170"/>
        <v>0</v>
      </c>
      <c r="BP1556" s="20">
        <f t="shared" si="171"/>
        <v>38</v>
      </c>
      <c r="BQ1556" s="51">
        <f t="shared" si="176"/>
        <v>6.65</v>
      </c>
      <c r="BR1556" s="56" t="s">
        <v>102</v>
      </c>
      <c r="BS1556" s="33" t="s">
        <v>103</v>
      </c>
      <c r="BT1556" s="36"/>
      <c r="BU1556" s="35" t="s">
        <v>2451</v>
      </c>
    </row>
    <row r="1557" s="1" customFormat="1" customHeight="1" spans="1:73">
      <c r="A1557" s="15" t="s">
        <v>2509</v>
      </c>
      <c r="B1557" s="15">
        <v>230</v>
      </c>
      <c r="C1557" s="16">
        <v>5</v>
      </c>
      <c r="D1557" s="29"/>
      <c r="E1557" s="30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  <c r="AA1557" s="29"/>
      <c r="AB1557" s="29"/>
      <c r="AC1557" s="29"/>
      <c r="AD1557" s="29"/>
      <c r="AE1557" s="29"/>
      <c r="AF1557" s="29"/>
      <c r="AG1557" s="30"/>
      <c r="AH1557" s="29"/>
      <c r="AI1557" s="29"/>
      <c r="AJ1557" s="29"/>
      <c r="AK1557" s="30"/>
      <c r="AL1557" s="29"/>
      <c r="AM1557" s="30"/>
      <c r="AN1557" s="29"/>
      <c r="AO1557" s="29"/>
      <c r="AP1557" s="29"/>
      <c r="AQ1557" s="29"/>
      <c r="AR1557" s="29"/>
      <c r="AS1557" s="29"/>
      <c r="AT1557" s="88"/>
      <c r="AU1557" s="29"/>
      <c r="AV1557" s="29"/>
      <c r="AW1557" s="29"/>
      <c r="AX1557" s="29"/>
      <c r="AY1557" s="29"/>
      <c r="AZ1557" s="29"/>
      <c r="BA1557" s="29"/>
      <c r="BB1557" s="29"/>
      <c r="BC1557" s="29"/>
      <c r="BD1557" s="29"/>
      <c r="BE1557" s="29"/>
      <c r="BF1557" s="29"/>
      <c r="BG1557" s="29"/>
      <c r="BH1557" s="29"/>
      <c r="BI1557" s="29"/>
      <c r="BJ1557" s="29"/>
      <c r="BK1557" s="29"/>
      <c r="BL1557" s="29"/>
      <c r="BM1557" s="29"/>
      <c r="BN1557" s="20">
        <f t="shared" si="169"/>
        <v>0</v>
      </c>
      <c r="BO1557" s="20">
        <f t="shared" si="170"/>
        <v>0</v>
      </c>
      <c r="BP1557" s="20">
        <f t="shared" si="171"/>
        <v>5</v>
      </c>
      <c r="BQ1557" s="51">
        <f t="shared" si="176"/>
        <v>1.15</v>
      </c>
      <c r="BR1557" s="56" t="s">
        <v>188</v>
      </c>
      <c r="BS1557" s="33" t="s">
        <v>189</v>
      </c>
      <c r="BT1557" s="36"/>
      <c r="BU1557" s="35" t="s">
        <v>2451</v>
      </c>
    </row>
    <row r="1558" s="1" customFormat="1" customHeight="1" spans="1:73">
      <c r="A1558" s="15" t="s">
        <v>2509</v>
      </c>
      <c r="B1558" s="15">
        <v>275</v>
      </c>
      <c r="C1558" s="16">
        <v>49</v>
      </c>
      <c r="D1558" s="29"/>
      <c r="E1558" s="30"/>
      <c r="F1558" s="29"/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  <c r="AA1558" s="29"/>
      <c r="AB1558" s="29"/>
      <c r="AC1558" s="29"/>
      <c r="AD1558" s="29"/>
      <c r="AE1558" s="29"/>
      <c r="AF1558" s="29"/>
      <c r="AG1558" s="30"/>
      <c r="AH1558" s="29"/>
      <c r="AI1558" s="29"/>
      <c r="AJ1558" s="29"/>
      <c r="AK1558" s="30"/>
      <c r="AL1558" s="29"/>
      <c r="AM1558" s="29"/>
      <c r="AN1558" s="29"/>
      <c r="AO1558" s="29"/>
      <c r="AP1558" s="29"/>
      <c r="AQ1558" s="29"/>
      <c r="AR1558" s="29"/>
      <c r="AS1558" s="29"/>
      <c r="AT1558" s="88"/>
      <c r="AU1558" s="29"/>
      <c r="AV1558" s="29"/>
      <c r="AW1558" s="29"/>
      <c r="AX1558" s="29"/>
      <c r="AY1558" s="29"/>
      <c r="AZ1558" s="29"/>
      <c r="BA1558" s="29"/>
      <c r="BB1558" s="29"/>
      <c r="BC1558" s="29"/>
      <c r="BD1558" s="29"/>
      <c r="BE1558" s="29"/>
      <c r="BF1558" s="29"/>
      <c r="BG1558" s="29"/>
      <c r="BH1558" s="29"/>
      <c r="BI1558" s="29"/>
      <c r="BJ1558" s="29"/>
      <c r="BK1558" s="29"/>
      <c r="BL1558" s="29"/>
      <c r="BM1558" s="29"/>
      <c r="BN1558" s="20">
        <f t="shared" si="169"/>
        <v>0</v>
      </c>
      <c r="BO1558" s="20">
        <f t="shared" si="170"/>
        <v>0</v>
      </c>
      <c r="BP1558" s="20">
        <f t="shared" si="171"/>
        <v>49</v>
      </c>
      <c r="BQ1558" s="51">
        <f t="shared" si="176"/>
        <v>13.475</v>
      </c>
      <c r="BR1558" s="56" t="s">
        <v>994</v>
      </c>
      <c r="BS1558" s="33" t="s">
        <v>2513</v>
      </c>
      <c r="BT1558" s="36"/>
      <c r="BU1558" s="35" t="s">
        <v>2451</v>
      </c>
    </row>
    <row r="1559" s="1" customFormat="1" customHeight="1" spans="1:73">
      <c r="A1559" s="15" t="s">
        <v>2509</v>
      </c>
      <c r="B1559" s="15">
        <v>335</v>
      </c>
      <c r="C1559" s="16">
        <v>26.5</v>
      </c>
      <c r="D1559" s="29"/>
      <c r="E1559" s="30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  <c r="AA1559" s="29"/>
      <c r="AB1559" s="29"/>
      <c r="AC1559" s="29"/>
      <c r="AD1559" s="29"/>
      <c r="AE1559" s="29"/>
      <c r="AF1559" s="29"/>
      <c r="AG1559" s="30"/>
      <c r="AH1559" s="29"/>
      <c r="AI1559" s="29"/>
      <c r="AJ1559" s="29"/>
      <c r="AK1559" s="30"/>
      <c r="AL1559" s="29"/>
      <c r="AM1559" s="29"/>
      <c r="AN1559" s="29"/>
      <c r="AO1559" s="29"/>
      <c r="AP1559" s="29"/>
      <c r="AQ1559" s="29"/>
      <c r="AR1559" s="29"/>
      <c r="AS1559" s="29"/>
      <c r="AT1559" s="88"/>
      <c r="AU1559" s="29"/>
      <c r="AV1559" s="29"/>
      <c r="AW1559" s="29"/>
      <c r="AX1559" s="29"/>
      <c r="AY1559" s="29"/>
      <c r="AZ1559" s="29"/>
      <c r="BA1559" s="29"/>
      <c r="BB1559" s="29"/>
      <c r="BC1559" s="29"/>
      <c r="BD1559" s="29"/>
      <c r="BE1559" s="29"/>
      <c r="BF1559" s="29"/>
      <c r="BG1559" s="29"/>
      <c r="BH1559" s="29"/>
      <c r="BI1559" s="29"/>
      <c r="BJ1559" s="29"/>
      <c r="BK1559" s="29"/>
      <c r="BL1559" s="29"/>
      <c r="BM1559" s="29"/>
      <c r="BN1559" s="20">
        <f t="shared" si="169"/>
        <v>0</v>
      </c>
      <c r="BO1559" s="20">
        <f t="shared" si="170"/>
        <v>0</v>
      </c>
      <c r="BP1559" s="20">
        <f t="shared" si="171"/>
        <v>26.5</v>
      </c>
      <c r="BQ1559" s="51">
        <f t="shared" si="176"/>
        <v>8.8775</v>
      </c>
      <c r="BR1559" s="56" t="s">
        <v>994</v>
      </c>
      <c r="BS1559" s="33" t="s">
        <v>2513</v>
      </c>
      <c r="BT1559" s="36"/>
      <c r="BU1559" s="35" t="s">
        <v>2451</v>
      </c>
    </row>
    <row r="1560" s="1" customFormat="1" customHeight="1" spans="1:73">
      <c r="A1560" s="15" t="s">
        <v>2509</v>
      </c>
      <c r="B1560" s="15">
        <v>305</v>
      </c>
      <c r="C1560" s="16">
        <v>14</v>
      </c>
      <c r="D1560" s="29"/>
      <c r="E1560" s="30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  <c r="AA1560" s="29"/>
      <c r="AB1560" s="29"/>
      <c r="AC1560" s="29"/>
      <c r="AD1560" s="29"/>
      <c r="AE1560" s="29"/>
      <c r="AF1560" s="29"/>
      <c r="AG1560" s="30"/>
      <c r="AH1560" s="29"/>
      <c r="AI1560" s="29"/>
      <c r="AJ1560" s="29"/>
      <c r="AK1560" s="30"/>
      <c r="AL1560" s="29"/>
      <c r="AM1560" s="29"/>
      <c r="AN1560" s="29"/>
      <c r="AO1560" s="29"/>
      <c r="AP1560" s="29"/>
      <c r="AQ1560" s="29"/>
      <c r="AR1560" s="29"/>
      <c r="AS1560" s="29"/>
      <c r="AT1560" s="88"/>
      <c r="AU1560" s="29"/>
      <c r="AV1560" s="29"/>
      <c r="AW1560" s="29"/>
      <c r="AX1560" s="29"/>
      <c r="AY1560" s="29"/>
      <c r="AZ1560" s="29"/>
      <c r="BA1560" s="29"/>
      <c r="BB1560" s="29"/>
      <c r="BC1560" s="29"/>
      <c r="BD1560" s="29"/>
      <c r="BE1560" s="29"/>
      <c r="BF1560" s="29"/>
      <c r="BG1560" s="29"/>
      <c r="BH1560" s="29"/>
      <c r="BI1560" s="29"/>
      <c r="BJ1560" s="29"/>
      <c r="BK1560" s="29"/>
      <c r="BL1560" s="29"/>
      <c r="BM1560" s="29"/>
      <c r="BN1560" s="20">
        <f t="shared" si="169"/>
        <v>0</v>
      </c>
      <c r="BO1560" s="20">
        <f t="shared" si="170"/>
        <v>0</v>
      </c>
      <c r="BP1560" s="20">
        <f t="shared" si="171"/>
        <v>14</v>
      </c>
      <c r="BQ1560" s="51">
        <f t="shared" si="176"/>
        <v>4.27</v>
      </c>
      <c r="BR1560" s="56" t="s">
        <v>1569</v>
      </c>
      <c r="BS1560" s="33" t="s">
        <v>228</v>
      </c>
      <c r="BT1560" s="36"/>
      <c r="BU1560" s="35" t="s">
        <v>2451</v>
      </c>
    </row>
    <row r="1561" s="1" customFormat="1" customHeight="1" spans="1:73">
      <c r="A1561" s="15" t="s">
        <v>2514</v>
      </c>
      <c r="B1561" s="15">
        <v>305</v>
      </c>
      <c r="C1561" s="16">
        <v>174</v>
      </c>
      <c r="D1561" s="29"/>
      <c r="E1561" s="30"/>
      <c r="F1561" s="29"/>
      <c r="G1561" s="29"/>
      <c r="H1561" s="29"/>
      <c r="I1561" s="29">
        <v>126</v>
      </c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  <c r="AA1561" s="29"/>
      <c r="AB1561" s="29"/>
      <c r="AC1561" s="29"/>
      <c r="AD1561" s="29"/>
      <c r="AE1561" s="29"/>
      <c r="AF1561" s="29"/>
      <c r="AG1561" s="30"/>
      <c r="AH1561" s="29"/>
      <c r="AI1561" s="29"/>
      <c r="AJ1561" s="29"/>
      <c r="AK1561" s="30"/>
      <c r="AL1561" s="29"/>
      <c r="AM1561" s="29"/>
      <c r="AN1561" s="29"/>
      <c r="AO1561" s="29"/>
      <c r="AP1561" s="29"/>
      <c r="AQ1561" s="29"/>
      <c r="AR1561" s="29"/>
      <c r="AS1561" s="29"/>
      <c r="AT1561" s="88"/>
      <c r="AU1561" s="29"/>
      <c r="AV1561" s="29"/>
      <c r="AW1561" s="29"/>
      <c r="AX1561" s="29"/>
      <c r="AY1561" s="29"/>
      <c r="AZ1561" s="29"/>
      <c r="BA1561" s="29"/>
      <c r="BB1561" s="29"/>
      <c r="BC1561" s="29"/>
      <c r="BD1561" s="29"/>
      <c r="BE1561" s="29"/>
      <c r="BF1561" s="29"/>
      <c r="BG1561" s="29"/>
      <c r="BH1561" s="29"/>
      <c r="BI1561" s="29"/>
      <c r="BJ1561" s="29"/>
      <c r="BK1561" s="29"/>
      <c r="BL1561" s="29"/>
      <c r="BM1561" s="29"/>
      <c r="BN1561" s="20">
        <f t="shared" si="169"/>
        <v>0</v>
      </c>
      <c r="BO1561" s="20">
        <f t="shared" si="170"/>
        <v>126</v>
      </c>
      <c r="BP1561" s="20">
        <f t="shared" si="171"/>
        <v>48</v>
      </c>
      <c r="BQ1561" s="51">
        <f t="shared" si="176"/>
        <v>14.64</v>
      </c>
      <c r="BR1561" s="56" t="s">
        <v>1569</v>
      </c>
      <c r="BS1561" s="33" t="s">
        <v>228</v>
      </c>
      <c r="BT1561" s="50" t="s">
        <v>2515</v>
      </c>
      <c r="BU1561" s="35" t="s">
        <v>2451</v>
      </c>
    </row>
    <row r="1562" s="1" customFormat="1" customHeight="1" spans="1:73">
      <c r="A1562" s="15" t="s">
        <v>2509</v>
      </c>
      <c r="B1562" s="15">
        <v>380</v>
      </c>
      <c r="C1562" s="16">
        <v>12</v>
      </c>
      <c r="D1562" s="29"/>
      <c r="E1562" s="30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  <c r="AA1562" s="29"/>
      <c r="AB1562" s="29"/>
      <c r="AC1562" s="29"/>
      <c r="AD1562" s="29"/>
      <c r="AE1562" s="29"/>
      <c r="AF1562" s="29"/>
      <c r="AG1562" s="30"/>
      <c r="AH1562" s="29"/>
      <c r="AI1562" s="29"/>
      <c r="AJ1562" s="29"/>
      <c r="AK1562" s="30"/>
      <c r="AL1562" s="29"/>
      <c r="AM1562" s="29"/>
      <c r="AN1562" s="29"/>
      <c r="AO1562" s="29"/>
      <c r="AP1562" s="29"/>
      <c r="AQ1562" s="29"/>
      <c r="AR1562" s="29"/>
      <c r="AS1562" s="29"/>
      <c r="AT1562" s="88"/>
      <c r="AU1562" s="29"/>
      <c r="AV1562" s="29"/>
      <c r="AW1562" s="29"/>
      <c r="AX1562" s="29"/>
      <c r="AY1562" s="29"/>
      <c r="AZ1562" s="29"/>
      <c r="BA1562" s="29"/>
      <c r="BB1562" s="29"/>
      <c r="BC1562" s="29"/>
      <c r="BD1562" s="29"/>
      <c r="BE1562" s="29"/>
      <c r="BF1562" s="29"/>
      <c r="BG1562" s="29"/>
      <c r="BH1562" s="29"/>
      <c r="BI1562" s="29"/>
      <c r="BJ1562" s="29"/>
      <c r="BK1562" s="29"/>
      <c r="BL1562" s="29"/>
      <c r="BM1562" s="29"/>
      <c r="BN1562" s="20">
        <f t="shared" si="169"/>
        <v>0</v>
      </c>
      <c r="BO1562" s="20">
        <f t="shared" si="170"/>
        <v>0</v>
      </c>
      <c r="BP1562" s="20">
        <f t="shared" si="171"/>
        <v>12</v>
      </c>
      <c r="BQ1562" s="51">
        <f t="shared" si="176"/>
        <v>4.56</v>
      </c>
      <c r="BR1562" s="56" t="s">
        <v>188</v>
      </c>
      <c r="BS1562" s="33" t="s">
        <v>189</v>
      </c>
      <c r="BT1562" s="36"/>
      <c r="BU1562" s="35" t="s">
        <v>2451</v>
      </c>
    </row>
    <row r="1563" s="1" customFormat="1" customHeight="1" spans="1:73">
      <c r="A1563" s="66" t="s">
        <v>2516</v>
      </c>
      <c r="B1563" s="15">
        <v>305</v>
      </c>
      <c r="C1563" s="16">
        <v>2.5</v>
      </c>
      <c r="D1563" s="29"/>
      <c r="E1563" s="30"/>
      <c r="F1563" s="29"/>
      <c r="G1563" s="29"/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54"/>
      <c r="S1563" s="29"/>
      <c r="T1563" s="29"/>
      <c r="U1563" s="29"/>
      <c r="V1563" s="29"/>
      <c r="W1563" s="29"/>
      <c r="X1563" s="29"/>
      <c r="Y1563" s="29"/>
      <c r="Z1563" s="29"/>
      <c r="AA1563" s="29"/>
      <c r="AB1563" s="29"/>
      <c r="AC1563" s="29"/>
      <c r="AD1563" s="29"/>
      <c r="AE1563" s="29"/>
      <c r="AF1563" s="29"/>
      <c r="AG1563" s="30"/>
      <c r="AH1563" s="29"/>
      <c r="AI1563" s="29"/>
      <c r="AJ1563" s="29"/>
      <c r="AK1563" s="30"/>
      <c r="AL1563" s="29"/>
      <c r="AM1563" s="29"/>
      <c r="AN1563" s="29"/>
      <c r="AO1563" s="29"/>
      <c r="AP1563" s="29"/>
      <c r="AQ1563" s="29"/>
      <c r="AR1563" s="29"/>
      <c r="AS1563" s="29"/>
      <c r="AT1563" s="29"/>
      <c r="AU1563" s="29"/>
      <c r="AV1563" s="29"/>
      <c r="AW1563" s="29"/>
      <c r="AX1563" s="29"/>
      <c r="AY1563" s="29"/>
      <c r="AZ1563" s="29"/>
      <c r="BA1563" s="29"/>
      <c r="BB1563" s="29"/>
      <c r="BC1563" s="29"/>
      <c r="BD1563" s="29"/>
      <c r="BE1563" s="29"/>
      <c r="BF1563" s="29"/>
      <c r="BG1563" s="29"/>
      <c r="BH1563" s="29"/>
      <c r="BI1563" s="29"/>
      <c r="BJ1563" s="29"/>
      <c r="BK1563" s="29"/>
      <c r="BL1563" s="29"/>
      <c r="BM1563" s="29"/>
      <c r="BN1563" s="20">
        <f t="shared" si="169"/>
        <v>0</v>
      </c>
      <c r="BO1563" s="20">
        <f t="shared" si="170"/>
        <v>0</v>
      </c>
      <c r="BP1563" s="20">
        <f t="shared" si="171"/>
        <v>2.5</v>
      </c>
      <c r="BQ1563" s="51">
        <f t="shared" si="176"/>
        <v>0.7625</v>
      </c>
      <c r="BR1563" s="56" t="s">
        <v>265</v>
      </c>
      <c r="BS1563" s="33" t="s">
        <v>2517</v>
      </c>
      <c r="BT1563" s="36"/>
      <c r="BU1563" s="35" t="s">
        <v>2451</v>
      </c>
    </row>
    <row r="1564" s="1" customFormat="1" customHeight="1" spans="1:73">
      <c r="A1564" s="66" t="s">
        <v>2516</v>
      </c>
      <c r="B1564" s="15">
        <v>315</v>
      </c>
      <c r="C1564" s="16">
        <v>20.5</v>
      </c>
      <c r="D1564" s="29"/>
      <c r="E1564" s="30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54"/>
      <c r="S1564" s="29"/>
      <c r="T1564" s="29"/>
      <c r="U1564" s="29"/>
      <c r="V1564" s="29"/>
      <c r="W1564" s="29"/>
      <c r="X1564" s="29"/>
      <c r="Y1564" s="29"/>
      <c r="Z1564" s="29"/>
      <c r="AA1564" s="29"/>
      <c r="AB1564" s="29"/>
      <c r="AC1564" s="29"/>
      <c r="AD1564" s="29"/>
      <c r="AE1564" s="29"/>
      <c r="AF1564" s="29"/>
      <c r="AG1564" s="30"/>
      <c r="AH1564" s="29"/>
      <c r="AI1564" s="29"/>
      <c r="AJ1564" s="29"/>
      <c r="AK1564" s="30"/>
      <c r="AL1564" s="29"/>
      <c r="AM1564" s="29"/>
      <c r="AN1564" s="29"/>
      <c r="AO1564" s="29"/>
      <c r="AP1564" s="29"/>
      <c r="AQ1564" s="29"/>
      <c r="AR1564" s="29"/>
      <c r="AS1564" s="29"/>
      <c r="AT1564" s="29"/>
      <c r="AU1564" s="29"/>
      <c r="AV1564" s="29"/>
      <c r="AW1564" s="29"/>
      <c r="AX1564" s="29"/>
      <c r="AY1564" s="29"/>
      <c r="AZ1564" s="29"/>
      <c r="BA1564" s="29"/>
      <c r="BB1564" s="29"/>
      <c r="BC1564" s="29"/>
      <c r="BD1564" s="29"/>
      <c r="BE1564" s="29"/>
      <c r="BF1564" s="29"/>
      <c r="BG1564" s="29"/>
      <c r="BH1564" s="29"/>
      <c r="BI1564" s="29"/>
      <c r="BJ1564" s="29"/>
      <c r="BK1564" s="29"/>
      <c r="BL1564" s="29"/>
      <c r="BM1564" s="29"/>
      <c r="BN1564" s="20">
        <f t="shared" si="169"/>
        <v>0</v>
      </c>
      <c r="BO1564" s="20">
        <f t="shared" si="170"/>
        <v>0</v>
      </c>
      <c r="BP1564" s="20">
        <f t="shared" si="171"/>
        <v>20.5</v>
      </c>
      <c r="BQ1564" s="51">
        <f t="shared" si="176"/>
        <v>6.4575</v>
      </c>
      <c r="BR1564" s="56" t="s">
        <v>2518</v>
      </c>
      <c r="BS1564" s="33" t="s">
        <v>2519</v>
      </c>
      <c r="BT1564" s="36"/>
      <c r="BU1564" s="35" t="s">
        <v>2451</v>
      </c>
    </row>
    <row r="1565" s="1" customFormat="1" customHeight="1" spans="1:73">
      <c r="A1565" s="37" t="s">
        <v>2504</v>
      </c>
      <c r="B1565" s="15" t="s">
        <v>2505</v>
      </c>
      <c r="C1565" s="16">
        <v>288</v>
      </c>
      <c r="D1565" s="29"/>
      <c r="E1565" s="30"/>
      <c r="F1565" s="29"/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29"/>
      <c r="AB1565" s="29"/>
      <c r="AC1565" s="29"/>
      <c r="AD1565" s="29"/>
      <c r="AE1565" s="29"/>
      <c r="AF1565" s="29"/>
      <c r="AG1565" s="30"/>
      <c r="AH1565" s="29"/>
      <c r="AI1565" s="29"/>
      <c r="AJ1565" s="29"/>
      <c r="AK1565" s="30"/>
      <c r="AL1565" s="29"/>
      <c r="AM1565" s="29"/>
      <c r="AN1565" s="29"/>
      <c r="AO1565" s="29"/>
      <c r="AP1565" s="29"/>
      <c r="AQ1565" s="29"/>
      <c r="AR1565" s="29"/>
      <c r="AS1565" s="29"/>
      <c r="AT1565" s="29"/>
      <c r="AU1565" s="29"/>
      <c r="AV1565" s="29"/>
      <c r="AW1565" s="29"/>
      <c r="AX1565" s="29"/>
      <c r="AY1565" s="29"/>
      <c r="AZ1565" s="29"/>
      <c r="BA1565" s="29"/>
      <c r="BB1565" s="29"/>
      <c r="BC1565" s="29"/>
      <c r="BD1565" s="29"/>
      <c r="BE1565" s="29"/>
      <c r="BF1565" s="29"/>
      <c r="BG1565" s="29"/>
      <c r="BH1565" s="29"/>
      <c r="BI1565" s="29"/>
      <c r="BJ1565" s="29"/>
      <c r="BK1565" s="29"/>
      <c r="BL1565" s="29"/>
      <c r="BM1565" s="29"/>
      <c r="BN1565" s="20">
        <f t="shared" si="169"/>
        <v>0</v>
      </c>
      <c r="BO1565" s="20">
        <f t="shared" si="170"/>
        <v>0</v>
      </c>
      <c r="BP1565" s="20">
        <f t="shared" si="171"/>
        <v>288</v>
      </c>
      <c r="BQ1565" s="51">
        <f>0.305*0.235*BP1565</f>
        <v>20.6424</v>
      </c>
      <c r="BR1565" s="56" t="s">
        <v>2506</v>
      </c>
      <c r="BS1565" s="33" t="s">
        <v>2507</v>
      </c>
      <c r="BT1565" s="36" t="s">
        <v>2508</v>
      </c>
      <c r="BU1565" s="35" t="s">
        <v>964</v>
      </c>
    </row>
    <row r="1566" s="1" customFormat="1" customHeight="1" spans="1:73">
      <c r="A1566" s="37" t="s">
        <v>2504</v>
      </c>
      <c r="B1566" s="15" t="s">
        <v>2520</v>
      </c>
      <c r="C1566" s="16">
        <v>394</v>
      </c>
      <c r="D1566" s="29"/>
      <c r="E1566" s="30"/>
      <c r="F1566" s="29"/>
      <c r="G1566" s="29"/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  <c r="AA1566" s="29"/>
      <c r="AB1566" s="29"/>
      <c r="AC1566" s="29"/>
      <c r="AD1566" s="29"/>
      <c r="AE1566" s="29"/>
      <c r="AF1566" s="29"/>
      <c r="AG1566" s="30"/>
      <c r="AH1566" s="29"/>
      <c r="AI1566" s="29"/>
      <c r="AJ1566" s="29"/>
      <c r="AK1566" s="30"/>
      <c r="AL1566" s="29"/>
      <c r="AM1566" s="29"/>
      <c r="AN1566" s="29"/>
      <c r="AO1566" s="29"/>
      <c r="AP1566" s="29"/>
      <c r="AQ1566" s="29"/>
      <c r="AR1566" s="29"/>
      <c r="AS1566" s="29"/>
      <c r="AT1566" s="29"/>
      <c r="AU1566" s="29"/>
      <c r="AV1566" s="29"/>
      <c r="AW1566" s="29"/>
      <c r="AX1566" s="29"/>
      <c r="AY1566" s="29"/>
      <c r="AZ1566" s="29"/>
      <c r="BA1566" s="29"/>
      <c r="BB1566" s="29"/>
      <c r="BC1566" s="29"/>
      <c r="BD1566" s="29"/>
      <c r="BE1566" s="29"/>
      <c r="BF1566" s="29"/>
      <c r="BG1566" s="29"/>
      <c r="BH1566" s="29"/>
      <c r="BI1566" s="29"/>
      <c r="BJ1566" s="29"/>
      <c r="BK1566" s="29"/>
      <c r="BL1566" s="29"/>
      <c r="BM1566" s="29"/>
      <c r="BN1566" s="20">
        <f t="shared" si="169"/>
        <v>0</v>
      </c>
      <c r="BO1566" s="20">
        <f t="shared" si="170"/>
        <v>0</v>
      </c>
      <c r="BP1566" s="20">
        <f t="shared" si="171"/>
        <v>394</v>
      </c>
      <c r="BQ1566" s="51">
        <f>0.35*0.25*BP1566</f>
        <v>34.475</v>
      </c>
      <c r="BR1566" s="56" t="s">
        <v>2506</v>
      </c>
      <c r="BS1566" s="33" t="s">
        <v>2507</v>
      </c>
      <c r="BT1566" s="204" t="s">
        <v>2521</v>
      </c>
      <c r="BU1566" s="35" t="s">
        <v>964</v>
      </c>
    </row>
    <row r="1567" s="1" customFormat="1" customHeight="1" spans="1:73">
      <c r="A1567" s="37" t="s">
        <v>2504</v>
      </c>
      <c r="B1567" s="15" t="s">
        <v>2522</v>
      </c>
      <c r="C1567" s="16">
        <v>73</v>
      </c>
      <c r="D1567" s="29"/>
      <c r="E1567" s="30"/>
      <c r="F1567" s="29"/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  <c r="AA1567" s="29"/>
      <c r="AB1567" s="29"/>
      <c r="AC1567" s="29"/>
      <c r="AD1567" s="29"/>
      <c r="AE1567" s="29"/>
      <c r="AF1567" s="29"/>
      <c r="AG1567" s="30"/>
      <c r="AH1567" s="29"/>
      <c r="AI1567" s="29"/>
      <c r="AJ1567" s="29"/>
      <c r="AK1567" s="30"/>
      <c r="AL1567" s="29"/>
      <c r="AM1567" s="29"/>
      <c r="AN1567" s="29"/>
      <c r="AO1567" s="29"/>
      <c r="AP1567" s="29"/>
      <c r="AQ1567" s="29"/>
      <c r="AR1567" s="29"/>
      <c r="AS1567" s="29"/>
      <c r="AT1567" s="29"/>
      <c r="AU1567" s="29"/>
      <c r="AV1567" s="29"/>
      <c r="AW1567" s="29"/>
      <c r="AX1567" s="29"/>
      <c r="AY1567" s="29"/>
      <c r="AZ1567" s="29"/>
      <c r="BA1567" s="29"/>
      <c r="BB1567" s="29"/>
      <c r="BC1567" s="29"/>
      <c r="BD1567" s="29"/>
      <c r="BE1567" s="29"/>
      <c r="BF1567" s="29"/>
      <c r="BG1567" s="29"/>
      <c r="BH1567" s="29"/>
      <c r="BI1567" s="29"/>
      <c r="BJ1567" s="29"/>
      <c r="BK1567" s="29"/>
      <c r="BL1567" s="29"/>
      <c r="BM1567" s="29"/>
      <c r="BN1567" s="20">
        <f t="shared" si="169"/>
        <v>0</v>
      </c>
      <c r="BO1567" s="20">
        <f t="shared" si="170"/>
        <v>0</v>
      </c>
      <c r="BP1567" s="20">
        <f t="shared" si="171"/>
        <v>73</v>
      </c>
      <c r="BQ1567" s="51">
        <f>0.5*0.26*BP1567</f>
        <v>9.49</v>
      </c>
      <c r="BR1567" s="56" t="s">
        <v>2523</v>
      </c>
      <c r="BS1567" s="33" t="s">
        <v>2524</v>
      </c>
      <c r="BT1567" s="85" t="s">
        <v>2525</v>
      </c>
      <c r="BU1567" s="35" t="s">
        <v>964</v>
      </c>
    </row>
    <row r="1568" s="1" customFormat="1" customHeight="1" spans="1:73">
      <c r="A1568" s="125" t="s">
        <v>2526</v>
      </c>
      <c r="B1568" s="15" t="s">
        <v>516</v>
      </c>
      <c r="C1568" s="16">
        <v>19</v>
      </c>
      <c r="D1568" s="29"/>
      <c r="E1568" s="30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  <c r="AA1568" s="29"/>
      <c r="AB1568" s="29"/>
      <c r="AC1568" s="29"/>
      <c r="AD1568" s="29"/>
      <c r="AE1568" s="29"/>
      <c r="AF1568" s="29"/>
      <c r="AG1568" s="30"/>
      <c r="AH1568" s="29"/>
      <c r="AI1568" s="29"/>
      <c r="AJ1568" s="29"/>
      <c r="AK1568" s="30"/>
      <c r="AL1568" s="29"/>
      <c r="AM1568" s="29"/>
      <c r="AN1568" s="29"/>
      <c r="AO1568" s="29"/>
      <c r="AP1568" s="29"/>
      <c r="AQ1568" s="29"/>
      <c r="AR1568" s="29"/>
      <c r="AS1568" s="29"/>
      <c r="AT1568" s="29"/>
      <c r="AU1568" s="29"/>
      <c r="AV1568" s="29"/>
      <c r="AW1568" s="29"/>
      <c r="AX1568" s="29"/>
      <c r="AY1568" s="29"/>
      <c r="AZ1568" s="29"/>
      <c r="BA1568" s="29"/>
      <c r="BB1568" s="29"/>
      <c r="BC1568" s="29"/>
      <c r="BD1568" s="29"/>
      <c r="BE1568" s="29"/>
      <c r="BF1568" s="29"/>
      <c r="BG1568" s="29"/>
      <c r="BH1568" s="29"/>
      <c r="BI1568" s="29"/>
      <c r="BJ1568" s="29"/>
      <c r="BK1568" s="29"/>
      <c r="BL1568" s="29"/>
      <c r="BM1568" s="29"/>
      <c r="BN1568" s="20">
        <f t="shared" si="169"/>
        <v>0</v>
      </c>
      <c r="BO1568" s="20">
        <f t="shared" si="170"/>
        <v>0</v>
      </c>
      <c r="BP1568" s="20">
        <f t="shared" si="171"/>
        <v>19</v>
      </c>
      <c r="BQ1568" s="51">
        <f>0.31*0.15*BP1568</f>
        <v>0.8835</v>
      </c>
      <c r="BR1568" s="56" t="s">
        <v>2527</v>
      </c>
      <c r="BS1568" s="33" t="s">
        <v>2528</v>
      </c>
      <c r="BT1568" s="36" t="s">
        <v>2529</v>
      </c>
      <c r="BU1568" s="35" t="s">
        <v>964</v>
      </c>
    </row>
    <row r="1569" s="1" customFormat="1" customHeight="1" spans="1:73">
      <c r="A1569" s="37" t="s">
        <v>2504</v>
      </c>
      <c r="B1569" s="15">
        <v>235</v>
      </c>
      <c r="C1569" s="16">
        <v>103</v>
      </c>
      <c r="D1569" s="29"/>
      <c r="E1569" s="30"/>
      <c r="F1569" s="29"/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  <c r="AA1569" s="29"/>
      <c r="AB1569" s="29"/>
      <c r="AC1569" s="29"/>
      <c r="AD1569" s="29"/>
      <c r="AE1569" s="29"/>
      <c r="AF1569" s="29"/>
      <c r="AG1569" s="30"/>
      <c r="AH1569" s="29"/>
      <c r="AI1569" s="29"/>
      <c r="AJ1569" s="29"/>
      <c r="AK1569" s="30"/>
      <c r="AL1569" s="29"/>
      <c r="AM1569" s="29"/>
      <c r="AN1569" s="29"/>
      <c r="AO1569" s="29"/>
      <c r="AP1569" s="29"/>
      <c r="AQ1569" s="29"/>
      <c r="AR1569" s="29"/>
      <c r="AS1569" s="29"/>
      <c r="AT1569" s="29"/>
      <c r="AU1569" s="29"/>
      <c r="AV1569" s="29"/>
      <c r="AW1569" s="29"/>
      <c r="AX1569" s="29"/>
      <c r="AY1569" s="29"/>
      <c r="AZ1569" s="29"/>
      <c r="BA1569" s="29"/>
      <c r="BB1569" s="29"/>
      <c r="BC1569" s="29"/>
      <c r="BD1569" s="29"/>
      <c r="BE1569" s="29"/>
      <c r="BF1569" s="29"/>
      <c r="BG1569" s="29"/>
      <c r="BH1569" s="29"/>
      <c r="BI1569" s="29"/>
      <c r="BJ1569" s="29"/>
      <c r="BK1569" s="29"/>
      <c r="BL1569" s="29"/>
      <c r="BM1569" s="29"/>
      <c r="BN1569" s="20">
        <f t="shared" si="169"/>
        <v>0</v>
      </c>
      <c r="BO1569" s="20">
        <f t="shared" si="170"/>
        <v>0</v>
      </c>
      <c r="BP1569" s="20">
        <f t="shared" si="171"/>
        <v>103</v>
      </c>
      <c r="BQ1569" s="51">
        <f t="shared" ref="BQ1569:BQ1571" si="177">B1569*BP1569/1000</f>
        <v>24.205</v>
      </c>
      <c r="BR1569" s="56" t="s">
        <v>2530</v>
      </c>
      <c r="BS1569" s="33" t="s">
        <v>376</v>
      </c>
      <c r="BT1569" s="36" t="s">
        <v>2508</v>
      </c>
      <c r="BU1569" s="35" t="s">
        <v>950</v>
      </c>
    </row>
    <row r="1570" s="1" customFormat="1" customHeight="1" spans="1:73">
      <c r="A1570" s="37" t="s">
        <v>2504</v>
      </c>
      <c r="B1570" s="15">
        <v>260</v>
      </c>
      <c r="C1570" s="16">
        <v>46</v>
      </c>
      <c r="D1570" s="29"/>
      <c r="E1570" s="30"/>
      <c r="F1570" s="29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  <c r="AA1570" s="29"/>
      <c r="AB1570" s="29"/>
      <c r="AC1570" s="29"/>
      <c r="AD1570" s="29"/>
      <c r="AE1570" s="29"/>
      <c r="AF1570" s="29"/>
      <c r="AG1570" s="30"/>
      <c r="AH1570" s="29"/>
      <c r="AI1570" s="29"/>
      <c r="AJ1570" s="29"/>
      <c r="AK1570" s="30"/>
      <c r="AL1570" s="29"/>
      <c r="AM1570" s="29"/>
      <c r="AN1570" s="29"/>
      <c r="AO1570" s="29"/>
      <c r="AP1570" s="29"/>
      <c r="AQ1570" s="29"/>
      <c r="AR1570" s="29"/>
      <c r="AS1570" s="29"/>
      <c r="AT1570" s="29"/>
      <c r="AU1570" s="29"/>
      <c r="AV1570" s="29"/>
      <c r="AW1570" s="29"/>
      <c r="AX1570" s="29"/>
      <c r="AY1570" s="29"/>
      <c r="AZ1570" s="29"/>
      <c r="BA1570" s="29"/>
      <c r="BB1570" s="29"/>
      <c r="BC1570" s="29"/>
      <c r="BD1570" s="29"/>
      <c r="BE1570" s="29"/>
      <c r="BF1570" s="29"/>
      <c r="BG1570" s="29"/>
      <c r="BH1570" s="29"/>
      <c r="BI1570" s="29"/>
      <c r="BJ1570" s="29"/>
      <c r="BK1570" s="29"/>
      <c r="BL1570" s="29"/>
      <c r="BM1570" s="29"/>
      <c r="BN1570" s="20">
        <f t="shared" si="169"/>
        <v>0</v>
      </c>
      <c r="BO1570" s="20">
        <f t="shared" si="170"/>
        <v>0</v>
      </c>
      <c r="BP1570" s="20">
        <f t="shared" si="171"/>
        <v>46</v>
      </c>
      <c r="BQ1570" s="51">
        <f t="shared" si="177"/>
        <v>11.96</v>
      </c>
      <c r="BR1570" s="56" t="s">
        <v>309</v>
      </c>
      <c r="BS1570" s="33" t="s">
        <v>310</v>
      </c>
      <c r="BT1570" s="85" t="s">
        <v>2525</v>
      </c>
      <c r="BU1570" s="35" t="s">
        <v>950</v>
      </c>
    </row>
    <row r="1571" s="1" customFormat="1" customHeight="1" spans="1:73">
      <c r="A1571" s="37" t="s">
        <v>2531</v>
      </c>
      <c r="B1571" s="15">
        <v>350</v>
      </c>
      <c r="C1571" s="16">
        <v>106.5</v>
      </c>
      <c r="D1571" s="29"/>
      <c r="E1571" s="30"/>
      <c r="F1571" s="29"/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  <c r="AA1571" s="29"/>
      <c r="AB1571" s="29"/>
      <c r="AC1571" s="29"/>
      <c r="AD1571" s="29"/>
      <c r="AE1571" s="29"/>
      <c r="AF1571" s="29"/>
      <c r="AG1571" s="30"/>
      <c r="AH1571" s="29"/>
      <c r="AI1571" s="29"/>
      <c r="AJ1571" s="29"/>
      <c r="AK1571" s="30"/>
      <c r="AL1571" s="29"/>
      <c r="AM1571" s="29"/>
      <c r="AN1571" s="29"/>
      <c r="AO1571" s="29"/>
      <c r="AP1571" s="29"/>
      <c r="AQ1571" s="29"/>
      <c r="AR1571" s="29"/>
      <c r="AS1571" s="29"/>
      <c r="AT1571" s="29"/>
      <c r="AU1571" s="29"/>
      <c r="AV1571" s="29"/>
      <c r="AW1571" s="29"/>
      <c r="AX1571" s="29"/>
      <c r="AY1571" s="29"/>
      <c r="AZ1571" s="29"/>
      <c r="BA1571" s="29"/>
      <c r="BB1571" s="29"/>
      <c r="BC1571" s="29"/>
      <c r="BD1571" s="29"/>
      <c r="BE1571" s="29"/>
      <c r="BF1571" s="29"/>
      <c r="BG1571" s="29"/>
      <c r="BH1571" s="29"/>
      <c r="BI1571" s="29"/>
      <c r="BJ1571" s="29"/>
      <c r="BK1571" s="29"/>
      <c r="BL1571" s="29"/>
      <c r="BM1571" s="29"/>
      <c r="BN1571" s="20">
        <f t="shared" si="169"/>
        <v>0</v>
      </c>
      <c r="BO1571" s="20">
        <f t="shared" si="170"/>
        <v>0</v>
      </c>
      <c r="BP1571" s="20">
        <f t="shared" si="171"/>
        <v>106.5</v>
      </c>
      <c r="BQ1571" s="51">
        <f t="shared" si="177"/>
        <v>37.275</v>
      </c>
      <c r="BR1571" s="56" t="s">
        <v>309</v>
      </c>
      <c r="BS1571" s="33" t="s">
        <v>310</v>
      </c>
      <c r="BT1571" s="85" t="s">
        <v>2525</v>
      </c>
      <c r="BU1571" s="35" t="s">
        <v>950</v>
      </c>
    </row>
    <row r="1572" s="1" customFormat="1" customHeight="1" spans="1:73">
      <c r="A1572" s="37" t="s">
        <v>2532</v>
      </c>
      <c r="B1572" s="15" t="s">
        <v>2533</v>
      </c>
      <c r="C1572" s="16">
        <v>69</v>
      </c>
      <c r="D1572" s="29"/>
      <c r="E1572" s="30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  <c r="AA1572" s="29"/>
      <c r="AB1572" s="29"/>
      <c r="AC1572" s="29"/>
      <c r="AD1572" s="29"/>
      <c r="AE1572" s="29"/>
      <c r="AF1572" s="29"/>
      <c r="AG1572" s="30"/>
      <c r="AH1572" s="29"/>
      <c r="AI1572" s="29"/>
      <c r="AJ1572" s="29"/>
      <c r="AK1572" s="30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X1572" s="29"/>
      <c r="AY1572" s="29"/>
      <c r="AZ1572" s="29"/>
      <c r="BA1572" s="29"/>
      <c r="BB1572" s="29"/>
      <c r="BC1572" s="29"/>
      <c r="BD1572" s="29"/>
      <c r="BE1572" s="29"/>
      <c r="BF1572" s="29"/>
      <c r="BG1572" s="29"/>
      <c r="BH1572" s="29"/>
      <c r="BI1572" s="29"/>
      <c r="BJ1572" s="29"/>
      <c r="BK1572" s="29"/>
      <c r="BL1572" s="29"/>
      <c r="BM1572" s="29"/>
      <c r="BN1572" s="20">
        <f t="shared" si="169"/>
        <v>0</v>
      </c>
      <c r="BO1572" s="20">
        <f t="shared" si="170"/>
        <v>0</v>
      </c>
      <c r="BP1572" s="20">
        <f t="shared" si="171"/>
        <v>69</v>
      </c>
      <c r="BQ1572" s="51">
        <f>0.4*0.135*BP1572</f>
        <v>3.726</v>
      </c>
      <c r="BR1572" s="56" t="s">
        <v>2534</v>
      </c>
      <c r="BS1572" s="33" t="s">
        <v>135</v>
      </c>
      <c r="BT1572" s="57" t="s">
        <v>2535</v>
      </c>
      <c r="BU1572" s="35" t="s">
        <v>950</v>
      </c>
    </row>
    <row r="1573" s="1" customFormat="1" customHeight="1" spans="1:73">
      <c r="A1573" s="37" t="s">
        <v>2536</v>
      </c>
      <c r="B1573" s="15">
        <v>225</v>
      </c>
      <c r="C1573" s="16">
        <v>110</v>
      </c>
      <c r="D1573" s="29"/>
      <c r="E1573" s="30"/>
      <c r="F1573" s="29"/>
      <c r="G1573" s="29"/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29"/>
      <c r="AB1573" s="29"/>
      <c r="AC1573" s="29"/>
      <c r="AD1573" s="29"/>
      <c r="AE1573" s="29"/>
      <c r="AF1573" s="29"/>
      <c r="AG1573" s="30"/>
      <c r="AH1573" s="29"/>
      <c r="AI1573" s="29"/>
      <c r="AJ1573" s="29"/>
      <c r="AK1573" s="30"/>
      <c r="AL1573" s="29"/>
      <c r="AM1573" s="29"/>
      <c r="AN1573" s="29"/>
      <c r="AO1573" s="29"/>
      <c r="AP1573" s="29"/>
      <c r="AQ1573" s="29"/>
      <c r="AR1573" s="29"/>
      <c r="AS1573" s="29"/>
      <c r="AT1573" s="29"/>
      <c r="AU1573" s="29"/>
      <c r="AV1573" s="29"/>
      <c r="AW1573" s="29"/>
      <c r="AX1573" s="29"/>
      <c r="AY1573" s="29"/>
      <c r="AZ1573" s="29"/>
      <c r="BA1573" s="29"/>
      <c r="BB1573" s="29"/>
      <c r="BC1573" s="29"/>
      <c r="BD1573" s="29"/>
      <c r="BE1573" s="29"/>
      <c r="BF1573" s="29"/>
      <c r="BG1573" s="29"/>
      <c r="BH1573" s="29"/>
      <c r="BI1573" s="29"/>
      <c r="BJ1573" s="29"/>
      <c r="BK1573" s="29"/>
      <c r="BL1573" s="29"/>
      <c r="BM1573" s="29"/>
      <c r="BN1573" s="20">
        <f t="shared" si="169"/>
        <v>0</v>
      </c>
      <c r="BO1573" s="20">
        <f t="shared" si="170"/>
        <v>0</v>
      </c>
      <c r="BP1573" s="20">
        <f t="shared" si="171"/>
        <v>110</v>
      </c>
      <c r="BQ1573" s="51">
        <f>B1573*BP1573/1000</f>
        <v>24.75</v>
      </c>
      <c r="BR1573" s="56" t="s">
        <v>681</v>
      </c>
      <c r="BS1573" s="33" t="s">
        <v>2537</v>
      </c>
      <c r="BT1573" s="57" t="s">
        <v>2538</v>
      </c>
      <c r="BU1573" s="35" t="s">
        <v>950</v>
      </c>
    </row>
    <row r="1574" s="1" customFormat="1" customHeight="1" spans="1:73">
      <c r="A1574" s="37" t="s">
        <v>2536</v>
      </c>
      <c r="B1574" s="15" t="s">
        <v>2539</v>
      </c>
      <c r="C1574" s="16">
        <v>40</v>
      </c>
      <c r="D1574" s="29"/>
      <c r="E1574" s="30"/>
      <c r="F1574" s="29"/>
      <c r="G1574" s="29"/>
      <c r="H1574" s="29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  <c r="AA1574" s="29"/>
      <c r="AB1574" s="29"/>
      <c r="AC1574" s="29"/>
      <c r="AD1574" s="29"/>
      <c r="AE1574" s="29"/>
      <c r="AF1574" s="29"/>
      <c r="AG1574" s="30"/>
      <c r="AH1574" s="29"/>
      <c r="AI1574" s="29"/>
      <c r="AJ1574" s="29"/>
      <c r="AK1574" s="30"/>
      <c r="AL1574" s="29"/>
      <c r="AM1574" s="29"/>
      <c r="AN1574" s="29"/>
      <c r="AO1574" s="29"/>
      <c r="AP1574" s="29"/>
      <c r="AQ1574" s="29"/>
      <c r="AR1574" s="29"/>
      <c r="AS1574" s="29"/>
      <c r="AT1574" s="29"/>
      <c r="AU1574" s="29"/>
      <c r="AV1574" s="29"/>
      <c r="AW1574" s="29"/>
      <c r="AX1574" s="29"/>
      <c r="AY1574" s="29"/>
      <c r="AZ1574" s="29"/>
      <c r="BA1574" s="29"/>
      <c r="BB1574" s="29"/>
      <c r="BC1574" s="29"/>
      <c r="BD1574" s="29"/>
      <c r="BE1574" s="29"/>
      <c r="BF1574" s="29"/>
      <c r="BG1574" s="29"/>
      <c r="BH1574" s="29"/>
      <c r="BI1574" s="29"/>
      <c r="BJ1574" s="29"/>
      <c r="BK1574" s="29"/>
      <c r="BL1574" s="29"/>
      <c r="BM1574" s="29"/>
      <c r="BN1574" s="20">
        <f t="shared" si="169"/>
        <v>0</v>
      </c>
      <c r="BO1574" s="20">
        <f t="shared" si="170"/>
        <v>0</v>
      </c>
      <c r="BP1574" s="20">
        <f t="shared" si="171"/>
        <v>40</v>
      </c>
      <c r="BQ1574" s="51">
        <f>0.26*0.215*BP1574</f>
        <v>2.236</v>
      </c>
      <c r="BR1574" s="56" t="s">
        <v>971</v>
      </c>
      <c r="BS1574" s="33" t="s">
        <v>2540</v>
      </c>
      <c r="BT1574" s="96"/>
      <c r="BU1574" s="35" t="s">
        <v>950</v>
      </c>
    </row>
    <row r="1575" s="1" customFormat="1" customHeight="1" spans="1:73">
      <c r="A1575" s="37" t="s">
        <v>2536</v>
      </c>
      <c r="B1575" s="15" t="s">
        <v>2541</v>
      </c>
      <c r="C1575" s="16">
        <v>5</v>
      </c>
      <c r="D1575" s="29"/>
      <c r="E1575" s="30"/>
      <c r="F1575" s="29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  <c r="AA1575" s="29"/>
      <c r="AB1575" s="29"/>
      <c r="AC1575" s="29"/>
      <c r="AD1575" s="29"/>
      <c r="AE1575" s="29"/>
      <c r="AF1575" s="29"/>
      <c r="AG1575" s="30"/>
      <c r="AH1575" s="29"/>
      <c r="AI1575" s="29"/>
      <c r="AJ1575" s="29"/>
      <c r="AK1575" s="30"/>
      <c r="AL1575" s="29"/>
      <c r="AM1575" s="29"/>
      <c r="AN1575" s="29"/>
      <c r="AO1575" s="29"/>
      <c r="AP1575" s="29"/>
      <c r="AQ1575" s="29"/>
      <c r="AR1575" s="29"/>
      <c r="AS1575" s="29"/>
      <c r="AT1575" s="29"/>
      <c r="AU1575" s="29"/>
      <c r="AV1575" s="29"/>
      <c r="AW1575" s="29"/>
      <c r="AX1575" s="29"/>
      <c r="AY1575" s="29"/>
      <c r="AZ1575" s="29"/>
      <c r="BA1575" s="29"/>
      <c r="BB1575" s="29"/>
      <c r="BC1575" s="29"/>
      <c r="BD1575" s="29"/>
      <c r="BE1575" s="29"/>
      <c r="BF1575" s="29"/>
      <c r="BG1575" s="29"/>
      <c r="BH1575" s="29"/>
      <c r="BI1575" s="29"/>
      <c r="BJ1575" s="29"/>
      <c r="BK1575" s="29"/>
      <c r="BL1575" s="29"/>
      <c r="BM1575" s="29"/>
      <c r="BN1575" s="20">
        <f t="shared" si="169"/>
        <v>0</v>
      </c>
      <c r="BO1575" s="20">
        <f t="shared" si="170"/>
        <v>0</v>
      </c>
      <c r="BP1575" s="20">
        <f t="shared" si="171"/>
        <v>5</v>
      </c>
      <c r="BQ1575" s="51">
        <f>0.275*0.225*BP1575</f>
        <v>0.309375</v>
      </c>
      <c r="BR1575" s="56" t="s">
        <v>971</v>
      </c>
      <c r="BS1575" s="33" t="s">
        <v>2540</v>
      </c>
      <c r="BT1575" s="96"/>
      <c r="BU1575" s="35" t="s">
        <v>950</v>
      </c>
    </row>
    <row r="1576" s="1" customFormat="1" customHeight="1" spans="1:73">
      <c r="A1576" s="198" t="s">
        <v>2536</v>
      </c>
      <c r="B1576" s="58" t="s">
        <v>2542</v>
      </c>
      <c r="C1576" s="16">
        <v>150</v>
      </c>
      <c r="D1576" s="29"/>
      <c r="E1576" s="30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  <c r="AA1576" s="29"/>
      <c r="AB1576" s="29"/>
      <c r="AC1576" s="29"/>
      <c r="AD1576" s="29"/>
      <c r="AE1576" s="29"/>
      <c r="AF1576" s="29"/>
      <c r="AG1576" s="30"/>
      <c r="AH1576" s="29"/>
      <c r="AI1576" s="29"/>
      <c r="AJ1576" s="29"/>
      <c r="AK1576" s="30"/>
      <c r="AL1576" s="29"/>
      <c r="AM1576" s="29"/>
      <c r="AN1576" s="29"/>
      <c r="AO1576" s="29"/>
      <c r="AP1576" s="29"/>
      <c r="AQ1576" s="29"/>
      <c r="AR1576" s="29"/>
      <c r="AS1576" s="29"/>
      <c r="AT1576" s="29"/>
      <c r="AU1576" s="29"/>
      <c r="AV1576" s="29"/>
      <c r="AW1576" s="29"/>
      <c r="AX1576" s="29"/>
      <c r="AY1576" s="29"/>
      <c r="AZ1576" s="29"/>
      <c r="BA1576" s="29"/>
      <c r="BB1576" s="29"/>
      <c r="BC1576" s="29"/>
      <c r="BD1576" s="29"/>
      <c r="BE1576" s="29"/>
      <c r="BF1576" s="29"/>
      <c r="BG1576" s="29"/>
      <c r="BH1576" s="29"/>
      <c r="BI1576" s="29"/>
      <c r="BJ1576" s="29"/>
      <c r="BK1576" s="29"/>
      <c r="BL1576" s="29"/>
      <c r="BM1576" s="29"/>
      <c r="BN1576" s="20">
        <f t="shared" si="169"/>
        <v>0</v>
      </c>
      <c r="BO1576" s="20">
        <f t="shared" si="170"/>
        <v>0</v>
      </c>
      <c r="BP1576" s="20">
        <f t="shared" si="171"/>
        <v>150</v>
      </c>
      <c r="BQ1576" s="51">
        <f>0.35*0.26*BP1576</f>
        <v>13.65</v>
      </c>
      <c r="BR1576" s="56" t="s">
        <v>851</v>
      </c>
      <c r="BS1576" s="33" t="s">
        <v>2490</v>
      </c>
      <c r="BT1576" s="57"/>
      <c r="BU1576" s="35" t="s">
        <v>950</v>
      </c>
    </row>
    <row r="1577" s="1" customFormat="1" customHeight="1" spans="1:73">
      <c r="A1577" s="136" t="s">
        <v>2536</v>
      </c>
      <c r="B1577" s="178" t="s">
        <v>2542</v>
      </c>
      <c r="C1577" s="16">
        <v>216</v>
      </c>
      <c r="D1577" s="29"/>
      <c r="E1577" s="30"/>
      <c r="F1577" s="29"/>
      <c r="G1577" s="29"/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  <c r="AA1577" s="29"/>
      <c r="AB1577" s="29"/>
      <c r="AC1577" s="29"/>
      <c r="AD1577" s="29"/>
      <c r="AE1577" s="29"/>
      <c r="AF1577" s="29"/>
      <c r="AG1577" s="30"/>
      <c r="AH1577" s="29"/>
      <c r="AI1577" s="29"/>
      <c r="AJ1577" s="29"/>
      <c r="AK1577" s="30"/>
      <c r="AL1577" s="29"/>
      <c r="AM1577" s="29"/>
      <c r="AN1577" s="29"/>
      <c r="AO1577" s="29"/>
      <c r="AP1577" s="29"/>
      <c r="AQ1577" s="29"/>
      <c r="AR1577" s="29"/>
      <c r="AS1577" s="29"/>
      <c r="AT1577" s="29"/>
      <c r="AU1577" s="29"/>
      <c r="AV1577" s="29"/>
      <c r="AW1577" s="29"/>
      <c r="AX1577" s="29"/>
      <c r="AY1577" s="29"/>
      <c r="AZ1577" s="29"/>
      <c r="BA1577" s="29"/>
      <c r="BB1577" s="29"/>
      <c r="BC1577" s="29"/>
      <c r="BD1577" s="29"/>
      <c r="BE1577" s="29"/>
      <c r="BF1577" s="29"/>
      <c r="BG1577" s="29"/>
      <c r="BH1577" s="29"/>
      <c r="BI1577" s="29"/>
      <c r="BJ1577" s="29"/>
      <c r="BK1577" s="29"/>
      <c r="BL1577" s="29"/>
      <c r="BM1577" s="29"/>
      <c r="BN1577" s="20">
        <f t="shared" ref="BN1577:BN1640" si="178">D1577+F1577+H1577+J1577+L1577+N1577+P1577+R1577+T1577+V1577+X1577+Z1577+AB1577+AD1577+AF1577+AH1577+AJ1577+AL1577+AN1577+AP1577+AR1577+AT1577+AV1577+AX1577+AZ1577+BB1577+BD1577+BF1577+BH1577+BJ1577+BL1577</f>
        <v>0</v>
      </c>
      <c r="BO1577" s="20">
        <f t="shared" ref="BO1577:BO1640" si="179">E1577+G1577+I1577+K1577+M1577+O1577+Q1577+S1577+U1577+W1577+Y1577+AA1577+AC1577+AE1577+AG1577+AI1577+AK1577+AM1577+AO1577+AQ1577+AS1577+AU1577+AW1577+AY1577+BA1577+BC1577+BE1577+BG1577+BI1577+BK1577+BM1577</f>
        <v>0</v>
      </c>
      <c r="BP1577" s="20">
        <f t="shared" ref="BP1577:BP1640" si="180">C1577+BN1577-BO1577</f>
        <v>216</v>
      </c>
      <c r="BQ1577" s="51">
        <f>0.35*0.26*BP1577</f>
        <v>19.656</v>
      </c>
      <c r="BR1577" s="56" t="s">
        <v>105</v>
      </c>
      <c r="BS1577" s="33" t="s">
        <v>139</v>
      </c>
      <c r="BT1577" s="57" t="s">
        <v>2543</v>
      </c>
      <c r="BU1577" s="35" t="s">
        <v>950</v>
      </c>
    </row>
    <row r="1578" s="1" customFormat="1" customHeight="1" spans="1:73">
      <c r="A1578" s="37" t="s">
        <v>2536</v>
      </c>
      <c r="B1578" s="15" t="s">
        <v>2544</v>
      </c>
      <c r="C1578" s="16">
        <v>3</v>
      </c>
      <c r="D1578" s="29"/>
      <c r="E1578" s="30"/>
      <c r="F1578" s="29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29"/>
      <c r="AB1578" s="29"/>
      <c r="AC1578" s="29"/>
      <c r="AD1578" s="29"/>
      <c r="AE1578" s="29"/>
      <c r="AF1578" s="29"/>
      <c r="AG1578" s="30"/>
      <c r="AH1578" s="29"/>
      <c r="AI1578" s="29"/>
      <c r="AJ1578" s="29"/>
      <c r="AK1578" s="30"/>
      <c r="AL1578" s="29"/>
      <c r="AM1578" s="29"/>
      <c r="AN1578" s="29"/>
      <c r="AO1578" s="29"/>
      <c r="AP1578" s="29"/>
      <c r="AQ1578" s="29"/>
      <c r="AR1578" s="29"/>
      <c r="AS1578" s="29"/>
      <c r="AT1578" s="29"/>
      <c r="AU1578" s="29"/>
      <c r="AV1578" s="29"/>
      <c r="AW1578" s="29"/>
      <c r="AX1578" s="29"/>
      <c r="AY1578" s="29"/>
      <c r="AZ1578" s="29"/>
      <c r="BA1578" s="29"/>
      <c r="BB1578" s="29"/>
      <c r="BC1578" s="29"/>
      <c r="BD1578" s="29"/>
      <c r="BE1578" s="29"/>
      <c r="BF1578" s="29"/>
      <c r="BG1578" s="29"/>
      <c r="BH1578" s="29"/>
      <c r="BI1578" s="29"/>
      <c r="BJ1578" s="29"/>
      <c r="BK1578" s="29"/>
      <c r="BL1578" s="29"/>
      <c r="BM1578" s="29"/>
      <c r="BN1578" s="20">
        <f t="shared" si="178"/>
        <v>0</v>
      </c>
      <c r="BO1578" s="20">
        <f t="shared" si="179"/>
        <v>0</v>
      </c>
      <c r="BP1578" s="20">
        <f t="shared" si="180"/>
        <v>3</v>
      </c>
      <c r="BQ1578" s="51">
        <f>0.4*0.26*BP1578</f>
        <v>0.312</v>
      </c>
      <c r="BR1578" s="56" t="s">
        <v>883</v>
      </c>
      <c r="BS1578" s="33" t="s">
        <v>2545</v>
      </c>
      <c r="BT1578" s="57" t="s">
        <v>2546</v>
      </c>
      <c r="BU1578" s="35" t="s">
        <v>950</v>
      </c>
    </row>
    <row r="1579" s="1" customFormat="1" customHeight="1" spans="1:73">
      <c r="A1579" s="37" t="s">
        <v>2536</v>
      </c>
      <c r="B1579" s="15" t="s">
        <v>2547</v>
      </c>
      <c r="C1579" s="16">
        <v>560</v>
      </c>
      <c r="D1579" s="29"/>
      <c r="E1579" s="30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  <c r="AA1579" s="29"/>
      <c r="AB1579" s="29"/>
      <c r="AC1579" s="29"/>
      <c r="AD1579" s="29"/>
      <c r="AE1579" s="29"/>
      <c r="AF1579" s="29"/>
      <c r="AG1579" s="30"/>
      <c r="AH1579" s="29"/>
      <c r="AI1579" s="29"/>
      <c r="AJ1579" s="29"/>
      <c r="AK1579" s="30"/>
      <c r="AL1579" s="29"/>
      <c r="AM1579" s="29"/>
      <c r="AN1579" s="29"/>
      <c r="AO1579" s="29"/>
      <c r="AP1579" s="29"/>
      <c r="AQ1579" s="29"/>
      <c r="AR1579" s="29"/>
      <c r="AS1579" s="29"/>
      <c r="AT1579" s="29"/>
      <c r="AU1579" s="29"/>
      <c r="AV1579" s="29"/>
      <c r="AW1579" s="29"/>
      <c r="AX1579" s="29"/>
      <c r="AY1579" s="29"/>
      <c r="AZ1579" s="29"/>
      <c r="BA1579" s="29"/>
      <c r="BB1579" s="29"/>
      <c r="BC1579" s="29"/>
      <c r="BD1579" s="29"/>
      <c r="BE1579" s="29"/>
      <c r="BF1579" s="29"/>
      <c r="BG1579" s="29"/>
      <c r="BH1579" s="29"/>
      <c r="BI1579" s="29"/>
      <c r="BJ1579" s="29"/>
      <c r="BK1579" s="29"/>
      <c r="BL1579" s="29"/>
      <c r="BM1579" s="29"/>
      <c r="BN1579" s="20">
        <f t="shared" si="178"/>
        <v>0</v>
      </c>
      <c r="BO1579" s="20">
        <f t="shared" si="179"/>
        <v>0</v>
      </c>
      <c r="BP1579" s="20">
        <f t="shared" si="180"/>
        <v>560</v>
      </c>
      <c r="BQ1579" s="51">
        <f>0.445*0.35*BP1579</f>
        <v>87.22</v>
      </c>
      <c r="BR1579" s="56" t="s">
        <v>681</v>
      </c>
      <c r="BS1579" s="33" t="s">
        <v>2537</v>
      </c>
      <c r="BT1579" s="57" t="s">
        <v>2538</v>
      </c>
      <c r="BU1579" s="35" t="s">
        <v>950</v>
      </c>
    </row>
    <row r="1580" s="1" customFormat="1" customHeight="1" spans="1:73">
      <c r="A1580" s="125" t="s">
        <v>2548</v>
      </c>
      <c r="B1580" s="15">
        <v>130</v>
      </c>
      <c r="C1580" s="16">
        <v>45</v>
      </c>
      <c r="D1580" s="29"/>
      <c r="E1580" s="30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  <c r="AA1580" s="29"/>
      <c r="AB1580" s="29"/>
      <c r="AC1580" s="29"/>
      <c r="AD1580" s="29"/>
      <c r="AE1580" s="29"/>
      <c r="AF1580" s="29"/>
      <c r="AG1580" s="30"/>
      <c r="AH1580" s="29"/>
      <c r="AI1580" s="29"/>
      <c r="AJ1580" s="29"/>
      <c r="AK1580" s="30"/>
      <c r="AL1580" s="29"/>
      <c r="AM1580" s="29"/>
      <c r="AN1580" s="29"/>
      <c r="AO1580" s="29"/>
      <c r="AP1580" s="29"/>
      <c r="AQ1580" s="29"/>
      <c r="AR1580" s="29"/>
      <c r="AS1580" s="29"/>
      <c r="AT1580" s="29"/>
      <c r="AU1580" s="29"/>
      <c r="AV1580" s="29"/>
      <c r="AW1580" s="29"/>
      <c r="AX1580" s="29"/>
      <c r="AY1580" s="29"/>
      <c r="AZ1580" s="29"/>
      <c r="BA1580" s="29"/>
      <c r="BB1580" s="29"/>
      <c r="BC1580" s="29"/>
      <c r="BD1580" s="29"/>
      <c r="BE1580" s="29"/>
      <c r="BF1580" s="29"/>
      <c r="BG1580" s="29"/>
      <c r="BH1580" s="29"/>
      <c r="BI1580" s="29"/>
      <c r="BJ1580" s="29"/>
      <c r="BK1580" s="29"/>
      <c r="BL1580" s="29"/>
      <c r="BM1580" s="29"/>
      <c r="BN1580" s="20">
        <f t="shared" si="178"/>
        <v>0</v>
      </c>
      <c r="BO1580" s="20">
        <f t="shared" si="179"/>
        <v>0</v>
      </c>
      <c r="BP1580" s="20">
        <f t="shared" si="180"/>
        <v>45</v>
      </c>
      <c r="BQ1580" s="51">
        <f t="shared" ref="BQ1580:BQ1582" si="181">B1580*BP1580/1000</f>
        <v>5.85</v>
      </c>
      <c r="BR1580" s="56" t="s">
        <v>710</v>
      </c>
      <c r="BS1580" s="33" t="s">
        <v>2549</v>
      </c>
      <c r="BT1580" s="36" t="s">
        <v>2550</v>
      </c>
      <c r="BU1580" s="35" t="s">
        <v>2451</v>
      </c>
    </row>
    <row r="1581" s="1" customFormat="1" customHeight="1" spans="1:73">
      <c r="A1581" s="125" t="s">
        <v>2551</v>
      </c>
      <c r="B1581" s="15">
        <v>150</v>
      </c>
      <c r="C1581" s="16">
        <v>125</v>
      </c>
      <c r="D1581" s="29"/>
      <c r="E1581" s="30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  <c r="AA1581" s="29"/>
      <c r="AB1581" s="29"/>
      <c r="AC1581" s="29"/>
      <c r="AD1581" s="29"/>
      <c r="AE1581" s="29"/>
      <c r="AF1581" s="29"/>
      <c r="AG1581" s="30"/>
      <c r="AH1581" s="29"/>
      <c r="AI1581" s="29"/>
      <c r="AJ1581" s="29"/>
      <c r="AK1581" s="30"/>
      <c r="AL1581" s="29"/>
      <c r="AM1581" s="29"/>
      <c r="AN1581" s="29"/>
      <c r="AO1581" s="29"/>
      <c r="AP1581" s="29"/>
      <c r="AQ1581" s="29"/>
      <c r="AR1581" s="29"/>
      <c r="AS1581" s="29"/>
      <c r="AT1581" s="29"/>
      <c r="AU1581" s="29"/>
      <c r="AV1581" s="29"/>
      <c r="AW1581" s="29"/>
      <c r="AX1581" s="29"/>
      <c r="AY1581" s="29"/>
      <c r="AZ1581" s="29"/>
      <c r="BA1581" s="29"/>
      <c r="BB1581" s="29"/>
      <c r="BC1581" s="29"/>
      <c r="BD1581" s="29"/>
      <c r="BE1581" s="29"/>
      <c r="BF1581" s="29"/>
      <c r="BG1581" s="29"/>
      <c r="BH1581" s="29"/>
      <c r="BI1581" s="29"/>
      <c r="BJ1581" s="29"/>
      <c r="BK1581" s="29"/>
      <c r="BL1581" s="29"/>
      <c r="BM1581" s="29"/>
      <c r="BN1581" s="20">
        <f t="shared" si="178"/>
        <v>0</v>
      </c>
      <c r="BO1581" s="20">
        <f t="shared" si="179"/>
        <v>0</v>
      </c>
      <c r="BP1581" s="20">
        <f t="shared" si="180"/>
        <v>125</v>
      </c>
      <c r="BQ1581" s="51">
        <f t="shared" si="181"/>
        <v>18.75</v>
      </c>
      <c r="BR1581" s="56" t="s">
        <v>2552</v>
      </c>
      <c r="BS1581" s="33" t="s">
        <v>2553</v>
      </c>
      <c r="BT1581" s="36" t="s">
        <v>2554</v>
      </c>
      <c r="BU1581" s="35" t="s">
        <v>2451</v>
      </c>
    </row>
    <row r="1582" s="1" customFormat="1" customHeight="1" spans="1:73">
      <c r="A1582" s="125" t="s">
        <v>2551</v>
      </c>
      <c r="B1582" s="15">
        <v>230</v>
      </c>
      <c r="C1582" s="16">
        <v>177</v>
      </c>
      <c r="D1582" s="29"/>
      <c r="E1582" s="30"/>
      <c r="F1582" s="29"/>
      <c r="G1582" s="29"/>
      <c r="H1582" s="29"/>
      <c r="I1582" s="29">
        <v>4</v>
      </c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  <c r="AA1582" s="29"/>
      <c r="AB1582" s="29"/>
      <c r="AC1582" s="29"/>
      <c r="AD1582" s="29"/>
      <c r="AE1582" s="29"/>
      <c r="AF1582" s="29"/>
      <c r="AG1582" s="30"/>
      <c r="AH1582" s="29"/>
      <c r="AI1582" s="29"/>
      <c r="AJ1582" s="29"/>
      <c r="AK1582" s="30"/>
      <c r="AL1582" s="29"/>
      <c r="AM1582" s="29"/>
      <c r="AN1582" s="29"/>
      <c r="AO1582" s="29"/>
      <c r="AP1582" s="29"/>
      <c r="AQ1582" s="29"/>
      <c r="AR1582" s="29"/>
      <c r="AS1582" s="29"/>
      <c r="AT1582" s="29"/>
      <c r="AU1582" s="29"/>
      <c r="AV1582" s="29"/>
      <c r="AW1582" s="29"/>
      <c r="AX1582" s="29"/>
      <c r="AY1582" s="29"/>
      <c r="AZ1582" s="29"/>
      <c r="BA1582" s="29"/>
      <c r="BB1582" s="29"/>
      <c r="BC1582" s="29"/>
      <c r="BD1582" s="29"/>
      <c r="BE1582" s="29"/>
      <c r="BF1582" s="29"/>
      <c r="BG1582" s="29"/>
      <c r="BH1582" s="29"/>
      <c r="BI1582" s="29"/>
      <c r="BJ1582" s="29"/>
      <c r="BK1582" s="29"/>
      <c r="BL1582" s="29"/>
      <c r="BM1582" s="29"/>
      <c r="BN1582" s="20">
        <f t="shared" si="178"/>
        <v>0</v>
      </c>
      <c r="BO1582" s="20">
        <f t="shared" si="179"/>
        <v>4</v>
      </c>
      <c r="BP1582" s="20">
        <f t="shared" si="180"/>
        <v>173</v>
      </c>
      <c r="BQ1582" s="51">
        <f t="shared" si="181"/>
        <v>39.79</v>
      </c>
      <c r="BR1582" s="56" t="s">
        <v>866</v>
      </c>
      <c r="BS1582" s="33" t="s">
        <v>2553</v>
      </c>
      <c r="BT1582" s="36" t="s">
        <v>2555</v>
      </c>
      <c r="BU1582" s="35" t="s">
        <v>2451</v>
      </c>
    </row>
    <row r="1583" s="1" customFormat="1" customHeight="1" spans="1:73">
      <c r="A1583" s="53" t="s">
        <v>2556</v>
      </c>
      <c r="B1583" s="15"/>
      <c r="C1583" s="16"/>
      <c r="D1583" s="29"/>
      <c r="E1583" s="30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  <c r="AC1583" s="29"/>
      <c r="AD1583" s="29"/>
      <c r="AE1583" s="29"/>
      <c r="AF1583" s="29"/>
      <c r="AG1583" s="30"/>
      <c r="AH1583" s="29"/>
      <c r="AI1583" s="29"/>
      <c r="AJ1583" s="29"/>
      <c r="AK1583" s="30"/>
      <c r="AL1583" s="29"/>
      <c r="AM1583" s="29"/>
      <c r="AN1583" s="29"/>
      <c r="AO1583" s="29"/>
      <c r="AP1583" s="29"/>
      <c r="AQ1583" s="29"/>
      <c r="AR1583" s="29"/>
      <c r="AS1583" s="29"/>
      <c r="AT1583" s="29"/>
      <c r="AU1583" s="29"/>
      <c r="AV1583" s="29"/>
      <c r="AW1583" s="29"/>
      <c r="AX1583" s="29"/>
      <c r="AY1583" s="29"/>
      <c r="AZ1583" s="29"/>
      <c r="BA1583" s="29"/>
      <c r="BB1583" s="29"/>
      <c r="BC1583" s="29"/>
      <c r="BD1583" s="29"/>
      <c r="BE1583" s="29"/>
      <c r="BF1583" s="29"/>
      <c r="BG1583" s="29"/>
      <c r="BH1583" s="29"/>
      <c r="BI1583" s="29"/>
      <c r="BJ1583" s="29"/>
      <c r="BK1583" s="29"/>
      <c r="BL1583" s="29"/>
      <c r="BM1583" s="29"/>
      <c r="BN1583" s="20">
        <f t="shared" si="178"/>
        <v>0</v>
      </c>
      <c r="BO1583" s="20">
        <f t="shared" si="179"/>
        <v>0</v>
      </c>
      <c r="BP1583" s="20">
        <f t="shared" si="180"/>
        <v>0</v>
      </c>
      <c r="BQ1583" s="51"/>
      <c r="BR1583" s="56"/>
      <c r="BS1583" s="33"/>
      <c r="BT1583" s="36"/>
      <c r="BU1583" s="35"/>
    </row>
    <row r="1584" s="1" customFormat="1" customHeight="1" spans="1:73">
      <c r="A1584" s="52" t="s">
        <v>2557</v>
      </c>
      <c r="B1584" s="15" t="s">
        <v>2558</v>
      </c>
      <c r="C1584" s="16">
        <v>32</v>
      </c>
      <c r="D1584" s="29"/>
      <c r="E1584" s="30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  <c r="AA1584" s="29"/>
      <c r="AB1584" s="29"/>
      <c r="AC1584" s="29"/>
      <c r="AD1584" s="29"/>
      <c r="AE1584" s="29"/>
      <c r="AF1584" s="29"/>
      <c r="AG1584" s="30"/>
      <c r="AH1584" s="29"/>
      <c r="AI1584" s="29"/>
      <c r="AJ1584" s="29"/>
      <c r="AK1584" s="30"/>
      <c r="AL1584" s="29"/>
      <c r="AM1584" s="29"/>
      <c r="AN1584" s="29"/>
      <c r="AO1584" s="29"/>
      <c r="AP1584" s="29"/>
      <c r="AQ1584" s="29"/>
      <c r="AR1584" s="29"/>
      <c r="AS1584" s="29"/>
      <c r="AT1584" s="29"/>
      <c r="AU1584" s="29"/>
      <c r="AV1584" s="29"/>
      <c r="AW1584" s="29"/>
      <c r="AX1584" s="29"/>
      <c r="AY1584" s="29"/>
      <c r="AZ1584" s="29"/>
      <c r="BA1584" s="29"/>
      <c r="BB1584" s="29"/>
      <c r="BC1584" s="29"/>
      <c r="BD1584" s="29"/>
      <c r="BE1584" s="29"/>
      <c r="BF1584" s="29"/>
      <c r="BG1584" s="29"/>
      <c r="BH1584" s="29"/>
      <c r="BI1584" s="29"/>
      <c r="BJ1584" s="29"/>
      <c r="BK1584" s="29"/>
      <c r="BL1584" s="29"/>
      <c r="BM1584" s="29"/>
      <c r="BN1584" s="20">
        <f t="shared" si="178"/>
        <v>0</v>
      </c>
      <c r="BO1584" s="20">
        <f t="shared" si="179"/>
        <v>0</v>
      </c>
      <c r="BP1584" s="20">
        <f t="shared" si="180"/>
        <v>32</v>
      </c>
      <c r="BQ1584" s="51">
        <f>0.395*0.25*BP1584</f>
        <v>3.16</v>
      </c>
      <c r="BR1584" s="56" t="s">
        <v>2559</v>
      </c>
      <c r="BS1584" s="33" t="s">
        <v>2560</v>
      </c>
      <c r="BT1584" s="36"/>
      <c r="BU1584" s="35" t="s">
        <v>2451</v>
      </c>
    </row>
    <row r="1585" s="1" customFormat="1" customHeight="1" spans="1:73">
      <c r="A1585" s="52" t="s">
        <v>2557</v>
      </c>
      <c r="B1585" s="15">
        <v>215</v>
      </c>
      <c r="C1585" s="16">
        <v>108</v>
      </c>
      <c r="D1585" s="29"/>
      <c r="E1585" s="30"/>
      <c r="F1585" s="29"/>
      <c r="G1585" s="29"/>
      <c r="H1585" s="29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  <c r="AA1585" s="29"/>
      <c r="AB1585" s="29"/>
      <c r="AC1585" s="29"/>
      <c r="AD1585" s="29"/>
      <c r="AE1585" s="29"/>
      <c r="AF1585" s="29"/>
      <c r="AG1585" s="30"/>
      <c r="AH1585" s="29"/>
      <c r="AI1585" s="29"/>
      <c r="AJ1585" s="29"/>
      <c r="AK1585" s="30"/>
      <c r="AL1585" s="29"/>
      <c r="AM1585" s="29"/>
      <c r="AN1585" s="29"/>
      <c r="AO1585" s="29"/>
      <c r="AP1585" s="29"/>
      <c r="AQ1585" s="29"/>
      <c r="AR1585" s="29"/>
      <c r="AS1585" s="29"/>
      <c r="AT1585" s="29"/>
      <c r="AU1585" s="29"/>
      <c r="AV1585" s="29"/>
      <c r="AW1585" s="29"/>
      <c r="AX1585" s="29"/>
      <c r="AY1585" s="29"/>
      <c r="AZ1585" s="29"/>
      <c r="BA1585" s="29"/>
      <c r="BB1585" s="29"/>
      <c r="BC1585" s="29"/>
      <c r="BD1585" s="29"/>
      <c r="BE1585" s="29"/>
      <c r="BF1585" s="29"/>
      <c r="BG1585" s="29"/>
      <c r="BH1585" s="29"/>
      <c r="BI1585" s="29"/>
      <c r="BJ1585" s="29"/>
      <c r="BK1585" s="29"/>
      <c r="BL1585" s="29"/>
      <c r="BM1585" s="29"/>
      <c r="BN1585" s="20">
        <f t="shared" si="178"/>
        <v>0</v>
      </c>
      <c r="BO1585" s="20">
        <f t="shared" si="179"/>
        <v>0</v>
      </c>
      <c r="BP1585" s="20">
        <f t="shared" si="180"/>
        <v>108</v>
      </c>
      <c r="BQ1585" s="51">
        <f t="shared" ref="BQ1585:BQ1589" si="182">B1585*BP1585/1000</f>
        <v>23.22</v>
      </c>
      <c r="BR1585" s="56" t="s">
        <v>1452</v>
      </c>
      <c r="BS1585" s="33" t="s">
        <v>2561</v>
      </c>
      <c r="BT1585" s="36" t="s">
        <v>2562</v>
      </c>
      <c r="BU1585" s="35" t="s">
        <v>950</v>
      </c>
    </row>
    <row r="1586" s="1" customFormat="1" customHeight="1" spans="1:73">
      <c r="A1586" s="52" t="s">
        <v>2557</v>
      </c>
      <c r="B1586" s="15">
        <v>295</v>
      </c>
      <c r="C1586" s="16">
        <v>4</v>
      </c>
      <c r="D1586" s="29"/>
      <c r="E1586" s="30"/>
      <c r="F1586" s="29"/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  <c r="AA1586" s="29"/>
      <c r="AB1586" s="29"/>
      <c r="AC1586" s="29"/>
      <c r="AD1586" s="29"/>
      <c r="AE1586" s="29"/>
      <c r="AF1586" s="29"/>
      <c r="AG1586" s="30"/>
      <c r="AH1586" s="29"/>
      <c r="AI1586" s="29"/>
      <c r="AJ1586" s="29"/>
      <c r="AK1586" s="30"/>
      <c r="AL1586" s="29"/>
      <c r="AM1586" s="29"/>
      <c r="AN1586" s="29"/>
      <c r="AO1586" s="29"/>
      <c r="AP1586" s="29"/>
      <c r="AQ1586" s="29"/>
      <c r="AR1586" s="29"/>
      <c r="AS1586" s="29"/>
      <c r="AT1586" s="29"/>
      <c r="AU1586" s="29"/>
      <c r="AV1586" s="29"/>
      <c r="AW1586" s="29"/>
      <c r="AX1586" s="29"/>
      <c r="AY1586" s="29"/>
      <c r="AZ1586" s="29"/>
      <c r="BA1586" s="29"/>
      <c r="BB1586" s="29"/>
      <c r="BC1586" s="29"/>
      <c r="BD1586" s="29"/>
      <c r="BE1586" s="29"/>
      <c r="BF1586" s="29"/>
      <c r="BG1586" s="29"/>
      <c r="BH1586" s="29"/>
      <c r="BI1586" s="29"/>
      <c r="BJ1586" s="29"/>
      <c r="BK1586" s="29"/>
      <c r="BL1586" s="29"/>
      <c r="BM1586" s="29"/>
      <c r="BN1586" s="20">
        <f t="shared" si="178"/>
        <v>0</v>
      </c>
      <c r="BO1586" s="20">
        <f t="shared" si="179"/>
        <v>0</v>
      </c>
      <c r="BP1586" s="20">
        <f t="shared" si="180"/>
        <v>4</v>
      </c>
      <c r="BQ1586" s="51">
        <f t="shared" si="182"/>
        <v>1.18</v>
      </c>
      <c r="BR1586" s="56" t="s">
        <v>854</v>
      </c>
      <c r="BS1586" s="33" t="s">
        <v>2561</v>
      </c>
      <c r="BT1586" s="36"/>
      <c r="BU1586" s="35" t="s">
        <v>950</v>
      </c>
    </row>
    <row r="1587" s="1" customFormat="1" customHeight="1" spans="1:73">
      <c r="A1587" s="52" t="s">
        <v>2557</v>
      </c>
      <c r="B1587" s="15">
        <v>300</v>
      </c>
      <c r="C1587" s="16">
        <v>93</v>
      </c>
      <c r="D1587" s="29"/>
      <c r="E1587" s="30"/>
      <c r="F1587" s="29"/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  <c r="AA1587" s="29"/>
      <c r="AB1587" s="29"/>
      <c r="AC1587" s="29"/>
      <c r="AD1587" s="29"/>
      <c r="AE1587" s="29"/>
      <c r="AF1587" s="29"/>
      <c r="AG1587" s="30"/>
      <c r="AH1587" s="29"/>
      <c r="AI1587" s="29"/>
      <c r="AJ1587" s="29"/>
      <c r="AK1587" s="30"/>
      <c r="AL1587" s="29"/>
      <c r="AM1587" s="29"/>
      <c r="AN1587" s="29"/>
      <c r="AO1587" s="29"/>
      <c r="AP1587" s="29"/>
      <c r="AQ1587" s="29"/>
      <c r="AR1587" s="29"/>
      <c r="AS1587" s="29"/>
      <c r="AT1587" s="29"/>
      <c r="AU1587" s="29"/>
      <c r="AV1587" s="29"/>
      <c r="AW1587" s="29"/>
      <c r="AX1587" s="29"/>
      <c r="AY1587" s="29"/>
      <c r="AZ1587" s="29"/>
      <c r="BA1587" s="29"/>
      <c r="BB1587" s="29"/>
      <c r="BC1587" s="29"/>
      <c r="BD1587" s="29"/>
      <c r="BE1587" s="29"/>
      <c r="BF1587" s="29"/>
      <c r="BG1587" s="29"/>
      <c r="BH1587" s="29"/>
      <c r="BI1587" s="29"/>
      <c r="BJ1587" s="29"/>
      <c r="BK1587" s="29"/>
      <c r="BL1587" s="29"/>
      <c r="BM1587" s="29"/>
      <c r="BN1587" s="20">
        <f t="shared" si="178"/>
        <v>0</v>
      </c>
      <c r="BO1587" s="20">
        <f t="shared" si="179"/>
        <v>0</v>
      </c>
      <c r="BP1587" s="20">
        <f t="shared" si="180"/>
        <v>93</v>
      </c>
      <c r="BQ1587" s="51">
        <f t="shared" si="182"/>
        <v>27.9</v>
      </c>
      <c r="BR1587" s="56" t="s">
        <v>138</v>
      </c>
      <c r="BS1587" s="33" t="s">
        <v>139</v>
      </c>
      <c r="BT1587" s="36"/>
      <c r="BU1587" s="35" t="s">
        <v>950</v>
      </c>
    </row>
    <row r="1588" s="1" customFormat="1" customHeight="1" spans="1:73">
      <c r="A1588" s="52" t="s">
        <v>2557</v>
      </c>
      <c r="B1588" s="15">
        <v>320</v>
      </c>
      <c r="C1588" s="16">
        <v>107.5</v>
      </c>
      <c r="D1588" s="29"/>
      <c r="E1588" s="30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  <c r="AA1588" s="29"/>
      <c r="AB1588" s="29"/>
      <c r="AC1588" s="29"/>
      <c r="AD1588" s="29"/>
      <c r="AE1588" s="29"/>
      <c r="AF1588" s="29"/>
      <c r="AG1588" s="30"/>
      <c r="AH1588" s="29"/>
      <c r="AI1588" s="29"/>
      <c r="AJ1588" s="29"/>
      <c r="AK1588" s="30"/>
      <c r="AL1588" s="29"/>
      <c r="AM1588" s="29"/>
      <c r="AN1588" s="29"/>
      <c r="AO1588" s="29"/>
      <c r="AP1588" s="29"/>
      <c r="AQ1588" s="29"/>
      <c r="AR1588" s="29"/>
      <c r="AS1588" s="29"/>
      <c r="AT1588" s="29"/>
      <c r="AU1588" s="29"/>
      <c r="AV1588" s="29"/>
      <c r="AW1588" s="29"/>
      <c r="AX1588" s="29"/>
      <c r="AY1588" s="29"/>
      <c r="AZ1588" s="29"/>
      <c r="BA1588" s="29"/>
      <c r="BB1588" s="29"/>
      <c r="BC1588" s="29"/>
      <c r="BD1588" s="29"/>
      <c r="BE1588" s="29"/>
      <c r="BF1588" s="29"/>
      <c r="BG1588" s="29"/>
      <c r="BH1588" s="29"/>
      <c r="BI1588" s="29"/>
      <c r="BJ1588" s="29"/>
      <c r="BK1588" s="29"/>
      <c r="BL1588" s="29"/>
      <c r="BM1588" s="29"/>
      <c r="BN1588" s="20">
        <f t="shared" si="178"/>
        <v>0</v>
      </c>
      <c r="BO1588" s="20">
        <f t="shared" si="179"/>
        <v>0</v>
      </c>
      <c r="BP1588" s="20">
        <f t="shared" si="180"/>
        <v>107.5</v>
      </c>
      <c r="BQ1588" s="51">
        <f t="shared" si="182"/>
        <v>34.4</v>
      </c>
      <c r="BR1588" s="56" t="s">
        <v>903</v>
      </c>
      <c r="BS1588" s="33" t="s">
        <v>2563</v>
      </c>
      <c r="BT1588" s="36"/>
      <c r="BU1588" s="35" t="s">
        <v>950</v>
      </c>
    </row>
    <row r="1589" s="1" customFormat="1" customHeight="1" spans="1:73">
      <c r="A1589" s="52" t="s">
        <v>2557</v>
      </c>
      <c r="B1589" s="15">
        <v>350</v>
      </c>
      <c r="C1589" s="16">
        <v>3</v>
      </c>
      <c r="D1589" s="29"/>
      <c r="E1589" s="30"/>
      <c r="F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29"/>
      <c r="AB1589" s="29"/>
      <c r="AC1589" s="29"/>
      <c r="AD1589" s="29"/>
      <c r="AE1589" s="29"/>
      <c r="AF1589" s="29"/>
      <c r="AG1589" s="30"/>
      <c r="AH1589" s="29"/>
      <c r="AI1589" s="29"/>
      <c r="AJ1589" s="29"/>
      <c r="AK1589" s="29"/>
      <c r="AL1589" s="29"/>
      <c r="AM1589" s="29"/>
      <c r="AN1589" s="29"/>
      <c r="AO1589" s="29"/>
      <c r="AP1589" s="29"/>
      <c r="AQ1589" s="29"/>
      <c r="AR1589" s="29"/>
      <c r="AS1589" s="29"/>
      <c r="AT1589" s="29"/>
      <c r="AU1589" s="29"/>
      <c r="AV1589" s="29"/>
      <c r="AW1589" s="29"/>
      <c r="AX1589" s="29"/>
      <c r="AY1589" s="29"/>
      <c r="AZ1589" s="29"/>
      <c r="BA1589" s="29"/>
      <c r="BB1589" s="29"/>
      <c r="BC1589" s="29"/>
      <c r="BD1589" s="29"/>
      <c r="BE1589" s="29"/>
      <c r="BF1589" s="29"/>
      <c r="BG1589" s="29"/>
      <c r="BH1589" s="29"/>
      <c r="BI1589" s="29"/>
      <c r="BJ1589" s="29"/>
      <c r="BK1589" s="29"/>
      <c r="BL1589" s="29"/>
      <c r="BM1589" s="29"/>
      <c r="BN1589" s="20">
        <f t="shared" si="178"/>
        <v>0</v>
      </c>
      <c r="BO1589" s="20">
        <f t="shared" si="179"/>
        <v>0</v>
      </c>
      <c r="BP1589" s="20">
        <f t="shared" si="180"/>
        <v>3</v>
      </c>
      <c r="BQ1589" s="51">
        <f t="shared" si="182"/>
        <v>1.05</v>
      </c>
      <c r="BR1589" s="56" t="s">
        <v>2564</v>
      </c>
      <c r="BS1589" s="33" t="s">
        <v>2565</v>
      </c>
      <c r="BT1589" s="205"/>
      <c r="BU1589" s="35" t="s">
        <v>1273</v>
      </c>
    </row>
    <row r="1590" s="1" customFormat="1" customHeight="1" spans="1:73">
      <c r="A1590" s="53" t="s">
        <v>2566</v>
      </c>
      <c r="B1590" s="15"/>
      <c r="C1590" s="16"/>
      <c r="D1590" s="29"/>
      <c r="E1590" s="30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  <c r="AA1590" s="29"/>
      <c r="AB1590" s="29"/>
      <c r="AC1590" s="29"/>
      <c r="AD1590" s="29"/>
      <c r="AE1590" s="29"/>
      <c r="AF1590" s="29"/>
      <c r="AG1590" s="30"/>
      <c r="AH1590" s="29"/>
      <c r="AI1590" s="29"/>
      <c r="AJ1590" s="29"/>
      <c r="AK1590" s="29"/>
      <c r="AL1590" s="29"/>
      <c r="AM1590" s="29"/>
      <c r="AN1590" s="29"/>
      <c r="AO1590" s="29"/>
      <c r="AP1590" s="29"/>
      <c r="AQ1590" s="29"/>
      <c r="AR1590" s="29"/>
      <c r="AS1590" s="29"/>
      <c r="AT1590" s="29"/>
      <c r="AU1590" s="29"/>
      <c r="AV1590" s="29"/>
      <c r="AW1590" s="29"/>
      <c r="AX1590" s="29"/>
      <c r="AY1590" s="29"/>
      <c r="AZ1590" s="29"/>
      <c r="BA1590" s="29"/>
      <c r="BB1590" s="29"/>
      <c r="BC1590" s="29"/>
      <c r="BD1590" s="29"/>
      <c r="BE1590" s="29"/>
      <c r="BF1590" s="29"/>
      <c r="BG1590" s="29"/>
      <c r="BH1590" s="29"/>
      <c r="BI1590" s="83"/>
      <c r="BJ1590" s="29"/>
      <c r="BK1590" s="29"/>
      <c r="BL1590" s="29"/>
      <c r="BM1590" s="29"/>
      <c r="BN1590" s="20">
        <f t="shared" si="178"/>
        <v>0</v>
      </c>
      <c r="BO1590" s="20">
        <f t="shared" si="179"/>
        <v>0</v>
      </c>
      <c r="BP1590" s="20">
        <f t="shared" si="180"/>
        <v>0</v>
      </c>
      <c r="BQ1590" s="51"/>
      <c r="BR1590" s="56"/>
      <c r="BS1590" s="33"/>
      <c r="BT1590" s="34"/>
      <c r="BU1590" s="112"/>
    </row>
    <row r="1591" s="1" customFormat="1" customHeight="1" spans="1:73">
      <c r="A1591" s="37" t="s">
        <v>2567</v>
      </c>
      <c r="B1591" s="15">
        <v>225</v>
      </c>
      <c r="C1591" s="16">
        <v>15</v>
      </c>
      <c r="D1591" s="29"/>
      <c r="E1591" s="30"/>
      <c r="F1591" s="29"/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  <c r="AA1591" s="29"/>
      <c r="AB1591" s="29"/>
      <c r="AC1591" s="29"/>
      <c r="AD1591" s="29"/>
      <c r="AE1591" s="29"/>
      <c r="AF1591" s="29"/>
      <c r="AG1591" s="30"/>
      <c r="AH1591" s="29"/>
      <c r="AI1591" s="29"/>
      <c r="AJ1591" s="29"/>
      <c r="AK1591" s="29"/>
      <c r="AL1591" s="29"/>
      <c r="AM1591" s="29"/>
      <c r="AN1591" s="29"/>
      <c r="AO1591" s="29"/>
      <c r="AP1591" s="29"/>
      <c r="AQ1591" s="29"/>
      <c r="AR1591" s="29"/>
      <c r="AS1591" s="29"/>
      <c r="AT1591" s="29"/>
      <c r="AU1591" s="29"/>
      <c r="AV1591" s="29"/>
      <c r="AW1591" s="29"/>
      <c r="AX1591" s="29"/>
      <c r="AY1591" s="29"/>
      <c r="AZ1591" s="29"/>
      <c r="BA1591" s="29"/>
      <c r="BB1591" s="29"/>
      <c r="BC1591" s="29"/>
      <c r="BD1591" s="29"/>
      <c r="BE1591" s="29"/>
      <c r="BF1591" s="29"/>
      <c r="BG1591" s="29"/>
      <c r="BH1591" s="29"/>
      <c r="BI1591" s="83"/>
      <c r="BJ1591" s="29"/>
      <c r="BK1591" s="29"/>
      <c r="BL1591" s="29"/>
      <c r="BM1591" s="29"/>
      <c r="BN1591" s="20">
        <f t="shared" si="178"/>
        <v>0</v>
      </c>
      <c r="BO1591" s="20">
        <f t="shared" si="179"/>
        <v>0</v>
      </c>
      <c r="BP1591" s="20">
        <f t="shared" si="180"/>
        <v>15</v>
      </c>
      <c r="BQ1591" s="51">
        <f t="shared" ref="BQ1591:BQ1596" si="183">B1591*BP1591/1000</f>
        <v>3.375</v>
      </c>
      <c r="BR1591" s="56" t="s">
        <v>188</v>
      </c>
      <c r="BS1591" s="33" t="s">
        <v>189</v>
      </c>
      <c r="BT1591" s="34"/>
      <c r="BU1591" s="35" t="s">
        <v>754</v>
      </c>
    </row>
    <row r="1592" s="1" customFormat="1" customHeight="1" spans="1:73">
      <c r="A1592" s="37" t="s">
        <v>2567</v>
      </c>
      <c r="B1592" s="15">
        <v>305</v>
      </c>
      <c r="C1592" s="29">
        <v>120</v>
      </c>
      <c r="D1592" s="29"/>
      <c r="E1592" s="30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29"/>
      <c r="AB1592" s="29"/>
      <c r="AC1592" s="29"/>
      <c r="AD1592" s="29"/>
      <c r="AE1592" s="29"/>
      <c r="AF1592" s="29"/>
      <c r="AG1592" s="30"/>
      <c r="AH1592" s="29"/>
      <c r="AI1592" s="29"/>
      <c r="AJ1592" s="29"/>
      <c r="AK1592" s="29"/>
      <c r="AL1592" s="29"/>
      <c r="AM1592" s="29"/>
      <c r="AN1592" s="29"/>
      <c r="AO1592" s="29"/>
      <c r="AP1592" s="29"/>
      <c r="AQ1592" s="29"/>
      <c r="AR1592" s="29"/>
      <c r="AS1592" s="29"/>
      <c r="AT1592" s="29"/>
      <c r="AU1592" s="29"/>
      <c r="AV1592" s="29"/>
      <c r="AW1592" s="29"/>
      <c r="AX1592" s="29"/>
      <c r="AY1592" s="29"/>
      <c r="AZ1592" s="29"/>
      <c r="BA1592" s="29"/>
      <c r="BB1592" s="29"/>
      <c r="BC1592" s="29"/>
      <c r="BD1592" s="29"/>
      <c r="BE1592" s="29"/>
      <c r="BF1592" s="29"/>
      <c r="BG1592" s="29"/>
      <c r="BH1592" s="29"/>
      <c r="BI1592" s="29"/>
      <c r="BJ1592" s="29"/>
      <c r="BK1592" s="29"/>
      <c r="BL1592" s="29"/>
      <c r="BM1592" s="29"/>
      <c r="BN1592" s="20">
        <f t="shared" si="178"/>
        <v>0</v>
      </c>
      <c r="BO1592" s="20">
        <f t="shared" si="179"/>
        <v>0</v>
      </c>
      <c r="BP1592" s="20">
        <f t="shared" si="180"/>
        <v>120</v>
      </c>
      <c r="BQ1592" s="55">
        <f t="shared" si="183"/>
        <v>36.6</v>
      </c>
      <c r="BR1592" s="56" t="s">
        <v>2534</v>
      </c>
      <c r="BS1592" s="33" t="s">
        <v>135</v>
      </c>
      <c r="BT1592" s="34"/>
      <c r="BU1592" s="35" t="s">
        <v>754</v>
      </c>
    </row>
    <row r="1593" s="1" customFormat="1" customHeight="1" spans="1:73">
      <c r="A1593" s="37" t="s">
        <v>2567</v>
      </c>
      <c r="B1593" s="15">
        <v>385</v>
      </c>
      <c r="C1593" s="29">
        <v>95</v>
      </c>
      <c r="D1593" s="29"/>
      <c r="E1593" s="30"/>
      <c r="F1593" s="29"/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  <c r="AA1593" s="29"/>
      <c r="AB1593" s="29"/>
      <c r="AC1593" s="29"/>
      <c r="AD1593" s="29"/>
      <c r="AE1593" s="29"/>
      <c r="AF1593" s="29"/>
      <c r="AG1593" s="30"/>
      <c r="AH1593" s="29"/>
      <c r="AI1593" s="29"/>
      <c r="AJ1593" s="29"/>
      <c r="AK1593" s="29"/>
      <c r="AL1593" s="29"/>
      <c r="AM1593" s="29"/>
      <c r="AN1593" s="29"/>
      <c r="AO1593" s="29"/>
      <c r="AP1593" s="29"/>
      <c r="AQ1593" s="29"/>
      <c r="AR1593" s="29"/>
      <c r="AS1593" s="29"/>
      <c r="AT1593" s="29"/>
      <c r="AU1593" s="29"/>
      <c r="AV1593" s="29"/>
      <c r="AW1593" s="29"/>
      <c r="AX1593" s="29"/>
      <c r="AY1593" s="29"/>
      <c r="AZ1593" s="29"/>
      <c r="BA1593" s="29"/>
      <c r="BB1593" s="29"/>
      <c r="BC1593" s="29"/>
      <c r="BD1593" s="29"/>
      <c r="BE1593" s="29"/>
      <c r="BF1593" s="29"/>
      <c r="BG1593" s="29"/>
      <c r="BH1593" s="29"/>
      <c r="BI1593" s="29"/>
      <c r="BJ1593" s="29"/>
      <c r="BK1593" s="29"/>
      <c r="BL1593" s="29"/>
      <c r="BM1593" s="29"/>
      <c r="BN1593" s="20">
        <f t="shared" si="178"/>
        <v>0</v>
      </c>
      <c r="BO1593" s="20">
        <f t="shared" si="179"/>
        <v>0</v>
      </c>
      <c r="BP1593" s="20">
        <f t="shared" si="180"/>
        <v>95</v>
      </c>
      <c r="BQ1593" s="55">
        <f t="shared" si="183"/>
        <v>36.575</v>
      </c>
      <c r="BR1593" s="56" t="s">
        <v>188</v>
      </c>
      <c r="BS1593" s="33" t="s">
        <v>189</v>
      </c>
      <c r="BT1593" s="34"/>
      <c r="BU1593" s="35" t="s">
        <v>754</v>
      </c>
    </row>
    <row r="1594" s="1" customFormat="1" customHeight="1" spans="1:73">
      <c r="A1594" s="37" t="s">
        <v>2568</v>
      </c>
      <c r="B1594" s="15">
        <v>435</v>
      </c>
      <c r="C1594" s="16">
        <v>202</v>
      </c>
      <c r="D1594" s="29"/>
      <c r="E1594" s="30"/>
      <c r="F1594" s="29"/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  <c r="AA1594" s="29"/>
      <c r="AB1594" s="29"/>
      <c r="AC1594" s="29"/>
      <c r="AD1594" s="29"/>
      <c r="AE1594" s="29"/>
      <c r="AF1594" s="29"/>
      <c r="AG1594" s="30"/>
      <c r="AH1594" s="29"/>
      <c r="AI1594" s="29"/>
      <c r="AJ1594" s="29"/>
      <c r="AK1594" s="30"/>
      <c r="AL1594" s="29"/>
      <c r="AM1594" s="29"/>
      <c r="AN1594" s="29"/>
      <c r="AO1594" s="29"/>
      <c r="AP1594" s="29"/>
      <c r="AQ1594" s="29"/>
      <c r="AR1594" s="29"/>
      <c r="AS1594" s="29"/>
      <c r="AT1594" s="29"/>
      <c r="AU1594" s="29"/>
      <c r="AV1594" s="29"/>
      <c r="AW1594" s="29"/>
      <c r="AX1594" s="29"/>
      <c r="AY1594" s="29"/>
      <c r="AZ1594" s="29"/>
      <c r="BA1594" s="29"/>
      <c r="BB1594" s="29"/>
      <c r="BC1594" s="29"/>
      <c r="BD1594" s="29"/>
      <c r="BE1594" s="29"/>
      <c r="BF1594" s="29"/>
      <c r="BG1594" s="29"/>
      <c r="BH1594" s="29"/>
      <c r="BI1594" s="29"/>
      <c r="BJ1594" s="29"/>
      <c r="BK1594" s="29"/>
      <c r="BL1594" s="29"/>
      <c r="BM1594" s="29"/>
      <c r="BN1594" s="20">
        <f t="shared" si="178"/>
        <v>0</v>
      </c>
      <c r="BO1594" s="20">
        <f t="shared" si="179"/>
        <v>0</v>
      </c>
      <c r="BP1594" s="20">
        <f t="shared" si="180"/>
        <v>202</v>
      </c>
      <c r="BQ1594" s="55">
        <f t="shared" si="183"/>
        <v>87.87</v>
      </c>
      <c r="BR1594" s="56" t="s">
        <v>2569</v>
      </c>
      <c r="BS1594" s="33" t="s">
        <v>139</v>
      </c>
      <c r="BT1594" s="36" t="s">
        <v>2508</v>
      </c>
      <c r="BU1594" s="35" t="s">
        <v>765</v>
      </c>
    </row>
    <row r="1595" s="1" customFormat="1" customHeight="1" spans="1:73">
      <c r="A1595" s="37" t="s">
        <v>2568</v>
      </c>
      <c r="B1595" s="15">
        <v>300</v>
      </c>
      <c r="C1595" s="16">
        <v>200</v>
      </c>
      <c r="D1595" s="29"/>
      <c r="E1595" s="30"/>
      <c r="F1595" s="29"/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  <c r="AA1595" s="29"/>
      <c r="AB1595" s="29"/>
      <c r="AC1595" s="29"/>
      <c r="AD1595" s="29"/>
      <c r="AE1595" s="29"/>
      <c r="AF1595" s="29"/>
      <c r="AG1595" s="30"/>
      <c r="AH1595" s="29"/>
      <c r="AI1595" s="29"/>
      <c r="AJ1595" s="29"/>
      <c r="AK1595" s="30"/>
      <c r="AL1595" s="29"/>
      <c r="AM1595" s="29"/>
      <c r="AN1595" s="29"/>
      <c r="AO1595" s="29"/>
      <c r="AP1595" s="29"/>
      <c r="AQ1595" s="29"/>
      <c r="AR1595" s="29"/>
      <c r="AS1595" s="29"/>
      <c r="AT1595" s="29"/>
      <c r="AU1595" s="29"/>
      <c r="AV1595" s="29"/>
      <c r="AW1595" s="29"/>
      <c r="AX1595" s="29"/>
      <c r="AY1595" s="29"/>
      <c r="AZ1595" s="29"/>
      <c r="BA1595" s="29"/>
      <c r="BB1595" s="29"/>
      <c r="BC1595" s="29"/>
      <c r="BD1595" s="29"/>
      <c r="BE1595" s="29"/>
      <c r="BF1595" s="29"/>
      <c r="BG1595" s="29"/>
      <c r="BH1595" s="29"/>
      <c r="BI1595" s="29"/>
      <c r="BJ1595" s="29"/>
      <c r="BK1595" s="29"/>
      <c r="BL1595" s="29"/>
      <c r="BM1595" s="29"/>
      <c r="BN1595" s="20">
        <f t="shared" si="178"/>
        <v>0</v>
      </c>
      <c r="BO1595" s="20">
        <f t="shared" si="179"/>
        <v>0</v>
      </c>
      <c r="BP1595" s="20">
        <f t="shared" si="180"/>
        <v>200</v>
      </c>
      <c r="BQ1595" s="55">
        <f t="shared" si="183"/>
        <v>60</v>
      </c>
      <c r="BR1595" s="56" t="s">
        <v>138</v>
      </c>
      <c r="BS1595" s="33" t="s">
        <v>139</v>
      </c>
      <c r="BT1595" s="205"/>
      <c r="BU1595" s="35" t="s">
        <v>765</v>
      </c>
    </row>
    <row r="1596" s="1" customFormat="1" customHeight="1" spans="1:73">
      <c r="A1596" s="37" t="s">
        <v>2568</v>
      </c>
      <c r="B1596" s="15">
        <v>330</v>
      </c>
      <c r="C1596" s="16">
        <v>180</v>
      </c>
      <c r="D1596" s="29"/>
      <c r="E1596" s="30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  <c r="AA1596" s="29"/>
      <c r="AB1596" s="29"/>
      <c r="AC1596" s="29"/>
      <c r="AD1596" s="29"/>
      <c r="AE1596" s="29"/>
      <c r="AF1596" s="29"/>
      <c r="AG1596" s="30"/>
      <c r="AH1596" s="29"/>
      <c r="AI1596" s="29"/>
      <c r="AJ1596" s="29"/>
      <c r="AK1596" s="30"/>
      <c r="AL1596" s="29"/>
      <c r="AM1596" s="29"/>
      <c r="AN1596" s="29"/>
      <c r="AO1596" s="29"/>
      <c r="AP1596" s="29"/>
      <c r="AQ1596" s="29"/>
      <c r="AR1596" s="29"/>
      <c r="AS1596" s="29"/>
      <c r="AT1596" s="29"/>
      <c r="AU1596" s="29"/>
      <c r="AV1596" s="29"/>
      <c r="AW1596" s="29"/>
      <c r="AX1596" s="29"/>
      <c r="AY1596" s="29"/>
      <c r="AZ1596" s="29"/>
      <c r="BA1596" s="29"/>
      <c r="BB1596" s="29"/>
      <c r="BC1596" s="29"/>
      <c r="BD1596" s="29"/>
      <c r="BE1596" s="29"/>
      <c r="BF1596" s="29"/>
      <c r="BG1596" s="29"/>
      <c r="BH1596" s="29"/>
      <c r="BI1596" s="29"/>
      <c r="BJ1596" s="29"/>
      <c r="BK1596" s="29"/>
      <c r="BL1596" s="29"/>
      <c r="BM1596" s="29"/>
      <c r="BN1596" s="20">
        <f t="shared" si="178"/>
        <v>0</v>
      </c>
      <c r="BO1596" s="20">
        <f t="shared" si="179"/>
        <v>0</v>
      </c>
      <c r="BP1596" s="20">
        <f t="shared" si="180"/>
        <v>180</v>
      </c>
      <c r="BQ1596" s="55">
        <f t="shared" si="183"/>
        <v>59.4</v>
      </c>
      <c r="BR1596" s="56" t="s">
        <v>251</v>
      </c>
      <c r="BS1596" s="33"/>
      <c r="BT1596" s="205"/>
      <c r="BU1596" s="35"/>
    </row>
    <row r="1597" s="1" customFormat="1" customHeight="1" spans="1:73">
      <c r="A1597" s="37" t="s">
        <v>2568</v>
      </c>
      <c r="B1597" s="15" t="s">
        <v>2570</v>
      </c>
      <c r="C1597" s="16">
        <v>64</v>
      </c>
      <c r="D1597" s="29"/>
      <c r="E1597" s="30"/>
      <c r="F1597" s="29"/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  <c r="AA1597" s="29"/>
      <c r="AB1597" s="29"/>
      <c r="AC1597" s="29"/>
      <c r="AD1597" s="29"/>
      <c r="AE1597" s="29"/>
      <c r="AF1597" s="29"/>
      <c r="AG1597" s="30"/>
      <c r="AH1597" s="29"/>
      <c r="AI1597" s="29"/>
      <c r="AJ1597" s="29"/>
      <c r="AK1597" s="30"/>
      <c r="AL1597" s="29"/>
      <c r="AM1597" s="29"/>
      <c r="AN1597" s="29"/>
      <c r="AO1597" s="29"/>
      <c r="AP1597" s="29"/>
      <c r="AQ1597" s="29"/>
      <c r="AR1597" s="29"/>
      <c r="AS1597" s="29"/>
      <c r="AT1597" s="29"/>
      <c r="AU1597" s="29"/>
      <c r="AV1597" s="29"/>
      <c r="AW1597" s="29"/>
      <c r="AX1597" s="29"/>
      <c r="AY1597" s="29"/>
      <c r="AZ1597" s="29"/>
      <c r="BA1597" s="29"/>
      <c r="BB1597" s="29"/>
      <c r="BC1597" s="29"/>
      <c r="BD1597" s="29"/>
      <c r="BE1597" s="29"/>
      <c r="BF1597" s="29"/>
      <c r="BG1597" s="29"/>
      <c r="BH1597" s="29"/>
      <c r="BI1597" s="29"/>
      <c r="BJ1597" s="29"/>
      <c r="BK1597" s="29"/>
      <c r="BL1597" s="29"/>
      <c r="BM1597" s="29"/>
      <c r="BN1597" s="20">
        <f t="shared" si="178"/>
        <v>0</v>
      </c>
      <c r="BO1597" s="20">
        <f t="shared" si="179"/>
        <v>0</v>
      </c>
      <c r="BP1597" s="20">
        <f t="shared" si="180"/>
        <v>64</v>
      </c>
      <c r="BQ1597" s="55">
        <f>0.37*0.305*BP1597</f>
        <v>7.2224</v>
      </c>
      <c r="BR1597" s="56" t="s">
        <v>2571</v>
      </c>
      <c r="BS1597" s="33" t="s">
        <v>2572</v>
      </c>
      <c r="BT1597" s="36" t="s">
        <v>2573</v>
      </c>
      <c r="BU1597" s="35" t="s">
        <v>765</v>
      </c>
    </row>
    <row r="1598" s="1" customFormat="1" customHeight="1" spans="1:73">
      <c r="A1598" s="37" t="s">
        <v>2568</v>
      </c>
      <c r="B1598" s="15" t="s">
        <v>2574</v>
      </c>
      <c r="C1598" s="16">
        <v>160</v>
      </c>
      <c r="D1598" s="29"/>
      <c r="E1598" s="30"/>
      <c r="F1598" s="29"/>
      <c r="G1598" s="29"/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  <c r="AA1598" s="29"/>
      <c r="AB1598" s="29"/>
      <c r="AC1598" s="29"/>
      <c r="AD1598" s="29"/>
      <c r="AE1598" s="29"/>
      <c r="AF1598" s="29"/>
      <c r="AG1598" s="30"/>
      <c r="AH1598" s="29"/>
      <c r="AI1598" s="29"/>
      <c r="AJ1598" s="29"/>
      <c r="AK1598" s="30"/>
      <c r="AL1598" s="29"/>
      <c r="AM1598" s="29"/>
      <c r="AN1598" s="29"/>
      <c r="AO1598" s="29"/>
      <c r="AP1598" s="29"/>
      <c r="AQ1598" s="29"/>
      <c r="AR1598" s="29"/>
      <c r="AS1598" s="29"/>
      <c r="AT1598" s="29"/>
      <c r="AU1598" s="29"/>
      <c r="AV1598" s="29"/>
      <c r="AW1598" s="29"/>
      <c r="AX1598" s="29"/>
      <c r="AY1598" s="29"/>
      <c r="AZ1598" s="29"/>
      <c r="BA1598" s="29"/>
      <c r="BB1598" s="29"/>
      <c r="BC1598" s="29"/>
      <c r="BD1598" s="29"/>
      <c r="BE1598" s="29"/>
      <c r="BF1598" s="29"/>
      <c r="BG1598" s="29"/>
      <c r="BH1598" s="29"/>
      <c r="BI1598" s="29"/>
      <c r="BJ1598" s="29"/>
      <c r="BK1598" s="29"/>
      <c r="BL1598" s="29"/>
      <c r="BM1598" s="29"/>
      <c r="BN1598" s="20">
        <f t="shared" si="178"/>
        <v>0</v>
      </c>
      <c r="BO1598" s="20">
        <f t="shared" si="179"/>
        <v>0</v>
      </c>
      <c r="BP1598" s="20">
        <f t="shared" si="180"/>
        <v>160</v>
      </c>
      <c r="BQ1598" s="51">
        <f>0.435*0.244*BP1598</f>
        <v>16.9824</v>
      </c>
      <c r="BR1598" s="56" t="s">
        <v>912</v>
      </c>
      <c r="BS1598" s="33" t="s">
        <v>139</v>
      </c>
      <c r="BT1598" s="36"/>
      <c r="BU1598" s="35" t="s">
        <v>765</v>
      </c>
    </row>
    <row r="1599" s="1" customFormat="1" customHeight="1" spans="1:73">
      <c r="A1599" s="53" t="s">
        <v>2575</v>
      </c>
      <c r="B1599" s="15"/>
      <c r="C1599" s="16"/>
      <c r="D1599" s="29"/>
      <c r="E1599" s="30"/>
      <c r="F1599" s="29"/>
      <c r="G1599" s="29"/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  <c r="AA1599" s="29"/>
      <c r="AB1599" s="29"/>
      <c r="AC1599" s="29"/>
      <c r="AD1599" s="29"/>
      <c r="AE1599" s="29"/>
      <c r="AF1599" s="29"/>
      <c r="AG1599" s="30"/>
      <c r="AH1599" s="29"/>
      <c r="AI1599" s="29"/>
      <c r="AJ1599" s="29"/>
      <c r="AK1599" s="30"/>
      <c r="AL1599" s="29"/>
      <c r="AM1599" s="29"/>
      <c r="AN1599" s="29"/>
      <c r="AO1599" s="29"/>
      <c r="AP1599" s="29"/>
      <c r="AQ1599" s="29"/>
      <c r="AR1599" s="29"/>
      <c r="AS1599" s="29"/>
      <c r="AT1599" s="29"/>
      <c r="AU1599" s="29"/>
      <c r="AV1599" s="29"/>
      <c r="AW1599" s="29"/>
      <c r="AX1599" s="29"/>
      <c r="AY1599" s="29"/>
      <c r="AZ1599" s="29"/>
      <c r="BA1599" s="29"/>
      <c r="BB1599" s="29"/>
      <c r="BC1599" s="29"/>
      <c r="BD1599" s="29"/>
      <c r="BE1599" s="29"/>
      <c r="BF1599" s="29"/>
      <c r="BG1599" s="29"/>
      <c r="BH1599" s="29"/>
      <c r="BI1599" s="29"/>
      <c r="BJ1599" s="29"/>
      <c r="BK1599" s="29"/>
      <c r="BL1599" s="29"/>
      <c r="BM1599" s="29"/>
      <c r="BN1599" s="20">
        <f t="shared" si="178"/>
        <v>0</v>
      </c>
      <c r="BO1599" s="20">
        <f t="shared" si="179"/>
        <v>0</v>
      </c>
      <c r="BP1599" s="20">
        <f t="shared" si="180"/>
        <v>0</v>
      </c>
      <c r="BQ1599" s="51"/>
      <c r="BR1599" s="56"/>
      <c r="BS1599" s="33"/>
      <c r="BT1599" s="36"/>
      <c r="BU1599" s="35"/>
    </row>
    <row r="1600" s="1" customFormat="1" customHeight="1" spans="1:73">
      <c r="A1600" s="39" t="s">
        <v>2576</v>
      </c>
      <c r="B1600" s="15">
        <v>360</v>
      </c>
      <c r="C1600" s="16">
        <v>12</v>
      </c>
      <c r="D1600" s="29"/>
      <c r="E1600" s="30"/>
      <c r="F1600" s="29"/>
      <c r="G1600" s="29"/>
      <c r="H1600" s="29"/>
      <c r="I1600" s="29">
        <v>2.5</v>
      </c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  <c r="AA1600" s="29"/>
      <c r="AB1600" s="29"/>
      <c r="AC1600" s="29"/>
      <c r="AD1600" s="29"/>
      <c r="AE1600" s="29"/>
      <c r="AF1600" s="29"/>
      <c r="AG1600" s="30"/>
      <c r="AH1600" s="29"/>
      <c r="AI1600" s="29"/>
      <c r="AJ1600" s="29"/>
      <c r="AK1600" s="30"/>
      <c r="AL1600" s="29"/>
      <c r="AM1600" s="29"/>
      <c r="AN1600" s="29"/>
      <c r="AO1600" s="29"/>
      <c r="AP1600" s="29"/>
      <c r="AQ1600" s="29"/>
      <c r="AR1600" s="29"/>
      <c r="AS1600" s="29"/>
      <c r="AT1600" s="29"/>
      <c r="AU1600" s="29"/>
      <c r="AV1600" s="29"/>
      <c r="AW1600" s="29"/>
      <c r="AX1600" s="29"/>
      <c r="AY1600" s="29"/>
      <c r="AZ1600" s="29"/>
      <c r="BA1600" s="29"/>
      <c r="BB1600" s="29"/>
      <c r="BC1600" s="29"/>
      <c r="BD1600" s="29"/>
      <c r="BE1600" s="29"/>
      <c r="BF1600" s="29"/>
      <c r="BG1600" s="29"/>
      <c r="BH1600" s="29"/>
      <c r="BI1600" s="29"/>
      <c r="BJ1600" s="29"/>
      <c r="BK1600" s="29"/>
      <c r="BL1600" s="29"/>
      <c r="BM1600" s="29"/>
      <c r="BN1600" s="20">
        <f t="shared" si="178"/>
        <v>0</v>
      </c>
      <c r="BO1600" s="20">
        <f t="shared" si="179"/>
        <v>2.5</v>
      </c>
      <c r="BP1600" s="20">
        <f t="shared" si="180"/>
        <v>9.5</v>
      </c>
      <c r="BQ1600" s="51">
        <f t="shared" ref="BQ1600:BQ1608" si="184">B1600*BP1600/1000</f>
        <v>3.42</v>
      </c>
      <c r="BR1600" s="56" t="s">
        <v>2577</v>
      </c>
      <c r="BS1600" s="33" t="s">
        <v>376</v>
      </c>
      <c r="BT1600" s="206" t="s">
        <v>2578</v>
      </c>
      <c r="BU1600" s="35" t="s">
        <v>1273</v>
      </c>
    </row>
    <row r="1601" s="1" customFormat="1" customHeight="1" spans="1:73">
      <c r="A1601" s="53" t="s">
        <v>2579</v>
      </c>
      <c r="B1601" s="15"/>
      <c r="C1601" s="16"/>
      <c r="D1601" s="29"/>
      <c r="E1601" s="30"/>
      <c r="F1601" s="29"/>
      <c r="G1601" s="29"/>
      <c r="H1601" s="29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  <c r="AA1601" s="29"/>
      <c r="AB1601" s="29"/>
      <c r="AC1601" s="29"/>
      <c r="AD1601" s="29"/>
      <c r="AE1601" s="29"/>
      <c r="AF1601" s="29"/>
      <c r="AG1601" s="30"/>
      <c r="AH1601" s="29"/>
      <c r="AI1601" s="29"/>
      <c r="AJ1601" s="29"/>
      <c r="AK1601" s="30"/>
      <c r="AL1601" s="29"/>
      <c r="AM1601" s="29"/>
      <c r="AN1601" s="29"/>
      <c r="AO1601" s="29"/>
      <c r="AP1601" s="29"/>
      <c r="AQ1601" s="29"/>
      <c r="AR1601" s="29"/>
      <c r="AS1601" s="29"/>
      <c r="AT1601" s="29"/>
      <c r="AU1601" s="29"/>
      <c r="AV1601" s="29"/>
      <c r="AW1601" s="29"/>
      <c r="AX1601" s="29"/>
      <c r="AY1601" s="29"/>
      <c r="AZ1601" s="29"/>
      <c r="BA1601" s="29"/>
      <c r="BB1601" s="29"/>
      <c r="BC1601" s="29"/>
      <c r="BD1601" s="29"/>
      <c r="BE1601" s="29"/>
      <c r="BF1601" s="29"/>
      <c r="BG1601" s="29"/>
      <c r="BH1601" s="29"/>
      <c r="BI1601" s="29"/>
      <c r="BJ1601" s="29"/>
      <c r="BK1601" s="29"/>
      <c r="BL1601" s="29"/>
      <c r="BM1601" s="29"/>
      <c r="BN1601" s="20">
        <f t="shared" si="178"/>
        <v>0</v>
      </c>
      <c r="BO1601" s="20">
        <f t="shared" si="179"/>
        <v>0</v>
      </c>
      <c r="BP1601" s="20">
        <f t="shared" si="180"/>
        <v>0</v>
      </c>
      <c r="BQ1601" s="51"/>
      <c r="BR1601" s="56"/>
      <c r="BS1601" s="33"/>
      <c r="BT1601" s="36"/>
      <c r="BU1601" s="35"/>
    </row>
    <row r="1602" s="1" customFormat="1" customHeight="1" spans="1:73">
      <c r="A1602" s="39" t="s">
        <v>2580</v>
      </c>
      <c r="B1602" s="15">
        <v>230</v>
      </c>
      <c r="C1602" s="16">
        <v>93</v>
      </c>
      <c r="D1602" s="29"/>
      <c r="E1602" s="30"/>
      <c r="F1602" s="29"/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  <c r="AA1602" s="29"/>
      <c r="AB1602" s="29"/>
      <c r="AC1602" s="29"/>
      <c r="AD1602" s="29"/>
      <c r="AE1602" s="29"/>
      <c r="AF1602" s="29"/>
      <c r="AG1602" s="30"/>
      <c r="AH1602" s="29"/>
      <c r="AI1602" s="29"/>
      <c r="AJ1602" s="29"/>
      <c r="AK1602" s="30"/>
      <c r="AL1602" s="29"/>
      <c r="AM1602" s="29"/>
      <c r="AN1602" s="29"/>
      <c r="AO1602" s="29"/>
      <c r="AP1602" s="29"/>
      <c r="AQ1602" s="29"/>
      <c r="AR1602" s="29"/>
      <c r="AS1602" s="29"/>
      <c r="AT1602" s="29"/>
      <c r="AU1602" s="29"/>
      <c r="AV1602" s="29"/>
      <c r="AW1602" s="29"/>
      <c r="AX1602" s="29"/>
      <c r="AY1602" s="29"/>
      <c r="AZ1602" s="29"/>
      <c r="BA1602" s="29"/>
      <c r="BB1602" s="29"/>
      <c r="BC1602" s="29"/>
      <c r="BD1602" s="29"/>
      <c r="BE1602" s="29"/>
      <c r="BF1602" s="29"/>
      <c r="BG1602" s="29"/>
      <c r="BH1602" s="29"/>
      <c r="BI1602" s="29"/>
      <c r="BJ1602" s="29"/>
      <c r="BK1602" s="29"/>
      <c r="BL1602" s="29"/>
      <c r="BM1602" s="29"/>
      <c r="BN1602" s="20">
        <f t="shared" si="178"/>
        <v>0</v>
      </c>
      <c r="BO1602" s="20">
        <f t="shared" si="179"/>
        <v>0</v>
      </c>
      <c r="BP1602" s="20">
        <f t="shared" si="180"/>
        <v>93</v>
      </c>
      <c r="BQ1602" s="51">
        <f t="shared" si="184"/>
        <v>21.39</v>
      </c>
      <c r="BR1602" s="68" t="s">
        <v>1178</v>
      </c>
      <c r="BS1602" s="33" t="s">
        <v>2581</v>
      </c>
      <c r="BT1602" s="36"/>
      <c r="BU1602" s="35" t="s">
        <v>2582</v>
      </c>
    </row>
    <row r="1603" s="1" customFormat="1" customHeight="1" spans="1:73">
      <c r="A1603" s="39" t="s">
        <v>2580</v>
      </c>
      <c r="B1603" s="15">
        <v>305</v>
      </c>
      <c r="C1603" s="16">
        <v>71</v>
      </c>
      <c r="D1603" s="29"/>
      <c r="E1603" s="30"/>
      <c r="F1603" s="29"/>
      <c r="G1603" s="29"/>
      <c r="H1603" s="29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  <c r="AA1603" s="29"/>
      <c r="AB1603" s="29"/>
      <c r="AC1603" s="29"/>
      <c r="AD1603" s="29"/>
      <c r="AE1603" s="29"/>
      <c r="AF1603" s="29"/>
      <c r="AG1603" s="30"/>
      <c r="AH1603" s="29"/>
      <c r="AI1603" s="29"/>
      <c r="AJ1603" s="29"/>
      <c r="AK1603" s="30"/>
      <c r="AL1603" s="29"/>
      <c r="AM1603" s="29"/>
      <c r="AN1603" s="29"/>
      <c r="AO1603" s="29"/>
      <c r="AP1603" s="29"/>
      <c r="AQ1603" s="29"/>
      <c r="AR1603" s="29"/>
      <c r="AS1603" s="29"/>
      <c r="AT1603" s="29"/>
      <c r="AU1603" s="29"/>
      <c r="AV1603" s="29"/>
      <c r="AW1603" s="29"/>
      <c r="AX1603" s="29"/>
      <c r="AY1603" s="29"/>
      <c r="AZ1603" s="29"/>
      <c r="BA1603" s="29"/>
      <c r="BB1603" s="29"/>
      <c r="BC1603" s="29"/>
      <c r="BD1603" s="29"/>
      <c r="BE1603" s="29"/>
      <c r="BF1603" s="29"/>
      <c r="BG1603" s="29"/>
      <c r="BH1603" s="29"/>
      <c r="BI1603" s="29"/>
      <c r="BJ1603" s="29"/>
      <c r="BK1603" s="29"/>
      <c r="BL1603" s="29"/>
      <c r="BM1603" s="29"/>
      <c r="BN1603" s="20">
        <f t="shared" si="178"/>
        <v>0</v>
      </c>
      <c r="BO1603" s="20">
        <f t="shared" si="179"/>
        <v>0</v>
      </c>
      <c r="BP1603" s="20">
        <f t="shared" si="180"/>
        <v>71</v>
      </c>
      <c r="BQ1603" s="51">
        <f t="shared" si="184"/>
        <v>21.655</v>
      </c>
      <c r="BR1603" s="68" t="s">
        <v>1434</v>
      </c>
      <c r="BS1603" s="33" t="s">
        <v>2466</v>
      </c>
      <c r="BT1603" s="36"/>
      <c r="BU1603" s="35" t="s">
        <v>2582</v>
      </c>
    </row>
    <row r="1604" s="1" customFormat="1" customHeight="1" spans="1:73">
      <c r="A1604" s="39" t="s">
        <v>2580</v>
      </c>
      <c r="B1604" s="15">
        <v>365</v>
      </c>
      <c r="C1604" s="16">
        <v>72</v>
      </c>
      <c r="D1604" s="29"/>
      <c r="E1604" s="30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  <c r="AA1604" s="29"/>
      <c r="AB1604" s="29"/>
      <c r="AC1604" s="29"/>
      <c r="AD1604" s="29"/>
      <c r="AE1604" s="29"/>
      <c r="AF1604" s="29"/>
      <c r="AG1604" s="30"/>
      <c r="AH1604" s="29"/>
      <c r="AI1604" s="29"/>
      <c r="AJ1604" s="29"/>
      <c r="AK1604" s="30"/>
      <c r="AL1604" s="29"/>
      <c r="AM1604" s="29"/>
      <c r="AN1604" s="29"/>
      <c r="AO1604" s="29"/>
      <c r="AP1604" s="29"/>
      <c r="AQ1604" s="29"/>
      <c r="AR1604" s="29"/>
      <c r="AS1604" s="29"/>
      <c r="AT1604" s="29"/>
      <c r="AU1604" s="29"/>
      <c r="AV1604" s="29"/>
      <c r="AW1604" s="29"/>
      <c r="AX1604" s="29"/>
      <c r="AY1604" s="29"/>
      <c r="AZ1604" s="29"/>
      <c r="BA1604" s="29"/>
      <c r="BB1604" s="29"/>
      <c r="BC1604" s="29"/>
      <c r="BD1604" s="29"/>
      <c r="BE1604" s="29"/>
      <c r="BF1604" s="29"/>
      <c r="BG1604" s="29"/>
      <c r="BH1604" s="29"/>
      <c r="BI1604" s="29"/>
      <c r="BJ1604" s="29"/>
      <c r="BK1604" s="29"/>
      <c r="BL1604" s="29"/>
      <c r="BM1604" s="29"/>
      <c r="BN1604" s="20">
        <f t="shared" si="178"/>
        <v>0</v>
      </c>
      <c r="BO1604" s="20">
        <f t="shared" si="179"/>
        <v>0</v>
      </c>
      <c r="BP1604" s="20">
        <f t="shared" si="180"/>
        <v>72</v>
      </c>
      <c r="BQ1604" s="51">
        <f t="shared" si="184"/>
        <v>26.28</v>
      </c>
      <c r="BR1604" s="68" t="s">
        <v>2583</v>
      </c>
      <c r="BS1604" s="33" t="s">
        <v>376</v>
      </c>
      <c r="BT1604" s="75" t="s">
        <v>2584</v>
      </c>
      <c r="BU1604" s="35" t="s">
        <v>2582</v>
      </c>
    </row>
    <row r="1605" s="1" customFormat="1" customHeight="1" spans="1:73">
      <c r="A1605" s="39" t="s">
        <v>2580</v>
      </c>
      <c r="B1605" s="15">
        <v>380</v>
      </c>
      <c r="C1605" s="16">
        <v>30.5</v>
      </c>
      <c r="D1605" s="29"/>
      <c r="E1605" s="30"/>
      <c r="F1605" s="29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  <c r="AA1605" s="29"/>
      <c r="AB1605" s="29"/>
      <c r="AC1605" s="29"/>
      <c r="AD1605" s="29"/>
      <c r="AE1605" s="29"/>
      <c r="AF1605" s="29"/>
      <c r="AG1605" s="30"/>
      <c r="AH1605" s="29"/>
      <c r="AI1605" s="29"/>
      <c r="AJ1605" s="29"/>
      <c r="AK1605" s="30"/>
      <c r="AL1605" s="29"/>
      <c r="AM1605" s="29"/>
      <c r="AN1605" s="29"/>
      <c r="AO1605" s="29"/>
      <c r="AP1605" s="29"/>
      <c r="AQ1605" s="29"/>
      <c r="AR1605" s="29"/>
      <c r="AS1605" s="29"/>
      <c r="AT1605" s="29"/>
      <c r="AU1605" s="29"/>
      <c r="AV1605" s="29"/>
      <c r="AW1605" s="29"/>
      <c r="AX1605" s="29"/>
      <c r="AY1605" s="29"/>
      <c r="AZ1605" s="29"/>
      <c r="BA1605" s="29"/>
      <c r="BB1605" s="29"/>
      <c r="BC1605" s="29"/>
      <c r="BD1605" s="29"/>
      <c r="BE1605" s="29"/>
      <c r="BF1605" s="29"/>
      <c r="BG1605" s="29"/>
      <c r="BH1605" s="29"/>
      <c r="BI1605" s="29"/>
      <c r="BJ1605" s="29"/>
      <c r="BK1605" s="29"/>
      <c r="BL1605" s="29"/>
      <c r="BM1605" s="29"/>
      <c r="BN1605" s="20">
        <f t="shared" si="178"/>
        <v>0</v>
      </c>
      <c r="BO1605" s="20">
        <f t="shared" si="179"/>
        <v>0</v>
      </c>
      <c r="BP1605" s="20">
        <f t="shared" si="180"/>
        <v>30.5</v>
      </c>
      <c r="BQ1605" s="51">
        <f t="shared" si="184"/>
        <v>11.59</v>
      </c>
      <c r="BR1605" s="68" t="s">
        <v>1178</v>
      </c>
      <c r="BS1605" s="33" t="s">
        <v>2581</v>
      </c>
      <c r="BT1605" s="36"/>
      <c r="BU1605" s="35" t="s">
        <v>2582</v>
      </c>
    </row>
    <row r="1606" s="1" customFormat="1" customHeight="1" spans="1:73">
      <c r="A1606" s="207" t="s">
        <v>2585</v>
      </c>
      <c r="B1606" s="15">
        <v>305</v>
      </c>
      <c r="C1606" s="16">
        <v>67</v>
      </c>
      <c r="D1606" s="29"/>
      <c r="E1606" s="30"/>
      <c r="F1606" s="29"/>
      <c r="G1606" s="29"/>
      <c r="H1606" s="29"/>
      <c r="I1606" s="29"/>
      <c r="J1606" s="29"/>
      <c r="K1606" s="29"/>
      <c r="L1606" s="29"/>
      <c r="M1606" s="29">
        <v>51</v>
      </c>
      <c r="N1606" s="29"/>
      <c r="O1606" s="29"/>
      <c r="P1606" s="29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  <c r="AA1606" s="29"/>
      <c r="AB1606" s="29"/>
      <c r="AC1606" s="29"/>
      <c r="AD1606" s="29"/>
      <c r="AE1606" s="29"/>
      <c r="AF1606" s="29"/>
      <c r="AG1606" s="30"/>
      <c r="AH1606" s="29"/>
      <c r="AI1606" s="208"/>
      <c r="AJ1606" s="29"/>
      <c r="AK1606" s="30"/>
      <c r="AL1606" s="29"/>
      <c r="AM1606" s="29"/>
      <c r="AN1606" s="29"/>
      <c r="AO1606" s="29"/>
      <c r="AP1606" s="29"/>
      <c r="AQ1606" s="29"/>
      <c r="AR1606" s="29"/>
      <c r="AS1606" s="29"/>
      <c r="AT1606" s="29"/>
      <c r="AU1606" s="29"/>
      <c r="AV1606" s="29"/>
      <c r="AW1606" s="29"/>
      <c r="AX1606" s="29"/>
      <c r="AY1606" s="29"/>
      <c r="AZ1606" s="29"/>
      <c r="BA1606" s="29"/>
      <c r="BB1606" s="29"/>
      <c r="BC1606" s="29"/>
      <c r="BD1606" s="29"/>
      <c r="BE1606" s="29"/>
      <c r="BF1606" s="29"/>
      <c r="BG1606" s="29"/>
      <c r="BH1606" s="29"/>
      <c r="BI1606" s="29"/>
      <c r="BJ1606" s="29"/>
      <c r="BK1606" s="29"/>
      <c r="BL1606" s="29"/>
      <c r="BM1606" s="29"/>
      <c r="BN1606" s="20">
        <f t="shared" si="178"/>
        <v>0</v>
      </c>
      <c r="BO1606" s="20">
        <f t="shared" si="179"/>
        <v>51</v>
      </c>
      <c r="BP1606" s="20">
        <f t="shared" si="180"/>
        <v>16</v>
      </c>
      <c r="BQ1606" s="51">
        <f t="shared" si="184"/>
        <v>4.88</v>
      </c>
      <c r="BR1606" s="68" t="s">
        <v>105</v>
      </c>
      <c r="BS1606" s="33" t="s">
        <v>106</v>
      </c>
      <c r="BT1606" s="36" t="s">
        <v>2586</v>
      </c>
      <c r="BU1606" s="35" t="s">
        <v>765</v>
      </c>
    </row>
    <row r="1607" s="1" customFormat="1" customHeight="1" spans="1:73">
      <c r="A1607" s="207" t="s">
        <v>2585</v>
      </c>
      <c r="B1607" s="15">
        <v>350</v>
      </c>
      <c r="C1607" s="29">
        <v>14</v>
      </c>
      <c r="D1607" s="29"/>
      <c r="E1607" s="30"/>
      <c r="F1607" s="29"/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29"/>
      <c r="AB1607" s="29"/>
      <c r="AC1607" s="29"/>
      <c r="AD1607" s="29"/>
      <c r="AE1607" s="29"/>
      <c r="AF1607" s="29"/>
      <c r="AG1607" s="30"/>
      <c r="AH1607" s="29"/>
      <c r="AI1607" s="29"/>
      <c r="AJ1607" s="29"/>
      <c r="AK1607" s="29"/>
      <c r="AL1607" s="29"/>
      <c r="AM1607" s="29"/>
      <c r="AN1607" s="29"/>
      <c r="AO1607" s="29"/>
      <c r="AP1607" s="29"/>
      <c r="AQ1607" s="29"/>
      <c r="AR1607" s="29"/>
      <c r="AS1607" s="29"/>
      <c r="AT1607" s="29"/>
      <c r="AU1607" s="29"/>
      <c r="AV1607" s="29"/>
      <c r="AW1607" s="29"/>
      <c r="AX1607" s="29"/>
      <c r="AY1607" s="29"/>
      <c r="AZ1607" s="29"/>
      <c r="BA1607" s="29"/>
      <c r="BB1607" s="29"/>
      <c r="BC1607" s="29"/>
      <c r="BD1607" s="29"/>
      <c r="BE1607" s="29"/>
      <c r="BF1607" s="29"/>
      <c r="BG1607" s="29"/>
      <c r="BH1607" s="29"/>
      <c r="BI1607" s="29"/>
      <c r="BJ1607" s="29"/>
      <c r="BK1607" s="29"/>
      <c r="BL1607" s="29"/>
      <c r="BM1607" s="29"/>
      <c r="BN1607" s="20">
        <f t="shared" si="178"/>
        <v>0</v>
      </c>
      <c r="BO1607" s="20">
        <f t="shared" si="179"/>
        <v>0</v>
      </c>
      <c r="BP1607" s="20">
        <f t="shared" si="180"/>
        <v>14</v>
      </c>
      <c r="BQ1607" s="51">
        <f t="shared" si="184"/>
        <v>4.9</v>
      </c>
      <c r="BR1607" s="56" t="s">
        <v>2534</v>
      </c>
      <c r="BS1607" s="33" t="s">
        <v>135</v>
      </c>
      <c r="BT1607" s="36" t="s">
        <v>2587</v>
      </c>
      <c r="BU1607" s="35" t="s">
        <v>765</v>
      </c>
    </row>
    <row r="1608" s="1" customFormat="1" customHeight="1" spans="1:73">
      <c r="A1608" s="207" t="s">
        <v>2585</v>
      </c>
      <c r="B1608" s="15">
        <v>380</v>
      </c>
      <c r="C1608" s="29">
        <v>45</v>
      </c>
      <c r="D1608" s="29"/>
      <c r="E1608" s="30"/>
      <c r="F1608" s="29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29"/>
      <c r="X1608" s="29"/>
      <c r="Y1608" s="29"/>
      <c r="Z1608" s="29"/>
      <c r="AA1608" s="29"/>
      <c r="AB1608" s="29"/>
      <c r="AC1608" s="29"/>
      <c r="AD1608" s="29"/>
      <c r="AE1608" s="29"/>
      <c r="AF1608" s="29"/>
      <c r="AG1608" s="30"/>
      <c r="AH1608" s="29"/>
      <c r="AI1608" s="29"/>
      <c r="AJ1608" s="29"/>
      <c r="AK1608" s="29"/>
      <c r="AL1608" s="29"/>
      <c r="AM1608" s="29"/>
      <c r="AN1608" s="29"/>
      <c r="AO1608" s="29"/>
      <c r="AP1608" s="29"/>
      <c r="AQ1608" s="29"/>
      <c r="AR1608" s="29"/>
      <c r="AS1608" s="29"/>
      <c r="AT1608" s="29"/>
      <c r="AU1608" s="29"/>
      <c r="AV1608" s="29"/>
      <c r="AW1608" s="29"/>
      <c r="AX1608" s="29"/>
      <c r="AY1608" s="29"/>
      <c r="AZ1608" s="29"/>
      <c r="BA1608" s="29"/>
      <c r="BB1608" s="29"/>
      <c r="BC1608" s="29"/>
      <c r="BD1608" s="29"/>
      <c r="BE1608" s="29"/>
      <c r="BF1608" s="29"/>
      <c r="BG1608" s="29"/>
      <c r="BH1608" s="29"/>
      <c r="BI1608" s="29"/>
      <c r="BJ1608" s="29"/>
      <c r="BK1608" s="29"/>
      <c r="BL1608" s="29"/>
      <c r="BM1608" s="29"/>
      <c r="BN1608" s="20">
        <f t="shared" si="178"/>
        <v>0</v>
      </c>
      <c r="BO1608" s="20">
        <f t="shared" si="179"/>
        <v>0</v>
      </c>
      <c r="BP1608" s="20">
        <f t="shared" si="180"/>
        <v>45</v>
      </c>
      <c r="BQ1608" s="51">
        <f t="shared" si="184"/>
        <v>17.1</v>
      </c>
      <c r="BR1608" s="56" t="s">
        <v>868</v>
      </c>
      <c r="BS1608" s="33" t="s">
        <v>1544</v>
      </c>
      <c r="BT1608" s="36" t="s">
        <v>2588</v>
      </c>
      <c r="BU1608" s="35" t="s">
        <v>765</v>
      </c>
    </row>
    <row r="1609" s="1" customFormat="1" customHeight="1" spans="1:73">
      <c r="A1609" s="53" t="s">
        <v>2589</v>
      </c>
      <c r="B1609" s="15"/>
      <c r="C1609" s="16"/>
      <c r="D1609" s="29"/>
      <c r="E1609" s="30"/>
      <c r="F1609" s="29"/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  <c r="AA1609" s="29"/>
      <c r="AB1609" s="29"/>
      <c r="AC1609" s="29"/>
      <c r="AD1609" s="29"/>
      <c r="AE1609" s="29"/>
      <c r="AF1609" s="29"/>
      <c r="AG1609" s="30"/>
      <c r="AH1609" s="29"/>
      <c r="AI1609" s="29"/>
      <c r="AJ1609" s="29"/>
      <c r="AK1609" s="30"/>
      <c r="AL1609" s="29"/>
      <c r="AM1609" s="29"/>
      <c r="AN1609" s="29"/>
      <c r="AO1609" s="29"/>
      <c r="AP1609" s="29"/>
      <c r="AQ1609" s="29"/>
      <c r="AR1609" s="29"/>
      <c r="AS1609" s="29"/>
      <c r="AT1609" s="29"/>
      <c r="AU1609" s="29"/>
      <c r="AV1609" s="29"/>
      <c r="AW1609" s="29"/>
      <c r="AX1609" s="29"/>
      <c r="AY1609" s="29"/>
      <c r="AZ1609" s="29"/>
      <c r="BA1609" s="29"/>
      <c r="BB1609" s="29"/>
      <c r="BC1609" s="29"/>
      <c r="BD1609" s="29"/>
      <c r="BE1609" s="29"/>
      <c r="BF1609" s="29"/>
      <c r="BG1609" s="29"/>
      <c r="BH1609" s="29"/>
      <c r="BI1609" s="29"/>
      <c r="BJ1609" s="29"/>
      <c r="BK1609" s="29"/>
      <c r="BL1609" s="29"/>
      <c r="BM1609" s="29"/>
      <c r="BN1609" s="20">
        <f t="shared" si="178"/>
        <v>0</v>
      </c>
      <c r="BO1609" s="20">
        <f t="shared" si="179"/>
        <v>0</v>
      </c>
      <c r="BP1609" s="20">
        <f t="shared" si="180"/>
        <v>0</v>
      </c>
      <c r="BQ1609" s="55"/>
      <c r="BR1609" s="68"/>
      <c r="BS1609" s="33"/>
      <c r="BT1609" s="36"/>
      <c r="BU1609" s="35"/>
    </row>
    <row r="1610" s="1" customFormat="1" customHeight="1" spans="1:73">
      <c r="A1610" s="52" t="s">
        <v>2590</v>
      </c>
      <c r="B1610" s="15" t="s">
        <v>2591</v>
      </c>
      <c r="C1610" s="16">
        <v>6</v>
      </c>
      <c r="D1610" s="29"/>
      <c r="E1610" s="30"/>
      <c r="F1610" s="29"/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29"/>
      <c r="AB1610" s="29"/>
      <c r="AC1610" s="29"/>
      <c r="AD1610" s="29"/>
      <c r="AE1610" s="29"/>
      <c r="AF1610" s="29"/>
      <c r="AG1610" s="30"/>
      <c r="AH1610" s="29"/>
      <c r="AI1610" s="29"/>
      <c r="AJ1610" s="29"/>
      <c r="AK1610" s="30"/>
      <c r="AL1610" s="29"/>
      <c r="AM1610" s="29"/>
      <c r="AN1610" s="29"/>
      <c r="AO1610" s="29"/>
      <c r="AP1610" s="29"/>
      <c r="AQ1610" s="29"/>
      <c r="AR1610" s="29"/>
      <c r="AS1610" s="29"/>
      <c r="AT1610" s="29"/>
      <c r="AU1610" s="29"/>
      <c r="AV1610" s="29"/>
      <c r="AW1610" s="29"/>
      <c r="AX1610" s="29"/>
      <c r="AY1610" s="29"/>
      <c r="AZ1610" s="29"/>
      <c r="BA1610" s="29"/>
      <c r="BB1610" s="29"/>
      <c r="BC1610" s="29"/>
      <c r="BD1610" s="29"/>
      <c r="BE1610" s="29"/>
      <c r="BF1610" s="29"/>
      <c r="BG1610" s="29"/>
      <c r="BH1610" s="29"/>
      <c r="BI1610" s="29"/>
      <c r="BJ1610" s="29"/>
      <c r="BK1610" s="29"/>
      <c r="BL1610" s="29"/>
      <c r="BM1610" s="29"/>
      <c r="BN1610" s="20">
        <f t="shared" si="178"/>
        <v>0</v>
      </c>
      <c r="BO1610" s="20">
        <f t="shared" si="179"/>
        <v>0</v>
      </c>
      <c r="BP1610" s="20">
        <f t="shared" si="180"/>
        <v>6</v>
      </c>
      <c r="BQ1610" s="51">
        <f>0.345*0.145*BP1610</f>
        <v>0.30015</v>
      </c>
      <c r="BR1610" s="68" t="s">
        <v>148</v>
      </c>
      <c r="BS1610" s="33" t="s">
        <v>149</v>
      </c>
      <c r="BT1610" s="36" t="s">
        <v>2592</v>
      </c>
      <c r="BU1610" s="35" t="s">
        <v>1273</v>
      </c>
    </row>
    <row r="1611" s="1" customFormat="1" customHeight="1" spans="1:73">
      <c r="A1611" s="52" t="s">
        <v>2590</v>
      </c>
      <c r="B1611" s="15" t="s">
        <v>2593</v>
      </c>
      <c r="C1611" s="16">
        <v>1335</v>
      </c>
      <c r="D1611" s="29"/>
      <c r="E1611" s="30"/>
      <c r="F1611" s="29"/>
      <c r="G1611" s="29"/>
      <c r="H1611" s="29"/>
      <c r="I1611" s="29">
        <v>1335</v>
      </c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  <c r="AA1611" s="29"/>
      <c r="AB1611" s="29"/>
      <c r="AC1611" s="29"/>
      <c r="AD1611" s="29"/>
      <c r="AE1611" s="29"/>
      <c r="AF1611" s="29"/>
      <c r="AG1611" s="30"/>
      <c r="AH1611" s="29"/>
      <c r="AI1611" s="29"/>
      <c r="AJ1611" s="29"/>
      <c r="AK1611" s="30"/>
      <c r="AL1611" s="29"/>
      <c r="AM1611" s="29"/>
      <c r="AN1611" s="29"/>
      <c r="AO1611" s="29"/>
      <c r="AP1611" s="29"/>
      <c r="AQ1611" s="29"/>
      <c r="AR1611" s="29"/>
      <c r="AS1611" s="29"/>
      <c r="AT1611" s="29"/>
      <c r="AU1611" s="29"/>
      <c r="AV1611" s="29"/>
      <c r="AW1611" s="29"/>
      <c r="AX1611" s="29"/>
      <c r="AY1611" s="29"/>
      <c r="AZ1611" s="29"/>
      <c r="BA1611" s="29"/>
      <c r="BB1611" s="29"/>
      <c r="BC1611" s="29"/>
      <c r="BD1611" s="29"/>
      <c r="BE1611" s="29"/>
      <c r="BF1611" s="29"/>
      <c r="BG1611" s="29"/>
      <c r="BH1611" s="29"/>
      <c r="BI1611" s="29"/>
      <c r="BJ1611" s="29"/>
      <c r="BK1611" s="29"/>
      <c r="BL1611" s="29"/>
      <c r="BM1611" s="29"/>
      <c r="BN1611" s="20">
        <f t="shared" si="178"/>
        <v>0</v>
      </c>
      <c r="BO1611" s="20">
        <f t="shared" si="179"/>
        <v>1335</v>
      </c>
      <c r="BP1611" s="20">
        <f t="shared" si="180"/>
        <v>0</v>
      </c>
      <c r="BQ1611" s="51">
        <f>0.35*0.23*BP1611</f>
        <v>0</v>
      </c>
      <c r="BR1611" s="68" t="s">
        <v>332</v>
      </c>
      <c r="BS1611" s="33" t="s">
        <v>333</v>
      </c>
      <c r="BT1611" s="36"/>
      <c r="BU1611" s="35" t="s">
        <v>1273</v>
      </c>
    </row>
    <row r="1612" s="1" customFormat="1" customHeight="1" spans="1:73">
      <c r="A1612" s="52" t="s">
        <v>2590</v>
      </c>
      <c r="B1612" s="15" t="s">
        <v>2594</v>
      </c>
      <c r="C1612" s="16">
        <v>440</v>
      </c>
      <c r="D1612" s="29"/>
      <c r="E1612" s="30"/>
      <c r="F1612" s="29"/>
      <c r="G1612" s="29"/>
      <c r="H1612" s="29"/>
      <c r="I1612" s="29">
        <v>440</v>
      </c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  <c r="AA1612" s="29"/>
      <c r="AB1612" s="29"/>
      <c r="AC1612" s="29"/>
      <c r="AD1612" s="29"/>
      <c r="AE1612" s="29"/>
      <c r="AF1612" s="29"/>
      <c r="AG1612" s="30"/>
      <c r="AH1612" s="29"/>
      <c r="AI1612" s="29"/>
      <c r="AJ1612" s="29"/>
      <c r="AK1612" s="30"/>
      <c r="AL1612" s="29"/>
      <c r="AM1612" s="29"/>
      <c r="AN1612" s="29"/>
      <c r="AO1612" s="29"/>
      <c r="AP1612" s="29"/>
      <c r="AQ1612" s="29"/>
      <c r="AR1612" s="29"/>
      <c r="AS1612" s="29"/>
      <c r="AT1612" s="29"/>
      <c r="AU1612" s="29"/>
      <c r="AV1612" s="29"/>
      <c r="AW1612" s="29"/>
      <c r="AX1612" s="29"/>
      <c r="AY1612" s="29"/>
      <c r="AZ1612" s="29"/>
      <c r="BA1612" s="29"/>
      <c r="BB1612" s="29"/>
      <c r="BC1612" s="29"/>
      <c r="BD1612" s="29"/>
      <c r="BE1612" s="29"/>
      <c r="BF1612" s="29"/>
      <c r="BG1612" s="29"/>
      <c r="BH1612" s="29"/>
      <c r="BI1612" s="29"/>
      <c r="BJ1612" s="29"/>
      <c r="BK1612" s="29"/>
      <c r="BL1612" s="29"/>
      <c r="BM1612" s="29"/>
      <c r="BN1612" s="20">
        <f t="shared" si="178"/>
        <v>0</v>
      </c>
      <c r="BO1612" s="20">
        <f t="shared" si="179"/>
        <v>440</v>
      </c>
      <c r="BP1612" s="20">
        <f t="shared" si="180"/>
        <v>0</v>
      </c>
      <c r="BQ1612" s="51">
        <f>0.38*0.29*BP1612</f>
        <v>0</v>
      </c>
      <c r="BR1612" s="68" t="s">
        <v>332</v>
      </c>
      <c r="BS1612" s="33" t="s">
        <v>333</v>
      </c>
      <c r="BT1612" s="36"/>
      <c r="BU1612" s="35" t="s">
        <v>1273</v>
      </c>
    </row>
    <row r="1613" s="1" customFormat="1" customHeight="1" spans="1:73">
      <c r="A1613" s="52" t="s">
        <v>2590</v>
      </c>
      <c r="B1613" s="15">
        <v>290</v>
      </c>
      <c r="C1613" s="16">
        <v>67</v>
      </c>
      <c r="D1613" s="29"/>
      <c r="E1613" s="30"/>
      <c r="F1613" s="29"/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  <c r="AA1613" s="29"/>
      <c r="AB1613" s="29"/>
      <c r="AC1613" s="29"/>
      <c r="AD1613" s="29"/>
      <c r="AE1613" s="29"/>
      <c r="AF1613" s="29"/>
      <c r="AG1613" s="30"/>
      <c r="AH1613" s="29"/>
      <c r="AI1613" s="29"/>
      <c r="AJ1613" s="29"/>
      <c r="AK1613" s="30"/>
      <c r="AL1613" s="29"/>
      <c r="AM1613" s="29"/>
      <c r="AN1613" s="29"/>
      <c r="AO1613" s="29"/>
      <c r="AP1613" s="29"/>
      <c r="AQ1613" s="29"/>
      <c r="AR1613" s="29"/>
      <c r="AS1613" s="29"/>
      <c r="AT1613" s="29"/>
      <c r="AU1613" s="29"/>
      <c r="AV1613" s="29"/>
      <c r="AW1613" s="29"/>
      <c r="AX1613" s="29"/>
      <c r="AY1613" s="29"/>
      <c r="AZ1613" s="29"/>
      <c r="BA1613" s="29"/>
      <c r="BB1613" s="29"/>
      <c r="BC1613" s="29"/>
      <c r="BD1613" s="29"/>
      <c r="BE1613" s="29"/>
      <c r="BF1613" s="29"/>
      <c r="BG1613" s="29"/>
      <c r="BH1613" s="29"/>
      <c r="BI1613" s="29"/>
      <c r="BJ1613" s="29"/>
      <c r="BK1613" s="29"/>
      <c r="BL1613" s="29"/>
      <c r="BM1613" s="29"/>
      <c r="BN1613" s="20">
        <f t="shared" si="178"/>
        <v>0</v>
      </c>
      <c r="BO1613" s="20">
        <f t="shared" si="179"/>
        <v>0</v>
      </c>
      <c r="BP1613" s="20">
        <f t="shared" si="180"/>
        <v>67</v>
      </c>
      <c r="BQ1613" s="55">
        <f t="shared" ref="BQ1613:BQ1617" si="185">B1613*BP1613/1000</f>
        <v>19.43</v>
      </c>
      <c r="BR1613" s="68" t="s">
        <v>332</v>
      </c>
      <c r="BS1613" s="33" t="s">
        <v>333</v>
      </c>
      <c r="BT1613" s="36"/>
      <c r="BU1613" s="35" t="s">
        <v>1273</v>
      </c>
    </row>
    <row r="1614" s="1" customFormat="1" customHeight="1" spans="1:73">
      <c r="A1614" s="52" t="s">
        <v>2590</v>
      </c>
      <c r="B1614" s="15">
        <v>300</v>
      </c>
      <c r="C1614" s="16">
        <v>4</v>
      </c>
      <c r="D1614" s="29"/>
      <c r="E1614" s="30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  <c r="AA1614" s="29"/>
      <c r="AB1614" s="29"/>
      <c r="AC1614" s="29"/>
      <c r="AD1614" s="29"/>
      <c r="AE1614" s="29"/>
      <c r="AF1614" s="29"/>
      <c r="AG1614" s="30"/>
      <c r="AH1614" s="29"/>
      <c r="AI1614" s="29"/>
      <c r="AJ1614" s="29"/>
      <c r="AK1614" s="30"/>
      <c r="AL1614" s="29"/>
      <c r="AM1614" s="29"/>
      <c r="AN1614" s="29"/>
      <c r="AO1614" s="29"/>
      <c r="AP1614" s="29"/>
      <c r="AQ1614" s="29"/>
      <c r="AR1614" s="29"/>
      <c r="AS1614" s="29"/>
      <c r="AT1614" s="29"/>
      <c r="AU1614" s="29"/>
      <c r="AV1614" s="29"/>
      <c r="AW1614" s="29"/>
      <c r="AX1614" s="29"/>
      <c r="AY1614" s="29"/>
      <c r="AZ1614" s="29"/>
      <c r="BA1614" s="29"/>
      <c r="BB1614" s="29"/>
      <c r="BC1614" s="29"/>
      <c r="BD1614" s="29"/>
      <c r="BE1614" s="29"/>
      <c r="BF1614" s="29"/>
      <c r="BG1614" s="29"/>
      <c r="BH1614" s="29"/>
      <c r="BI1614" s="29"/>
      <c r="BJ1614" s="29"/>
      <c r="BK1614" s="29"/>
      <c r="BL1614" s="29"/>
      <c r="BM1614" s="29"/>
      <c r="BN1614" s="20">
        <f t="shared" si="178"/>
        <v>0</v>
      </c>
      <c r="BO1614" s="20">
        <f t="shared" si="179"/>
        <v>0</v>
      </c>
      <c r="BP1614" s="20">
        <f t="shared" si="180"/>
        <v>4</v>
      </c>
      <c r="BQ1614" s="55">
        <f t="shared" si="185"/>
        <v>1.2</v>
      </c>
      <c r="BR1614" s="68" t="s">
        <v>922</v>
      </c>
      <c r="BS1614" s="33" t="s">
        <v>1805</v>
      </c>
      <c r="BT1614" s="205"/>
      <c r="BU1614" s="35" t="s">
        <v>1273</v>
      </c>
    </row>
    <row r="1615" s="1" customFormat="1" customHeight="1" spans="1:73">
      <c r="A1615" s="52" t="s">
        <v>2590</v>
      </c>
      <c r="B1615" s="15">
        <v>305</v>
      </c>
      <c r="C1615" s="16">
        <v>13</v>
      </c>
      <c r="D1615" s="29"/>
      <c r="E1615" s="30"/>
      <c r="F1615" s="29"/>
      <c r="G1615" s="29"/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  <c r="AA1615" s="29"/>
      <c r="AB1615" s="29"/>
      <c r="AC1615" s="29"/>
      <c r="AD1615" s="29"/>
      <c r="AE1615" s="29"/>
      <c r="AF1615" s="29"/>
      <c r="AG1615" s="30"/>
      <c r="AH1615" s="29"/>
      <c r="AI1615" s="29"/>
      <c r="AJ1615" s="29"/>
      <c r="AK1615" s="30"/>
      <c r="AL1615" s="29"/>
      <c r="AM1615" s="29"/>
      <c r="AN1615" s="29"/>
      <c r="AO1615" s="29"/>
      <c r="AP1615" s="29"/>
      <c r="AQ1615" s="29"/>
      <c r="AR1615" s="29"/>
      <c r="AS1615" s="29"/>
      <c r="AT1615" s="29"/>
      <c r="AU1615" s="29"/>
      <c r="AV1615" s="29"/>
      <c r="AW1615" s="29"/>
      <c r="AX1615" s="29"/>
      <c r="AY1615" s="29"/>
      <c r="AZ1615" s="29"/>
      <c r="BA1615" s="29"/>
      <c r="BB1615" s="29"/>
      <c r="BC1615" s="29"/>
      <c r="BD1615" s="29"/>
      <c r="BE1615" s="29"/>
      <c r="BF1615" s="29"/>
      <c r="BG1615" s="29"/>
      <c r="BH1615" s="29"/>
      <c r="BI1615" s="29"/>
      <c r="BJ1615" s="29"/>
      <c r="BK1615" s="29"/>
      <c r="BL1615" s="29"/>
      <c r="BM1615" s="29"/>
      <c r="BN1615" s="20">
        <f t="shared" si="178"/>
        <v>0</v>
      </c>
      <c r="BO1615" s="20">
        <f t="shared" si="179"/>
        <v>0</v>
      </c>
      <c r="BP1615" s="20">
        <f t="shared" si="180"/>
        <v>13</v>
      </c>
      <c r="BQ1615" s="55">
        <f t="shared" si="185"/>
        <v>3.965</v>
      </c>
      <c r="BR1615" s="68" t="s">
        <v>429</v>
      </c>
      <c r="BS1615" s="33" t="s">
        <v>430</v>
      </c>
      <c r="BT1615" s="205"/>
      <c r="BU1615" s="35" t="s">
        <v>1273</v>
      </c>
    </row>
    <row r="1616" s="1" customFormat="1" customHeight="1" spans="1:73">
      <c r="A1616" s="52" t="s">
        <v>2590</v>
      </c>
      <c r="B1616" s="15">
        <v>310</v>
      </c>
      <c r="C1616" s="16">
        <v>107</v>
      </c>
      <c r="D1616" s="29"/>
      <c r="E1616" s="30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  <c r="AA1616" s="29"/>
      <c r="AB1616" s="29"/>
      <c r="AC1616" s="29"/>
      <c r="AD1616" s="29"/>
      <c r="AE1616" s="29"/>
      <c r="AF1616" s="29"/>
      <c r="AG1616" s="30"/>
      <c r="AH1616" s="29"/>
      <c r="AI1616" s="29"/>
      <c r="AJ1616" s="29"/>
      <c r="AK1616" s="30"/>
      <c r="AL1616" s="29"/>
      <c r="AM1616" s="29"/>
      <c r="AN1616" s="29"/>
      <c r="AO1616" s="29"/>
      <c r="AP1616" s="29"/>
      <c r="AQ1616" s="29"/>
      <c r="AR1616" s="29"/>
      <c r="AS1616" s="29"/>
      <c r="AT1616" s="29"/>
      <c r="AU1616" s="29"/>
      <c r="AV1616" s="29"/>
      <c r="AW1616" s="29"/>
      <c r="AX1616" s="29"/>
      <c r="AY1616" s="29"/>
      <c r="AZ1616" s="29"/>
      <c r="BA1616" s="29"/>
      <c r="BB1616" s="29"/>
      <c r="BC1616" s="29"/>
      <c r="BD1616" s="29"/>
      <c r="BE1616" s="29"/>
      <c r="BF1616" s="29"/>
      <c r="BG1616" s="29"/>
      <c r="BH1616" s="29"/>
      <c r="BI1616" s="29"/>
      <c r="BJ1616" s="29"/>
      <c r="BK1616" s="29"/>
      <c r="BL1616" s="29"/>
      <c r="BM1616" s="29"/>
      <c r="BN1616" s="20">
        <f t="shared" si="178"/>
        <v>0</v>
      </c>
      <c r="BO1616" s="20">
        <f t="shared" si="179"/>
        <v>0</v>
      </c>
      <c r="BP1616" s="20">
        <f t="shared" si="180"/>
        <v>107</v>
      </c>
      <c r="BQ1616" s="55">
        <f t="shared" si="185"/>
        <v>33.17</v>
      </c>
      <c r="BR1616" s="68" t="s">
        <v>922</v>
      </c>
      <c r="BS1616" s="33" t="s">
        <v>1805</v>
      </c>
      <c r="BT1616" s="205"/>
      <c r="BU1616" s="35" t="s">
        <v>1273</v>
      </c>
    </row>
    <row r="1617" s="1" customFormat="1" customHeight="1" spans="1:74">
      <c r="A1617" s="52" t="s">
        <v>2590</v>
      </c>
      <c r="B1617" s="15">
        <v>350</v>
      </c>
      <c r="C1617" s="16">
        <v>62</v>
      </c>
      <c r="D1617" s="29"/>
      <c r="E1617" s="30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29"/>
      <c r="AB1617" s="29"/>
      <c r="AC1617" s="29"/>
      <c r="AD1617" s="29"/>
      <c r="AE1617" s="29"/>
      <c r="AF1617" s="29"/>
      <c r="AG1617" s="30"/>
      <c r="AH1617" s="29"/>
      <c r="AI1617" s="29"/>
      <c r="AJ1617" s="29"/>
      <c r="AK1617" s="30"/>
      <c r="AL1617" s="29"/>
      <c r="AM1617" s="29"/>
      <c r="AN1617" s="29"/>
      <c r="AO1617" s="29"/>
      <c r="AP1617" s="29"/>
      <c r="AQ1617" s="29"/>
      <c r="AR1617" s="29"/>
      <c r="AS1617" s="29"/>
      <c r="AT1617" s="29"/>
      <c r="AU1617" s="29"/>
      <c r="AV1617" s="29"/>
      <c r="AW1617" s="29"/>
      <c r="AX1617" s="29"/>
      <c r="AY1617" s="29"/>
      <c r="AZ1617" s="29"/>
      <c r="BA1617" s="29"/>
      <c r="BB1617" s="29"/>
      <c r="BC1617" s="29"/>
      <c r="BD1617" s="29"/>
      <c r="BE1617" s="29"/>
      <c r="BF1617" s="29"/>
      <c r="BG1617" s="29"/>
      <c r="BH1617" s="29"/>
      <c r="BI1617" s="29"/>
      <c r="BJ1617" s="29"/>
      <c r="BK1617" s="29"/>
      <c r="BL1617" s="29"/>
      <c r="BM1617" s="29"/>
      <c r="BN1617" s="20">
        <f t="shared" si="178"/>
        <v>0</v>
      </c>
      <c r="BO1617" s="20">
        <f t="shared" si="179"/>
        <v>0</v>
      </c>
      <c r="BP1617" s="20">
        <f t="shared" si="180"/>
        <v>62</v>
      </c>
      <c r="BQ1617" s="55">
        <f t="shared" si="185"/>
        <v>21.7</v>
      </c>
      <c r="BR1617" s="68" t="s">
        <v>158</v>
      </c>
      <c r="BS1617" s="33" t="s">
        <v>159</v>
      </c>
      <c r="BT1617" s="205"/>
      <c r="BU1617" s="35" t="s">
        <v>1273</v>
      </c>
    </row>
    <row r="1618" s="1" customFormat="1" ht="25.5" customHeight="1" spans="1:74">
      <c r="A1618" s="53" t="s">
        <v>2595</v>
      </c>
      <c r="B1618" s="15"/>
      <c r="C1618" s="16"/>
      <c r="D1618" s="29"/>
      <c r="E1618" s="30"/>
      <c r="F1618" s="29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29"/>
      <c r="AB1618" s="29"/>
      <c r="AC1618" s="29"/>
      <c r="AD1618" s="29"/>
      <c r="AE1618" s="29"/>
      <c r="AF1618" s="29"/>
      <c r="AG1618" s="30"/>
      <c r="AH1618" s="29"/>
      <c r="AI1618" s="29"/>
      <c r="AJ1618" s="29"/>
      <c r="AK1618" s="30"/>
      <c r="AL1618" s="29"/>
      <c r="AM1618" s="29"/>
      <c r="AN1618" s="29"/>
      <c r="AO1618" s="29"/>
      <c r="AP1618" s="29"/>
      <c r="AQ1618" s="29"/>
      <c r="AR1618" s="29"/>
      <c r="AS1618" s="29"/>
      <c r="AT1618" s="29"/>
      <c r="AU1618" s="29"/>
      <c r="AV1618" s="29"/>
      <c r="AW1618" s="29"/>
      <c r="AX1618" s="29"/>
      <c r="AY1618" s="29"/>
      <c r="AZ1618" s="29"/>
      <c r="BA1618" s="29"/>
      <c r="BB1618" s="29"/>
      <c r="BC1618" s="29"/>
      <c r="BD1618" s="29"/>
      <c r="BE1618" s="29"/>
      <c r="BF1618" s="29"/>
      <c r="BG1618" s="29"/>
      <c r="BH1618" s="29"/>
      <c r="BI1618" s="29"/>
      <c r="BJ1618" s="29"/>
      <c r="BK1618" s="29"/>
      <c r="BL1618" s="29"/>
      <c r="BM1618" s="29"/>
      <c r="BN1618" s="20">
        <f t="shared" si="178"/>
        <v>0</v>
      </c>
      <c r="BO1618" s="20">
        <f t="shared" si="179"/>
        <v>0</v>
      </c>
      <c r="BP1618" s="20">
        <f t="shared" si="180"/>
        <v>0</v>
      </c>
      <c r="BQ1618" s="55"/>
      <c r="BR1618" s="68"/>
      <c r="BS1618" s="33"/>
      <c r="BT1618" s="36"/>
      <c r="BU1618" s="35"/>
    </row>
    <row r="1619" s="1" customFormat="1" ht="25.5" customHeight="1" spans="1:74">
      <c r="A1619" s="37" t="s">
        <v>2596</v>
      </c>
      <c r="B1619" s="15">
        <v>630</v>
      </c>
      <c r="C1619" s="16">
        <v>50</v>
      </c>
      <c r="D1619" s="29"/>
      <c r="E1619" s="30"/>
      <c r="F1619" s="29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29"/>
      <c r="AB1619" s="29"/>
      <c r="AC1619" s="29"/>
      <c r="AD1619" s="29"/>
      <c r="AE1619" s="29"/>
      <c r="AF1619" s="29"/>
      <c r="AG1619" s="30"/>
      <c r="AH1619" s="29"/>
      <c r="AI1619" s="29"/>
      <c r="AJ1619" s="29"/>
      <c r="AK1619" s="30"/>
      <c r="AL1619" s="29"/>
      <c r="AM1619" s="29"/>
      <c r="AN1619" s="29"/>
      <c r="AO1619" s="29"/>
      <c r="AP1619" s="29"/>
      <c r="AQ1619" s="29"/>
      <c r="AR1619" s="29"/>
      <c r="AS1619" s="29"/>
      <c r="AT1619" s="29"/>
      <c r="AU1619" s="29"/>
      <c r="AV1619" s="29"/>
      <c r="AW1619" s="29"/>
      <c r="AX1619" s="29"/>
      <c r="AY1619" s="29"/>
      <c r="AZ1619" s="29"/>
      <c r="BA1619" s="29"/>
      <c r="BB1619" s="29"/>
      <c r="BC1619" s="29"/>
      <c r="BD1619" s="29"/>
      <c r="BE1619" s="29"/>
      <c r="BF1619" s="29"/>
      <c r="BG1619" s="29"/>
      <c r="BH1619" s="29"/>
      <c r="BI1619" s="29"/>
      <c r="BJ1619" s="29"/>
      <c r="BK1619" s="29"/>
      <c r="BL1619" s="29"/>
      <c r="BM1619" s="29"/>
      <c r="BN1619" s="20">
        <f t="shared" si="178"/>
        <v>0</v>
      </c>
      <c r="BO1619" s="20">
        <f t="shared" si="179"/>
        <v>0</v>
      </c>
      <c r="BP1619" s="20">
        <f t="shared" si="180"/>
        <v>50</v>
      </c>
      <c r="BQ1619" s="55">
        <f t="shared" ref="BQ1619:BQ1622" si="186">B1619*BP1619/1000</f>
        <v>31.5</v>
      </c>
      <c r="BR1619" s="68" t="s">
        <v>1005</v>
      </c>
      <c r="BS1619" s="33" t="s">
        <v>2597</v>
      </c>
      <c r="BT1619" s="36" t="s">
        <v>2598</v>
      </c>
      <c r="BU1619" s="35" t="s">
        <v>2599</v>
      </c>
    </row>
    <row r="1620" s="1" customFormat="1" ht="25.5" customHeight="1" spans="1:74">
      <c r="A1620" s="37" t="s">
        <v>2596</v>
      </c>
      <c r="B1620" s="15">
        <v>105</v>
      </c>
      <c r="C1620" s="16">
        <v>80</v>
      </c>
      <c r="D1620" s="29"/>
      <c r="E1620" s="30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29"/>
      <c r="AB1620" s="29"/>
      <c r="AC1620" s="29"/>
      <c r="AD1620" s="29"/>
      <c r="AE1620" s="29"/>
      <c r="AF1620" s="29"/>
      <c r="AG1620" s="30"/>
      <c r="AH1620" s="29"/>
      <c r="AI1620" s="29"/>
      <c r="AJ1620" s="29"/>
      <c r="AK1620" s="30"/>
      <c r="AL1620" s="29"/>
      <c r="AM1620" s="29"/>
      <c r="AN1620" s="29"/>
      <c r="AO1620" s="29"/>
      <c r="AP1620" s="29"/>
      <c r="AQ1620" s="29"/>
      <c r="AR1620" s="29"/>
      <c r="AS1620" s="29"/>
      <c r="AT1620" s="29"/>
      <c r="AU1620" s="29"/>
      <c r="AV1620" s="29"/>
      <c r="AW1620" s="29"/>
      <c r="AX1620" s="29"/>
      <c r="AY1620" s="29"/>
      <c r="AZ1620" s="29"/>
      <c r="BA1620" s="29"/>
      <c r="BB1620" s="29"/>
      <c r="BC1620" s="29"/>
      <c r="BD1620" s="29"/>
      <c r="BE1620" s="29"/>
      <c r="BF1620" s="29"/>
      <c r="BG1620" s="29"/>
      <c r="BH1620" s="29"/>
      <c r="BI1620" s="29"/>
      <c r="BJ1620" s="29"/>
      <c r="BK1620" s="29"/>
      <c r="BL1620" s="29"/>
      <c r="BM1620" s="29"/>
      <c r="BN1620" s="20">
        <f t="shared" si="178"/>
        <v>0</v>
      </c>
      <c r="BO1620" s="20">
        <f t="shared" si="179"/>
        <v>0</v>
      </c>
      <c r="BP1620" s="20">
        <f t="shared" si="180"/>
        <v>80</v>
      </c>
      <c r="BQ1620" s="55">
        <f t="shared" si="186"/>
        <v>8.4</v>
      </c>
      <c r="BR1620" s="68" t="s">
        <v>1005</v>
      </c>
      <c r="BS1620" s="33" t="s">
        <v>2597</v>
      </c>
      <c r="BT1620" s="36" t="s">
        <v>2598</v>
      </c>
      <c r="BU1620" s="35" t="s">
        <v>2599</v>
      </c>
    </row>
    <row r="1621" s="1" customFormat="1" customHeight="1" spans="1:74">
      <c r="A1621" s="37" t="s">
        <v>2600</v>
      </c>
      <c r="B1621" s="15">
        <v>300</v>
      </c>
      <c r="C1621" s="16">
        <v>2.5</v>
      </c>
      <c r="D1621" s="29"/>
      <c r="E1621" s="30"/>
      <c r="F1621" s="29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54"/>
      <c r="W1621" s="54"/>
      <c r="X1621" s="29"/>
      <c r="Y1621" s="29"/>
      <c r="Z1621" s="29"/>
      <c r="AA1621" s="29"/>
      <c r="AB1621" s="29"/>
      <c r="AC1621" s="29"/>
      <c r="AD1621" s="29"/>
      <c r="AE1621" s="29"/>
      <c r="AF1621" s="29"/>
      <c r="AG1621" s="29"/>
      <c r="AH1621" s="29"/>
      <c r="AI1621" s="29"/>
      <c r="AJ1621" s="29"/>
      <c r="AK1621" s="30"/>
      <c r="AL1621" s="29"/>
      <c r="AM1621" s="29"/>
      <c r="AN1621" s="29"/>
      <c r="AO1621" s="29"/>
      <c r="AP1621" s="29"/>
      <c r="AQ1621" s="29"/>
      <c r="AR1621" s="29"/>
      <c r="AS1621" s="29"/>
      <c r="AT1621" s="29"/>
      <c r="AU1621" s="29"/>
      <c r="AV1621" s="29"/>
      <c r="AW1621" s="29"/>
      <c r="AX1621" s="29"/>
      <c r="AY1621" s="29"/>
      <c r="AZ1621" s="29"/>
      <c r="BA1621" s="29"/>
      <c r="BB1621" s="29"/>
      <c r="BC1621" s="29"/>
      <c r="BD1621" s="29"/>
      <c r="BE1621" s="29"/>
      <c r="BF1621" s="29"/>
      <c r="BG1621" s="29"/>
      <c r="BH1621" s="29"/>
      <c r="BI1621" s="29"/>
      <c r="BJ1621" s="29"/>
      <c r="BK1621" s="29"/>
      <c r="BL1621" s="29"/>
      <c r="BM1621" s="29"/>
      <c r="BN1621" s="20">
        <f t="shared" si="178"/>
        <v>0</v>
      </c>
      <c r="BO1621" s="20">
        <f t="shared" si="179"/>
        <v>0</v>
      </c>
      <c r="BP1621" s="20">
        <f t="shared" si="180"/>
        <v>2.5</v>
      </c>
      <c r="BQ1621" s="55">
        <f t="shared" si="186"/>
        <v>0.75</v>
      </c>
      <c r="BR1621" s="68" t="s">
        <v>2601</v>
      </c>
      <c r="BS1621" s="33" t="s">
        <v>376</v>
      </c>
      <c r="BT1621" s="36" t="s">
        <v>2602</v>
      </c>
      <c r="BU1621" s="35" t="s">
        <v>2599</v>
      </c>
    </row>
    <row r="1622" s="1" customFormat="1" customHeight="1" spans="1:74">
      <c r="A1622" s="37" t="s">
        <v>2603</v>
      </c>
      <c r="B1622" s="15">
        <v>110</v>
      </c>
      <c r="C1622" s="16">
        <v>2</v>
      </c>
      <c r="D1622" s="29"/>
      <c r="E1622" s="30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54"/>
      <c r="W1622" s="54"/>
      <c r="X1622" s="29"/>
      <c r="Y1622" s="29"/>
      <c r="Z1622" s="29"/>
      <c r="AA1622" s="29"/>
      <c r="AB1622" s="29"/>
      <c r="AC1622" s="29"/>
      <c r="AD1622" s="29"/>
      <c r="AE1622" s="29"/>
      <c r="AF1622" s="29"/>
      <c r="AG1622" s="29"/>
      <c r="AH1622" s="29"/>
      <c r="AI1622" s="29"/>
      <c r="AJ1622" s="29"/>
      <c r="AK1622" s="30"/>
      <c r="AL1622" s="29"/>
      <c r="AM1622" s="29"/>
      <c r="AN1622" s="29"/>
      <c r="AO1622" s="29"/>
      <c r="AP1622" s="29"/>
      <c r="AQ1622" s="29"/>
      <c r="AR1622" s="29"/>
      <c r="AS1622" s="29"/>
      <c r="AT1622" s="29"/>
      <c r="AU1622" s="29"/>
      <c r="AV1622" s="29"/>
      <c r="AW1622" s="29"/>
      <c r="AX1622" s="29"/>
      <c r="AY1622" s="29"/>
      <c r="AZ1622" s="29"/>
      <c r="BA1622" s="29"/>
      <c r="BB1622" s="29"/>
      <c r="BC1622" s="29"/>
      <c r="BD1622" s="29"/>
      <c r="BE1622" s="29"/>
      <c r="BF1622" s="29"/>
      <c r="BG1622" s="29"/>
      <c r="BH1622" s="29"/>
      <c r="BI1622" s="29"/>
      <c r="BJ1622" s="29"/>
      <c r="BK1622" s="29"/>
      <c r="BL1622" s="29"/>
      <c r="BM1622" s="29"/>
      <c r="BN1622" s="20">
        <f t="shared" si="178"/>
        <v>0</v>
      </c>
      <c r="BO1622" s="20">
        <f t="shared" si="179"/>
        <v>0</v>
      </c>
      <c r="BP1622" s="20">
        <f t="shared" si="180"/>
        <v>2</v>
      </c>
      <c r="BQ1622" s="55">
        <f t="shared" si="186"/>
        <v>0.22</v>
      </c>
      <c r="BR1622" s="68" t="s">
        <v>2604</v>
      </c>
      <c r="BS1622" s="33" t="s">
        <v>2605</v>
      </c>
      <c r="BT1622" s="36" t="s">
        <v>2606</v>
      </c>
      <c r="BU1622" s="35" t="s">
        <v>2599</v>
      </c>
    </row>
    <row r="1623" s="1" customFormat="1" customHeight="1" spans="1:74">
      <c r="A1623" s="179" t="s">
        <v>2607</v>
      </c>
      <c r="B1623" s="15" t="s">
        <v>2608</v>
      </c>
      <c r="C1623" s="16">
        <v>1</v>
      </c>
      <c r="D1623" s="29"/>
      <c r="E1623" s="30"/>
      <c r="F1623" s="29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54"/>
      <c r="W1623" s="54"/>
      <c r="X1623" s="29"/>
      <c r="Y1623" s="29"/>
      <c r="Z1623" s="29"/>
      <c r="AA1623" s="29"/>
      <c r="AB1623" s="29"/>
      <c r="AC1623" s="29"/>
      <c r="AD1623" s="29"/>
      <c r="AE1623" s="29"/>
      <c r="AF1623" s="29"/>
      <c r="AG1623" s="29"/>
      <c r="AH1623" s="29"/>
      <c r="AI1623" s="29"/>
      <c r="AJ1623" s="29"/>
      <c r="AK1623" s="30"/>
      <c r="AL1623" s="29"/>
      <c r="AM1623" s="29"/>
      <c r="AN1623" s="29"/>
      <c r="AO1623" s="29"/>
      <c r="AP1623" s="29"/>
      <c r="AQ1623" s="29"/>
      <c r="AR1623" s="29"/>
      <c r="AS1623" s="29"/>
      <c r="AT1623" s="29"/>
      <c r="AU1623" s="29"/>
      <c r="AV1623" s="29"/>
      <c r="AW1623" s="29"/>
      <c r="AX1623" s="29"/>
      <c r="AY1623" s="29"/>
      <c r="AZ1623" s="29"/>
      <c r="BA1623" s="29"/>
      <c r="BB1623" s="29"/>
      <c r="BC1623" s="29"/>
      <c r="BD1623" s="29"/>
      <c r="BE1623" s="29"/>
      <c r="BF1623" s="29"/>
      <c r="BG1623" s="29"/>
      <c r="BH1623" s="29"/>
      <c r="BI1623" s="29"/>
      <c r="BJ1623" s="29"/>
      <c r="BK1623" s="29"/>
      <c r="BL1623" s="29"/>
      <c r="BM1623" s="29"/>
      <c r="BN1623" s="20">
        <f t="shared" si="178"/>
        <v>0</v>
      </c>
      <c r="BO1623" s="20">
        <f t="shared" si="179"/>
        <v>0</v>
      </c>
      <c r="BP1623" s="20">
        <f t="shared" si="180"/>
        <v>1</v>
      </c>
      <c r="BQ1623" s="51">
        <f>1.372*0.9*BP1623</f>
        <v>1.2348</v>
      </c>
      <c r="BR1623" s="68" t="s">
        <v>1452</v>
      </c>
      <c r="BS1623" s="33" t="s">
        <v>2609</v>
      </c>
      <c r="BT1623" s="36" t="s">
        <v>2610</v>
      </c>
      <c r="BU1623" s="35" t="s">
        <v>2599</v>
      </c>
    </row>
    <row r="1624" s="1" customFormat="1" customHeight="1" spans="1:74">
      <c r="A1624" s="37" t="s">
        <v>1397</v>
      </c>
      <c r="B1624" s="15">
        <v>330</v>
      </c>
      <c r="C1624" s="16">
        <v>3</v>
      </c>
      <c r="D1624" s="29"/>
      <c r="E1624" s="30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54"/>
      <c r="W1624" s="54"/>
      <c r="X1624" s="29"/>
      <c r="Y1624" s="29"/>
      <c r="Z1624" s="29"/>
      <c r="AA1624" s="29"/>
      <c r="AB1624" s="29"/>
      <c r="AC1624" s="29"/>
      <c r="AD1624" s="29"/>
      <c r="AE1624" s="29"/>
      <c r="AF1624" s="29"/>
      <c r="AG1624" s="29"/>
      <c r="AH1624" s="29"/>
      <c r="AI1624" s="29"/>
      <c r="AJ1624" s="29"/>
      <c r="AK1624" s="30"/>
      <c r="AL1624" s="29"/>
      <c r="AM1624" s="29"/>
      <c r="AN1624" s="29"/>
      <c r="AO1624" s="29"/>
      <c r="AP1624" s="29"/>
      <c r="AQ1624" s="29"/>
      <c r="AR1624" s="29"/>
      <c r="AS1624" s="29"/>
      <c r="AT1624" s="29"/>
      <c r="AU1624" s="29"/>
      <c r="AV1624" s="29"/>
      <c r="AW1624" s="29"/>
      <c r="AX1624" s="29"/>
      <c r="AY1624" s="29"/>
      <c r="AZ1624" s="29"/>
      <c r="BA1624" s="29"/>
      <c r="BB1624" s="29"/>
      <c r="BC1624" s="29"/>
      <c r="BD1624" s="29"/>
      <c r="BE1624" s="29"/>
      <c r="BF1624" s="29"/>
      <c r="BG1624" s="29"/>
      <c r="BH1624" s="29"/>
      <c r="BI1624" s="29"/>
      <c r="BJ1624" s="29"/>
      <c r="BK1624" s="29"/>
      <c r="BL1624" s="29"/>
      <c r="BM1624" s="29"/>
      <c r="BN1624" s="20">
        <f t="shared" si="178"/>
        <v>0</v>
      </c>
      <c r="BO1624" s="20">
        <f t="shared" si="179"/>
        <v>0</v>
      </c>
      <c r="BP1624" s="20">
        <f t="shared" si="180"/>
        <v>3</v>
      </c>
      <c r="BQ1624" s="55">
        <f t="shared" ref="BQ1624:BQ1628" si="187">B1624*BP1624/1000</f>
        <v>0.99</v>
      </c>
      <c r="BR1624" s="68" t="s">
        <v>1277</v>
      </c>
      <c r="BS1624" s="33" t="s">
        <v>2611</v>
      </c>
      <c r="BT1624" s="36" t="s">
        <v>117</v>
      </c>
      <c r="BU1624" s="35" t="s">
        <v>2599</v>
      </c>
    </row>
    <row r="1625" s="1" customFormat="1" customHeight="1" spans="1:74">
      <c r="A1625" s="15" t="s">
        <v>2612</v>
      </c>
      <c r="B1625" s="15" t="s">
        <v>2613</v>
      </c>
      <c r="C1625" s="16">
        <v>38</v>
      </c>
      <c r="D1625" s="29"/>
      <c r="E1625" s="30"/>
      <c r="F1625" s="29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54"/>
      <c r="W1625" s="54"/>
      <c r="X1625" s="29"/>
      <c r="Y1625" s="29"/>
      <c r="Z1625" s="29"/>
      <c r="AA1625" s="29"/>
      <c r="AB1625" s="29"/>
      <c r="AC1625" s="29"/>
      <c r="AD1625" s="29"/>
      <c r="AE1625" s="29"/>
      <c r="AF1625" s="29"/>
      <c r="AG1625" s="30"/>
      <c r="AH1625" s="29"/>
      <c r="AI1625" s="29"/>
      <c r="AJ1625" s="29"/>
      <c r="AK1625" s="30"/>
      <c r="AL1625" s="29"/>
      <c r="AM1625" s="29"/>
      <c r="AN1625" s="29"/>
      <c r="AO1625" s="29"/>
      <c r="AP1625" s="29"/>
      <c r="AQ1625" s="29"/>
      <c r="AR1625" s="29"/>
      <c r="AS1625" s="29"/>
      <c r="AT1625" s="29"/>
      <c r="AU1625" s="29"/>
      <c r="AV1625" s="29"/>
      <c r="AW1625" s="29"/>
      <c r="AX1625" s="29"/>
      <c r="AY1625" s="29"/>
      <c r="AZ1625" s="29"/>
      <c r="BA1625" s="29"/>
      <c r="BB1625" s="29"/>
      <c r="BC1625" s="29"/>
      <c r="BD1625" s="29"/>
      <c r="BE1625" s="29"/>
      <c r="BF1625" s="29"/>
      <c r="BG1625" s="29"/>
      <c r="BH1625" s="29"/>
      <c r="BI1625" s="29"/>
      <c r="BJ1625" s="29"/>
      <c r="BK1625" s="29"/>
      <c r="BL1625" s="29"/>
      <c r="BM1625" s="29"/>
      <c r="BN1625" s="20">
        <f t="shared" si="178"/>
        <v>0</v>
      </c>
      <c r="BO1625" s="20">
        <f t="shared" si="179"/>
        <v>0</v>
      </c>
      <c r="BP1625" s="20">
        <f t="shared" si="180"/>
        <v>38</v>
      </c>
      <c r="BQ1625" s="51">
        <f>0.25*1*BP1625</f>
        <v>9.5</v>
      </c>
      <c r="BR1625" s="56" t="s">
        <v>2614</v>
      </c>
      <c r="BS1625" s="33" t="s">
        <v>376</v>
      </c>
      <c r="BT1625" s="40" t="s">
        <v>2615</v>
      </c>
      <c r="BU1625" s="35" t="s">
        <v>2599</v>
      </c>
    </row>
    <row r="1626" s="1" customFormat="1" customHeight="1" spans="1:74">
      <c r="A1626" s="15" t="s">
        <v>2612</v>
      </c>
      <c r="B1626" s="15" t="s">
        <v>2616</v>
      </c>
      <c r="C1626" s="16">
        <v>550</v>
      </c>
      <c r="D1626" s="29"/>
      <c r="E1626" s="30"/>
      <c r="F1626" s="29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54"/>
      <c r="W1626" s="54"/>
      <c r="X1626" s="29"/>
      <c r="Y1626" s="29"/>
      <c r="Z1626" s="29"/>
      <c r="AA1626" s="29"/>
      <c r="AB1626" s="29"/>
      <c r="AC1626" s="29"/>
      <c r="AD1626" s="29"/>
      <c r="AE1626" s="29"/>
      <c r="AF1626" s="29"/>
      <c r="AG1626" s="30"/>
      <c r="AH1626" s="29"/>
      <c r="AI1626" s="29"/>
      <c r="AJ1626" s="29"/>
      <c r="AK1626" s="30"/>
      <c r="AL1626" s="29"/>
      <c r="AM1626" s="29"/>
      <c r="AN1626" s="29"/>
      <c r="AO1626" s="29"/>
      <c r="AP1626" s="29"/>
      <c r="AQ1626" s="29"/>
      <c r="AR1626" s="29"/>
      <c r="AS1626" s="29"/>
      <c r="AT1626" s="29"/>
      <c r="AU1626" s="29"/>
      <c r="AV1626" s="29"/>
      <c r="AW1626" s="29"/>
      <c r="AX1626" s="29"/>
      <c r="AY1626" s="29"/>
      <c r="AZ1626" s="29"/>
      <c r="BA1626" s="29"/>
      <c r="BB1626" s="29"/>
      <c r="BC1626" s="29"/>
      <c r="BD1626" s="29"/>
      <c r="BE1626" s="29"/>
      <c r="BF1626" s="29"/>
      <c r="BG1626" s="29"/>
      <c r="BH1626" s="29"/>
      <c r="BI1626" s="29"/>
      <c r="BJ1626" s="29"/>
      <c r="BK1626" s="29"/>
      <c r="BL1626" s="29"/>
      <c r="BM1626" s="29"/>
      <c r="BN1626" s="20">
        <f t="shared" si="178"/>
        <v>0</v>
      </c>
      <c r="BO1626" s="20">
        <f t="shared" si="179"/>
        <v>0</v>
      </c>
      <c r="BP1626" s="20">
        <f t="shared" si="180"/>
        <v>550</v>
      </c>
      <c r="BQ1626" s="51">
        <f>0.085*0.16*BP1626</f>
        <v>7.48</v>
      </c>
      <c r="BR1626" s="56" t="s">
        <v>2617</v>
      </c>
      <c r="BS1626" s="33" t="s">
        <v>376</v>
      </c>
      <c r="BT1626" s="160" t="s">
        <v>2618</v>
      </c>
      <c r="BU1626" s="35" t="s">
        <v>2599</v>
      </c>
    </row>
    <row r="1627" s="1" customFormat="1" customHeight="1" spans="1:74">
      <c r="A1627" s="15" t="s">
        <v>2619</v>
      </c>
      <c r="B1627" s="15">
        <v>365</v>
      </c>
      <c r="C1627" s="16">
        <v>194</v>
      </c>
      <c r="D1627" s="29"/>
      <c r="E1627" s="30"/>
      <c r="F1627" s="29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54"/>
      <c r="W1627" s="54"/>
      <c r="X1627" s="29"/>
      <c r="Y1627" s="29"/>
      <c r="Z1627" s="29"/>
      <c r="AA1627" s="29"/>
      <c r="AB1627" s="29"/>
      <c r="AC1627" s="29"/>
      <c r="AD1627" s="29"/>
      <c r="AE1627" s="29"/>
      <c r="AF1627" s="29"/>
      <c r="AG1627" s="30"/>
      <c r="AH1627" s="29"/>
      <c r="AI1627" s="29"/>
      <c r="AJ1627" s="29"/>
      <c r="AK1627" s="30"/>
      <c r="AL1627" s="29"/>
      <c r="AM1627" s="29"/>
      <c r="AN1627" s="29"/>
      <c r="AO1627" s="29"/>
      <c r="AP1627" s="29"/>
      <c r="AQ1627" s="29"/>
      <c r="AR1627" s="29"/>
      <c r="AS1627" s="29"/>
      <c r="AT1627" s="29"/>
      <c r="AU1627" s="29"/>
      <c r="AV1627" s="29"/>
      <c r="AW1627" s="29"/>
      <c r="AX1627" s="29"/>
      <c r="AY1627" s="29"/>
      <c r="AZ1627" s="29"/>
      <c r="BA1627" s="29"/>
      <c r="BB1627" s="29"/>
      <c r="BC1627" s="29"/>
      <c r="BD1627" s="29"/>
      <c r="BE1627" s="29"/>
      <c r="BF1627" s="29"/>
      <c r="BG1627" s="29"/>
      <c r="BH1627" s="29"/>
      <c r="BI1627" s="29"/>
      <c r="BJ1627" s="29"/>
      <c r="BK1627" s="29"/>
      <c r="BL1627" s="29"/>
      <c r="BM1627" s="29"/>
      <c r="BN1627" s="20">
        <f t="shared" si="178"/>
        <v>0</v>
      </c>
      <c r="BO1627" s="20">
        <f t="shared" si="179"/>
        <v>0</v>
      </c>
      <c r="BP1627" s="20">
        <f t="shared" si="180"/>
        <v>194</v>
      </c>
      <c r="BQ1627" s="55">
        <f t="shared" si="187"/>
        <v>70.81</v>
      </c>
      <c r="BR1627" s="68" t="s">
        <v>2375</v>
      </c>
      <c r="BS1627" s="33" t="s">
        <v>376</v>
      </c>
      <c r="BT1627" s="34" t="s">
        <v>2620</v>
      </c>
      <c r="BU1627" s="35" t="s">
        <v>2599</v>
      </c>
    </row>
    <row r="1628" s="1" customFormat="1" customHeight="1" spans="1:74">
      <c r="A1628" s="15" t="s">
        <v>2621</v>
      </c>
      <c r="B1628" s="15">
        <v>250</v>
      </c>
      <c r="C1628" s="16">
        <v>160</v>
      </c>
      <c r="D1628" s="29"/>
      <c r="E1628" s="30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54"/>
      <c r="W1628" s="54"/>
      <c r="X1628" s="29"/>
      <c r="Y1628" s="29"/>
      <c r="Z1628" s="29"/>
      <c r="AA1628" s="29"/>
      <c r="AB1628" s="29"/>
      <c r="AC1628" s="29"/>
      <c r="AD1628" s="29"/>
      <c r="AE1628" s="29"/>
      <c r="AF1628" s="29"/>
      <c r="AG1628" s="30"/>
      <c r="AH1628" s="29"/>
      <c r="AI1628" s="29"/>
      <c r="AJ1628" s="29"/>
      <c r="AK1628" s="30"/>
      <c r="AL1628" s="29"/>
      <c r="AM1628" s="29"/>
      <c r="AN1628" s="29"/>
      <c r="AO1628" s="29"/>
      <c r="AP1628" s="29"/>
      <c r="AQ1628" s="29"/>
      <c r="AR1628" s="29"/>
      <c r="AS1628" s="29"/>
      <c r="AT1628" s="29"/>
      <c r="AU1628" s="29"/>
      <c r="AV1628" s="29"/>
      <c r="AW1628" s="29"/>
      <c r="AX1628" s="29"/>
      <c r="AY1628" s="29"/>
      <c r="AZ1628" s="29"/>
      <c r="BA1628" s="29"/>
      <c r="BB1628" s="29"/>
      <c r="BC1628" s="29"/>
      <c r="BD1628" s="29"/>
      <c r="BE1628" s="29"/>
      <c r="BF1628" s="29"/>
      <c r="BG1628" s="29"/>
      <c r="BH1628" s="29"/>
      <c r="BI1628" s="29"/>
      <c r="BJ1628" s="29"/>
      <c r="BK1628" s="29"/>
      <c r="BL1628" s="29"/>
      <c r="BM1628" s="29"/>
      <c r="BN1628" s="20">
        <f t="shared" si="178"/>
        <v>0</v>
      </c>
      <c r="BO1628" s="20">
        <f t="shared" si="179"/>
        <v>0</v>
      </c>
      <c r="BP1628" s="20">
        <f t="shared" si="180"/>
        <v>160</v>
      </c>
      <c r="BQ1628" s="55">
        <f t="shared" si="187"/>
        <v>40</v>
      </c>
      <c r="BR1628" s="68" t="s">
        <v>1566</v>
      </c>
      <c r="BS1628" s="33" t="s">
        <v>376</v>
      </c>
      <c r="BT1628" s="36"/>
      <c r="BU1628" s="35" t="s">
        <v>2599</v>
      </c>
    </row>
    <row r="1629" s="1" customFormat="1" customHeight="1" spans="1:74">
      <c r="A1629" s="179" t="s">
        <v>2607</v>
      </c>
      <c r="B1629" s="15" t="s">
        <v>2622</v>
      </c>
      <c r="C1629" s="16">
        <v>2</v>
      </c>
      <c r="D1629" s="29"/>
      <c r="E1629" s="30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54"/>
      <c r="W1629" s="54"/>
      <c r="X1629" s="29"/>
      <c r="Y1629" s="29"/>
      <c r="Z1629" s="29"/>
      <c r="AA1629" s="29"/>
      <c r="AB1629" s="29"/>
      <c r="AC1629" s="29"/>
      <c r="AD1629" s="29"/>
      <c r="AE1629" s="29"/>
      <c r="AF1629" s="29"/>
      <c r="AG1629" s="30"/>
      <c r="AH1629" s="29"/>
      <c r="AI1629" s="29"/>
      <c r="AJ1629" s="29"/>
      <c r="AK1629" s="30"/>
      <c r="AL1629" s="29"/>
      <c r="AM1629" s="29"/>
      <c r="AN1629" s="29"/>
      <c r="AO1629" s="29"/>
      <c r="AP1629" s="29"/>
      <c r="AQ1629" s="29"/>
      <c r="AR1629" s="29"/>
      <c r="AS1629" s="29"/>
      <c r="AT1629" s="29"/>
      <c r="AU1629" s="29"/>
      <c r="AV1629" s="29"/>
      <c r="AW1629" s="29"/>
      <c r="AX1629" s="29"/>
      <c r="AY1629" s="29"/>
      <c r="AZ1629" s="29"/>
      <c r="BA1629" s="29"/>
      <c r="BB1629" s="29"/>
      <c r="BC1629" s="29"/>
      <c r="BD1629" s="29"/>
      <c r="BE1629" s="29"/>
      <c r="BF1629" s="29"/>
      <c r="BG1629" s="29"/>
      <c r="BH1629" s="29"/>
      <c r="BI1629" s="29"/>
      <c r="BJ1629" s="29"/>
      <c r="BK1629" s="29"/>
      <c r="BL1629" s="29"/>
      <c r="BM1629" s="29"/>
      <c r="BN1629" s="20">
        <f t="shared" si="178"/>
        <v>0</v>
      </c>
      <c r="BO1629" s="20">
        <f t="shared" si="179"/>
        <v>0</v>
      </c>
      <c r="BP1629" s="20">
        <f t="shared" si="180"/>
        <v>2</v>
      </c>
      <c r="BQ1629" s="51">
        <f>1.372*0.9*BP1629</f>
        <v>2.4696</v>
      </c>
      <c r="BR1629" s="56" t="s">
        <v>2623</v>
      </c>
      <c r="BS1629" s="33" t="s">
        <v>1497</v>
      </c>
      <c r="BT1629" s="209" t="s">
        <v>2624</v>
      </c>
      <c r="BU1629" s="45" t="s">
        <v>2625</v>
      </c>
    </row>
    <row r="1630" s="1" customFormat="1" customHeight="1" spans="1:74">
      <c r="A1630" s="179" t="s">
        <v>2626</v>
      </c>
      <c r="B1630" s="15" t="s">
        <v>2627</v>
      </c>
      <c r="C1630" s="16">
        <v>18590</v>
      </c>
      <c r="D1630" s="29"/>
      <c r="E1630" s="30"/>
      <c r="F1630" s="29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54"/>
      <c r="W1630" s="54"/>
      <c r="X1630" s="29"/>
      <c r="Y1630" s="29"/>
      <c r="Z1630" s="29"/>
      <c r="AA1630" s="29"/>
      <c r="AB1630" s="29"/>
      <c r="AC1630" s="29"/>
      <c r="AD1630" s="29"/>
      <c r="AE1630" s="29"/>
      <c r="AF1630" s="29"/>
      <c r="AG1630" s="30"/>
      <c r="AH1630" s="29"/>
      <c r="AI1630" s="29"/>
      <c r="AJ1630" s="29"/>
      <c r="AK1630" s="30"/>
      <c r="AL1630" s="29"/>
      <c r="AM1630" s="29"/>
      <c r="AN1630" s="29"/>
      <c r="AO1630" s="29"/>
      <c r="AP1630" s="29"/>
      <c r="AQ1630" s="29"/>
      <c r="AR1630" s="29"/>
      <c r="AS1630" s="29"/>
      <c r="AT1630" s="29"/>
      <c r="AU1630" s="29"/>
      <c r="AV1630" s="29"/>
      <c r="AW1630" s="29"/>
      <c r="AX1630" s="29"/>
      <c r="AY1630" s="29"/>
      <c r="AZ1630" s="29"/>
      <c r="BA1630" s="29"/>
      <c r="BB1630" s="29"/>
      <c r="BC1630" s="29"/>
      <c r="BD1630" s="29"/>
      <c r="BE1630" s="29"/>
      <c r="BF1630" s="29"/>
      <c r="BG1630" s="29"/>
      <c r="BH1630" s="29"/>
      <c r="BI1630" s="29"/>
      <c r="BJ1630" s="29"/>
      <c r="BK1630" s="29"/>
      <c r="BL1630" s="29"/>
      <c r="BM1630" s="29"/>
      <c r="BN1630" s="20">
        <f t="shared" si="178"/>
        <v>0</v>
      </c>
      <c r="BO1630" s="20">
        <f t="shared" si="179"/>
        <v>0</v>
      </c>
      <c r="BP1630" s="20">
        <f t="shared" si="180"/>
        <v>18590</v>
      </c>
      <c r="BQ1630" s="51">
        <f>0.138*0.225*BP1630</f>
        <v>577.2195</v>
      </c>
      <c r="BR1630" s="56" t="s">
        <v>2628</v>
      </c>
      <c r="BS1630" s="33" t="s">
        <v>376</v>
      </c>
      <c r="BT1630" s="209" t="s">
        <v>2629</v>
      </c>
      <c r="BU1630" s="45" t="s">
        <v>2625</v>
      </c>
      <c r="BV1630" s="1" t="s">
        <v>2630</v>
      </c>
    </row>
    <row r="1631" s="1" customFormat="1" customHeight="1" spans="1:74">
      <c r="A1631" s="15" t="s">
        <v>2631</v>
      </c>
      <c r="B1631" s="15">
        <v>340</v>
      </c>
      <c r="C1631" s="16">
        <v>220</v>
      </c>
      <c r="D1631" s="29"/>
      <c r="E1631" s="29"/>
      <c r="F1631" s="29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30"/>
      <c r="V1631" s="54"/>
      <c r="W1631" s="54"/>
      <c r="X1631" s="29"/>
      <c r="Y1631" s="29"/>
      <c r="Z1631" s="29"/>
      <c r="AA1631" s="29"/>
      <c r="AB1631" s="29"/>
      <c r="AC1631" s="29"/>
      <c r="AD1631" s="29"/>
      <c r="AE1631" s="29"/>
      <c r="AF1631" s="29"/>
      <c r="AG1631" s="30"/>
      <c r="AH1631" s="29"/>
      <c r="AI1631" s="29"/>
      <c r="AJ1631" s="29"/>
      <c r="AK1631" s="30"/>
      <c r="AL1631" s="29"/>
      <c r="AM1631" s="29"/>
      <c r="AN1631" s="29"/>
      <c r="AO1631" s="29"/>
      <c r="AP1631" s="29"/>
      <c r="AQ1631" s="29"/>
      <c r="AR1631" s="29"/>
      <c r="AS1631" s="29"/>
      <c r="AT1631" s="29"/>
      <c r="AU1631" s="29"/>
      <c r="AV1631" s="29"/>
      <c r="AW1631" s="29"/>
      <c r="AX1631" s="29"/>
      <c r="AY1631" s="29"/>
      <c r="AZ1631" s="29"/>
      <c r="BA1631" s="29"/>
      <c r="BB1631" s="29"/>
      <c r="BC1631" s="29"/>
      <c r="BD1631" s="29"/>
      <c r="BE1631" s="29"/>
      <c r="BF1631" s="29"/>
      <c r="BG1631" s="29"/>
      <c r="BH1631" s="29"/>
      <c r="BI1631" s="29"/>
      <c r="BJ1631" s="29"/>
      <c r="BK1631" s="29"/>
      <c r="BL1631" s="29"/>
      <c r="BM1631" s="29"/>
      <c r="BN1631" s="20">
        <f t="shared" si="178"/>
        <v>0</v>
      </c>
      <c r="BO1631" s="20">
        <f t="shared" si="179"/>
        <v>0</v>
      </c>
      <c r="BP1631" s="20">
        <f t="shared" si="180"/>
        <v>220</v>
      </c>
      <c r="BQ1631" s="51">
        <f>B1631*BP1631/1000</f>
        <v>74.8</v>
      </c>
      <c r="BR1631" s="56" t="s">
        <v>479</v>
      </c>
      <c r="BS1631" s="33" t="s">
        <v>376</v>
      </c>
      <c r="BT1631" s="209" t="s">
        <v>2632</v>
      </c>
      <c r="BU1631" s="45" t="s">
        <v>2625</v>
      </c>
    </row>
    <row r="1632" s="1" customFormat="1" customHeight="1" spans="1:74">
      <c r="A1632" s="52" t="s">
        <v>2633</v>
      </c>
      <c r="B1632" s="15" t="s">
        <v>2634</v>
      </c>
      <c r="C1632" s="16">
        <v>27</v>
      </c>
      <c r="D1632" s="29"/>
      <c r="E1632" s="30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54"/>
      <c r="W1632" s="54"/>
      <c r="X1632" s="29"/>
      <c r="Y1632" s="29"/>
      <c r="Z1632" s="29"/>
      <c r="AA1632" s="29"/>
      <c r="AB1632" s="29"/>
      <c r="AC1632" s="29"/>
      <c r="AD1632" s="29"/>
      <c r="AE1632" s="29"/>
      <c r="AF1632" s="29"/>
      <c r="AG1632" s="30"/>
      <c r="AH1632" s="29"/>
      <c r="AI1632" s="29"/>
      <c r="AJ1632" s="29"/>
      <c r="AK1632" s="30"/>
      <c r="AL1632" s="29"/>
      <c r="AM1632" s="29"/>
      <c r="AN1632" s="29"/>
      <c r="AO1632" s="29"/>
      <c r="AP1632" s="29"/>
      <c r="AQ1632" s="29"/>
      <c r="AR1632" s="29"/>
      <c r="AS1632" s="29"/>
      <c r="AT1632" s="29"/>
      <c r="AU1632" s="29"/>
      <c r="AV1632" s="29"/>
      <c r="AW1632" s="29"/>
      <c r="AX1632" s="29"/>
      <c r="AY1632" s="29"/>
      <c r="AZ1632" s="29"/>
      <c r="BA1632" s="29"/>
      <c r="BB1632" s="29"/>
      <c r="BC1632" s="29"/>
      <c r="BD1632" s="29"/>
      <c r="BE1632" s="29"/>
      <c r="BF1632" s="29"/>
      <c r="BG1632" s="29"/>
      <c r="BH1632" s="29"/>
      <c r="BI1632" s="29"/>
      <c r="BJ1632" s="29"/>
      <c r="BK1632" s="29"/>
      <c r="BL1632" s="29"/>
      <c r="BM1632" s="29"/>
      <c r="BN1632" s="20">
        <f t="shared" si="178"/>
        <v>0</v>
      </c>
      <c r="BO1632" s="20">
        <f t="shared" si="179"/>
        <v>0</v>
      </c>
      <c r="BP1632" s="20">
        <f t="shared" si="180"/>
        <v>27</v>
      </c>
      <c r="BQ1632" s="51">
        <f>0.33*0.405*BP1632</f>
        <v>3.60855</v>
      </c>
      <c r="BR1632" s="56" t="s">
        <v>2635</v>
      </c>
      <c r="BS1632" s="33" t="s">
        <v>376</v>
      </c>
      <c r="BT1632" s="36"/>
      <c r="BU1632" s="35" t="s">
        <v>695</v>
      </c>
    </row>
    <row r="1633" s="1" customFormat="1" customHeight="1" spans="1:73">
      <c r="A1633" s="15" t="s">
        <v>2636</v>
      </c>
      <c r="B1633" s="15">
        <v>140</v>
      </c>
      <c r="C1633" s="16">
        <v>90</v>
      </c>
      <c r="D1633" s="29"/>
      <c r="E1633" s="30"/>
      <c r="F1633" s="29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54"/>
      <c r="W1633" s="54"/>
      <c r="X1633" s="29"/>
      <c r="Y1633" s="29"/>
      <c r="Z1633" s="29"/>
      <c r="AA1633" s="29"/>
      <c r="AB1633" s="29"/>
      <c r="AC1633" s="29"/>
      <c r="AD1633" s="29"/>
      <c r="AE1633" s="29"/>
      <c r="AF1633" s="29"/>
      <c r="AG1633" s="30"/>
      <c r="AH1633" s="29"/>
      <c r="AI1633" s="29"/>
      <c r="AJ1633" s="29"/>
      <c r="AK1633" s="30"/>
      <c r="AL1633" s="29"/>
      <c r="AM1633" s="29"/>
      <c r="AN1633" s="29"/>
      <c r="AO1633" s="29"/>
      <c r="AP1633" s="29"/>
      <c r="AQ1633" s="29"/>
      <c r="AR1633" s="29"/>
      <c r="AS1633" s="29"/>
      <c r="AT1633" s="29"/>
      <c r="AU1633" s="29"/>
      <c r="AV1633" s="29"/>
      <c r="AW1633" s="29"/>
      <c r="AX1633" s="29"/>
      <c r="AY1633" s="29"/>
      <c r="AZ1633" s="29"/>
      <c r="BA1633" s="29"/>
      <c r="BB1633" s="29"/>
      <c r="BC1633" s="29"/>
      <c r="BD1633" s="29"/>
      <c r="BE1633" s="29"/>
      <c r="BF1633" s="29"/>
      <c r="BG1633" s="29"/>
      <c r="BH1633" s="29"/>
      <c r="BI1633" s="29"/>
      <c r="BJ1633" s="29"/>
      <c r="BK1633" s="29"/>
      <c r="BL1633" s="29"/>
      <c r="BM1633" s="29"/>
      <c r="BN1633" s="20">
        <f t="shared" si="178"/>
        <v>0</v>
      </c>
      <c r="BO1633" s="20">
        <f t="shared" si="179"/>
        <v>0</v>
      </c>
      <c r="BP1633" s="20">
        <f t="shared" si="180"/>
        <v>90</v>
      </c>
      <c r="BQ1633" s="51">
        <f t="shared" ref="BQ1633:BQ1637" si="188">B1633/1000*BP1633</f>
        <v>12.6</v>
      </c>
      <c r="BR1633" s="56" t="s">
        <v>2635</v>
      </c>
      <c r="BS1633" s="33" t="s">
        <v>376</v>
      </c>
      <c r="BT1633" s="111" t="s">
        <v>2637</v>
      </c>
      <c r="BU1633" s="35" t="s">
        <v>2599</v>
      </c>
    </row>
    <row r="1634" s="1" customFormat="1" customHeight="1" spans="1:73">
      <c r="A1634" s="15" t="s">
        <v>2636</v>
      </c>
      <c r="B1634" s="15">
        <v>160</v>
      </c>
      <c r="C1634" s="16">
        <v>159</v>
      </c>
      <c r="D1634" s="29"/>
      <c r="E1634" s="30"/>
      <c r="F1634" s="29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30"/>
      <c r="V1634" s="54"/>
      <c r="W1634" s="54"/>
      <c r="X1634" s="29"/>
      <c r="Y1634" s="29"/>
      <c r="Z1634" s="29"/>
      <c r="AA1634" s="29"/>
      <c r="AB1634" s="29"/>
      <c r="AC1634" s="29"/>
      <c r="AD1634" s="29"/>
      <c r="AE1634" s="29"/>
      <c r="AF1634" s="29"/>
      <c r="AG1634" s="30"/>
      <c r="AH1634" s="29"/>
      <c r="AI1634" s="29"/>
      <c r="AJ1634" s="29"/>
      <c r="AK1634" s="30"/>
      <c r="AL1634" s="29"/>
      <c r="AM1634" s="29"/>
      <c r="AN1634" s="29"/>
      <c r="AO1634" s="29"/>
      <c r="AP1634" s="29"/>
      <c r="AQ1634" s="29"/>
      <c r="AR1634" s="29"/>
      <c r="AS1634" s="29"/>
      <c r="AT1634" s="29"/>
      <c r="AU1634" s="29"/>
      <c r="AV1634" s="29"/>
      <c r="AW1634" s="29"/>
      <c r="AX1634" s="29"/>
      <c r="AY1634" s="29"/>
      <c r="AZ1634" s="29"/>
      <c r="BA1634" s="29"/>
      <c r="BB1634" s="29"/>
      <c r="BC1634" s="29"/>
      <c r="BD1634" s="29"/>
      <c r="BE1634" s="29"/>
      <c r="BF1634" s="29"/>
      <c r="BG1634" s="29"/>
      <c r="BH1634" s="29"/>
      <c r="BI1634" s="29"/>
      <c r="BJ1634" s="29"/>
      <c r="BK1634" s="29"/>
      <c r="BL1634" s="29"/>
      <c r="BM1634" s="29"/>
      <c r="BN1634" s="20">
        <f t="shared" si="178"/>
        <v>0</v>
      </c>
      <c r="BO1634" s="20">
        <f t="shared" si="179"/>
        <v>0</v>
      </c>
      <c r="BP1634" s="20">
        <f t="shared" si="180"/>
        <v>159</v>
      </c>
      <c r="BQ1634" s="51">
        <f t="shared" si="188"/>
        <v>25.44</v>
      </c>
      <c r="BR1634" s="56" t="s">
        <v>2635</v>
      </c>
      <c r="BS1634" s="33" t="s">
        <v>376</v>
      </c>
      <c r="BT1634" s="111" t="s">
        <v>2637</v>
      </c>
      <c r="BU1634" s="35" t="s">
        <v>2599</v>
      </c>
    </row>
    <row r="1635" s="1" customFormat="1" customHeight="1" spans="1:73">
      <c r="A1635" s="15" t="s">
        <v>2636</v>
      </c>
      <c r="B1635" s="15">
        <v>330</v>
      </c>
      <c r="C1635" s="16">
        <v>45.7</v>
      </c>
      <c r="D1635" s="29"/>
      <c r="E1635" s="30"/>
      <c r="F1635" s="29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30"/>
      <c r="V1635" s="54"/>
      <c r="W1635" s="54"/>
      <c r="X1635" s="29"/>
      <c r="Y1635" s="29"/>
      <c r="Z1635" s="29"/>
      <c r="AA1635" s="29"/>
      <c r="AB1635" s="29"/>
      <c r="AC1635" s="29"/>
      <c r="AD1635" s="29"/>
      <c r="AE1635" s="29"/>
      <c r="AF1635" s="29"/>
      <c r="AG1635" s="30"/>
      <c r="AH1635" s="29"/>
      <c r="AI1635" s="29"/>
      <c r="AJ1635" s="29"/>
      <c r="AK1635" s="30"/>
      <c r="AL1635" s="29"/>
      <c r="AM1635" s="29"/>
      <c r="AN1635" s="29"/>
      <c r="AO1635" s="29"/>
      <c r="AP1635" s="29"/>
      <c r="AQ1635" s="29"/>
      <c r="AR1635" s="29"/>
      <c r="AS1635" s="29"/>
      <c r="AT1635" s="29"/>
      <c r="AU1635" s="29"/>
      <c r="AV1635" s="29"/>
      <c r="AW1635" s="29"/>
      <c r="AX1635" s="29"/>
      <c r="AY1635" s="29"/>
      <c r="AZ1635" s="29"/>
      <c r="BA1635" s="29"/>
      <c r="BB1635" s="29"/>
      <c r="BC1635" s="29"/>
      <c r="BD1635" s="29"/>
      <c r="BE1635" s="29"/>
      <c r="BF1635" s="29"/>
      <c r="BG1635" s="29"/>
      <c r="BH1635" s="29"/>
      <c r="BI1635" s="29"/>
      <c r="BJ1635" s="29"/>
      <c r="BK1635" s="29"/>
      <c r="BL1635" s="29"/>
      <c r="BM1635" s="29"/>
      <c r="BN1635" s="20">
        <f t="shared" si="178"/>
        <v>0</v>
      </c>
      <c r="BO1635" s="20">
        <f t="shared" si="179"/>
        <v>0</v>
      </c>
      <c r="BP1635" s="20">
        <f t="shared" si="180"/>
        <v>45.7</v>
      </c>
      <c r="BQ1635" s="51">
        <f t="shared" si="188"/>
        <v>15.081</v>
      </c>
      <c r="BR1635" s="56" t="s">
        <v>2635</v>
      </c>
      <c r="BS1635" s="33" t="s">
        <v>376</v>
      </c>
      <c r="BT1635" s="111" t="s">
        <v>2637</v>
      </c>
      <c r="BU1635" s="35" t="s">
        <v>2599</v>
      </c>
    </row>
    <row r="1636" s="1" customFormat="1" customHeight="1" spans="1:73">
      <c r="A1636" s="15" t="s">
        <v>2636</v>
      </c>
      <c r="B1636" s="15">
        <v>800</v>
      </c>
      <c r="C1636" s="16">
        <v>45.7</v>
      </c>
      <c r="D1636" s="29"/>
      <c r="E1636" s="30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30"/>
      <c r="V1636" s="54"/>
      <c r="W1636" s="54"/>
      <c r="X1636" s="29"/>
      <c r="Y1636" s="29"/>
      <c r="Z1636" s="29"/>
      <c r="AA1636" s="29"/>
      <c r="AB1636" s="29"/>
      <c r="AC1636" s="29"/>
      <c r="AD1636" s="29"/>
      <c r="AE1636" s="29"/>
      <c r="AF1636" s="29"/>
      <c r="AG1636" s="30"/>
      <c r="AH1636" s="29"/>
      <c r="AI1636" s="29"/>
      <c r="AJ1636" s="29"/>
      <c r="AK1636" s="30"/>
      <c r="AL1636" s="29"/>
      <c r="AM1636" s="29"/>
      <c r="AN1636" s="29"/>
      <c r="AO1636" s="29"/>
      <c r="AP1636" s="29"/>
      <c r="AQ1636" s="29"/>
      <c r="AR1636" s="29"/>
      <c r="AS1636" s="29"/>
      <c r="AT1636" s="29"/>
      <c r="AU1636" s="29"/>
      <c r="AV1636" s="29"/>
      <c r="AW1636" s="29"/>
      <c r="AX1636" s="29"/>
      <c r="AY1636" s="29"/>
      <c r="AZ1636" s="29"/>
      <c r="BA1636" s="29"/>
      <c r="BB1636" s="29"/>
      <c r="BC1636" s="29"/>
      <c r="BD1636" s="29"/>
      <c r="BE1636" s="29"/>
      <c r="BF1636" s="29"/>
      <c r="BG1636" s="29"/>
      <c r="BH1636" s="29"/>
      <c r="BI1636" s="29"/>
      <c r="BJ1636" s="29"/>
      <c r="BK1636" s="29"/>
      <c r="BL1636" s="29"/>
      <c r="BM1636" s="29"/>
      <c r="BN1636" s="20">
        <f t="shared" si="178"/>
        <v>0</v>
      </c>
      <c r="BO1636" s="20">
        <f t="shared" si="179"/>
        <v>0</v>
      </c>
      <c r="BP1636" s="20">
        <f t="shared" si="180"/>
        <v>45.7</v>
      </c>
      <c r="BQ1636" s="51">
        <f t="shared" si="188"/>
        <v>36.56</v>
      </c>
      <c r="BR1636" s="56" t="s">
        <v>2635</v>
      </c>
      <c r="BS1636" s="33" t="s">
        <v>376</v>
      </c>
      <c r="BT1636" s="111" t="s">
        <v>2637</v>
      </c>
      <c r="BU1636" s="35" t="s">
        <v>2599</v>
      </c>
    </row>
    <row r="1637" s="1" customFormat="1" customHeight="1" spans="1:73">
      <c r="A1637" s="15" t="s">
        <v>2638</v>
      </c>
      <c r="B1637" s="15">
        <v>300</v>
      </c>
      <c r="C1637" s="16">
        <v>100</v>
      </c>
      <c r="D1637" s="29"/>
      <c r="E1637" s="30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54"/>
      <c r="W1637" s="54"/>
      <c r="X1637" s="29"/>
      <c r="Y1637" s="29"/>
      <c r="Z1637" s="29"/>
      <c r="AA1637" s="29"/>
      <c r="AB1637" s="29"/>
      <c r="AC1637" s="29"/>
      <c r="AD1637" s="29"/>
      <c r="AE1637" s="29"/>
      <c r="AF1637" s="29"/>
      <c r="AG1637" s="30"/>
      <c r="AH1637" s="29"/>
      <c r="AI1637" s="29"/>
      <c r="AJ1637" s="29"/>
      <c r="AK1637" s="30"/>
      <c r="AL1637" s="29"/>
      <c r="AM1637" s="29"/>
      <c r="AN1637" s="29"/>
      <c r="AO1637" s="29"/>
      <c r="AP1637" s="29"/>
      <c r="AQ1637" s="29"/>
      <c r="AR1637" s="29"/>
      <c r="AS1637" s="29"/>
      <c r="AT1637" s="29"/>
      <c r="AU1637" s="29"/>
      <c r="AV1637" s="29"/>
      <c r="AW1637" s="29"/>
      <c r="AX1637" s="29"/>
      <c r="AY1637" s="29"/>
      <c r="AZ1637" s="29"/>
      <c r="BA1637" s="29"/>
      <c r="BB1637" s="29"/>
      <c r="BC1637" s="29"/>
      <c r="BD1637" s="29"/>
      <c r="BE1637" s="29"/>
      <c r="BF1637" s="29"/>
      <c r="BG1637" s="29"/>
      <c r="BH1637" s="29"/>
      <c r="BI1637" s="29"/>
      <c r="BJ1637" s="29"/>
      <c r="BK1637" s="29"/>
      <c r="BL1637" s="29"/>
      <c r="BM1637" s="29"/>
      <c r="BN1637" s="20">
        <f t="shared" si="178"/>
        <v>0</v>
      </c>
      <c r="BO1637" s="20">
        <f t="shared" si="179"/>
        <v>0</v>
      </c>
      <c r="BP1637" s="20">
        <f t="shared" si="180"/>
        <v>100</v>
      </c>
      <c r="BQ1637" s="51">
        <f t="shared" si="188"/>
        <v>30</v>
      </c>
      <c r="BR1637" s="56"/>
      <c r="BS1637" s="111" t="s">
        <v>2639</v>
      </c>
      <c r="BT1637" s="36" t="s">
        <v>2640</v>
      </c>
      <c r="BU1637" s="112"/>
    </row>
    <row r="1638" s="1" customFormat="1" customHeight="1" spans="1:73">
      <c r="A1638" s="15" t="s">
        <v>2641</v>
      </c>
      <c r="B1638" s="15" t="s">
        <v>2642</v>
      </c>
      <c r="C1638" s="16">
        <v>8</v>
      </c>
      <c r="D1638" s="29"/>
      <c r="E1638" s="30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54"/>
      <c r="W1638" s="54"/>
      <c r="X1638" s="29"/>
      <c r="Y1638" s="29"/>
      <c r="Z1638" s="29"/>
      <c r="AA1638" s="29"/>
      <c r="AB1638" s="29"/>
      <c r="AC1638" s="29"/>
      <c r="AD1638" s="29"/>
      <c r="AE1638" s="29"/>
      <c r="AF1638" s="29"/>
      <c r="AG1638" s="30"/>
      <c r="AH1638" s="29"/>
      <c r="AI1638" s="29"/>
      <c r="AJ1638" s="29"/>
      <c r="AK1638" s="30"/>
      <c r="AL1638" s="29"/>
      <c r="AM1638" s="29"/>
      <c r="AN1638" s="29"/>
      <c r="AO1638" s="29"/>
      <c r="AP1638" s="29"/>
      <c r="AQ1638" s="29"/>
      <c r="AR1638" s="29"/>
      <c r="AS1638" s="29"/>
      <c r="AT1638" s="29"/>
      <c r="AU1638" s="29"/>
      <c r="AV1638" s="29"/>
      <c r="AW1638" s="29"/>
      <c r="AX1638" s="29"/>
      <c r="AY1638" s="29"/>
      <c r="AZ1638" s="29"/>
      <c r="BA1638" s="29"/>
      <c r="BB1638" s="29"/>
      <c r="BC1638" s="29"/>
      <c r="BD1638" s="29"/>
      <c r="BE1638" s="29"/>
      <c r="BF1638" s="29"/>
      <c r="BG1638" s="29"/>
      <c r="BH1638" s="29"/>
      <c r="BI1638" s="29"/>
      <c r="BJ1638" s="29"/>
      <c r="BK1638" s="29"/>
      <c r="BL1638" s="29"/>
      <c r="BM1638" s="29"/>
      <c r="BN1638" s="20">
        <f t="shared" si="178"/>
        <v>0</v>
      </c>
      <c r="BO1638" s="20">
        <f t="shared" si="179"/>
        <v>0</v>
      </c>
      <c r="BP1638" s="20">
        <f t="shared" si="180"/>
        <v>8</v>
      </c>
      <c r="BQ1638" s="51">
        <f>0.5*0.5*BP1638</f>
        <v>2</v>
      </c>
      <c r="BR1638" s="56"/>
      <c r="BS1638" s="111"/>
      <c r="BT1638" s="36"/>
      <c r="BU1638" s="112"/>
    </row>
    <row r="1639" s="1" customFormat="1" customHeight="1" spans="1:73">
      <c r="A1639" s="15" t="s">
        <v>2643</v>
      </c>
      <c r="B1639" s="15">
        <v>80</v>
      </c>
      <c r="C1639" s="16">
        <v>39</v>
      </c>
      <c r="D1639" s="29"/>
      <c r="E1639" s="30"/>
      <c r="F1639" s="29"/>
      <c r="G1639" s="29"/>
      <c r="H1639" s="29"/>
      <c r="I1639" s="30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54"/>
      <c r="W1639" s="54"/>
      <c r="X1639" s="29"/>
      <c r="Y1639" s="29"/>
      <c r="Z1639" s="29"/>
      <c r="AA1639" s="29"/>
      <c r="AB1639" s="29"/>
      <c r="AC1639" s="29"/>
      <c r="AD1639" s="29"/>
      <c r="AE1639" s="29"/>
      <c r="AF1639" s="29"/>
      <c r="AG1639" s="30"/>
      <c r="AH1639" s="29"/>
      <c r="AI1639" s="29"/>
      <c r="AJ1639" s="29"/>
      <c r="AK1639" s="30"/>
      <c r="AL1639" s="29"/>
      <c r="AM1639" s="29"/>
      <c r="AN1639" s="29"/>
      <c r="AO1639" s="29"/>
      <c r="AP1639" s="29"/>
      <c r="AQ1639" s="29"/>
      <c r="AR1639" s="29"/>
      <c r="AS1639" s="82"/>
      <c r="AT1639" s="29"/>
      <c r="AU1639" s="29"/>
      <c r="AV1639" s="29"/>
      <c r="AW1639" s="29"/>
      <c r="AX1639" s="29"/>
      <c r="AY1639" s="29"/>
      <c r="AZ1639" s="29"/>
      <c r="BA1639" s="29"/>
      <c r="BB1639" s="29"/>
      <c r="BC1639" s="29"/>
      <c r="BD1639" s="29"/>
      <c r="BE1639" s="29"/>
      <c r="BF1639" s="29"/>
      <c r="BG1639" s="29"/>
      <c r="BH1639" s="29"/>
      <c r="BI1639" s="29"/>
      <c r="BJ1639" s="29"/>
      <c r="BK1639" s="29"/>
      <c r="BL1639" s="29"/>
      <c r="BM1639" s="29"/>
      <c r="BN1639" s="20">
        <f t="shared" si="178"/>
        <v>0</v>
      </c>
      <c r="BO1639" s="20">
        <f t="shared" si="179"/>
        <v>0</v>
      </c>
      <c r="BP1639" s="20">
        <f t="shared" si="180"/>
        <v>39</v>
      </c>
      <c r="BQ1639" s="51">
        <f t="shared" ref="BQ1639:BQ1644" si="189">B1639/1000*BP1639</f>
        <v>3.12</v>
      </c>
      <c r="BR1639" s="56"/>
      <c r="BS1639" s="111"/>
      <c r="BT1639" s="36"/>
      <c r="BU1639" s="112"/>
    </row>
    <row r="1640" s="1" customFormat="1" customHeight="1" spans="1:73">
      <c r="A1640" s="15" t="s">
        <v>2643</v>
      </c>
      <c r="B1640" s="15">
        <v>120</v>
      </c>
      <c r="C1640" s="16">
        <v>100</v>
      </c>
      <c r="D1640" s="29"/>
      <c r="E1640" s="30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54"/>
      <c r="W1640" s="54"/>
      <c r="X1640" s="29"/>
      <c r="Y1640" s="29"/>
      <c r="Z1640" s="29"/>
      <c r="AA1640" s="29"/>
      <c r="AB1640" s="29"/>
      <c r="AC1640" s="29"/>
      <c r="AD1640" s="29"/>
      <c r="AE1640" s="29"/>
      <c r="AF1640" s="29"/>
      <c r="AG1640" s="30"/>
      <c r="AH1640" s="29"/>
      <c r="AI1640" s="29"/>
      <c r="AJ1640" s="29"/>
      <c r="AK1640" s="30"/>
      <c r="AL1640" s="29"/>
      <c r="AM1640" s="29"/>
      <c r="AN1640" s="29"/>
      <c r="AO1640" s="29"/>
      <c r="AP1640" s="29"/>
      <c r="AQ1640" s="29"/>
      <c r="AR1640" s="29"/>
      <c r="AS1640" s="29"/>
      <c r="AT1640" s="29"/>
      <c r="AU1640" s="29"/>
      <c r="AV1640" s="29"/>
      <c r="AW1640" s="29"/>
      <c r="AX1640" s="29"/>
      <c r="AY1640" s="29"/>
      <c r="AZ1640" s="29"/>
      <c r="BA1640" s="29"/>
      <c r="BB1640" s="29"/>
      <c r="BC1640" s="29"/>
      <c r="BD1640" s="29"/>
      <c r="BE1640" s="29"/>
      <c r="BF1640" s="29"/>
      <c r="BG1640" s="29"/>
      <c r="BH1640" s="29"/>
      <c r="BI1640" s="29"/>
      <c r="BJ1640" s="29"/>
      <c r="BK1640" s="29"/>
      <c r="BL1640" s="29"/>
      <c r="BM1640" s="29"/>
      <c r="BN1640" s="20">
        <f t="shared" si="178"/>
        <v>0</v>
      </c>
      <c r="BO1640" s="20">
        <f t="shared" si="179"/>
        <v>0</v>
      </c>
      <c r="BP1640" s="20">
        <f t="shared" si="180"/>
        <v>100</v>
      </c>
      <c r="BQ1640" s="51">
        <f t="shared" si="189"/>
        <v>12</v>
      </c>
      <c r="BR1640" s="56"/>
      <c r="BS1640" s="111"/>
      <c r="BT1640" s="36"/>
      <c r="BU1640" s="112"/>
    </row>
    <row r="1641" s="1" customFormat="1" customHeight="1" spans="1:73">
      <c r="A1641" s="15" t="s">
        <v>2644</v>
      </c>
      <c r="B1641" s="15" t="s">
        <v>2645</v>
      </c>
      <c r="C1641" s="16">
        <v>30</v>
      </c>
      <c r="D1641" s="29"/>
      <c r="E1641" s="30"/>
      <c r="F1641" s="29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54"/>
      <c r="W1641" s="54"/>
      <c r="X1641" s="29"/>
      <c r="Y1641" s="29"/>
      <c r="Z1641" s="29"/>
      <c r="AA1641" s="29"/>
      <c r="AB1641" s="29"/>
      <c r="AC1641" s="29"/>
      <c r="AD1641" s="29"/>
      <c r="AE1641" s="29"/>
      <c r="AF1641" s="29"/>
      <c r="AG1641" s="30"/>
      <c r="AH1641" s="29"/>
      <c r="AI1641" s="29"/>
      <c r="AJ1641" s="29"/>
      <c r="AK1641" s="30"/>
      <c r="AL1641" s="29"/>
      <c r="AM1641" s="29"/>
      <c r="AN1641" s="29"/>
      <c r="AO1641" s="29"/>
      <c r="AP1641" s="29"/>
      <c r="AQ1641" s="29"/>
      <c r="AR1641" s="29"/>
      <c r="AS1641" s="29"/>
      <c r="AT1641" s="29"/>
      <c r="AU1641" s="29"/>
      <c r="AV1641" s="29"/>
      <c r="AW1641" s="29"/>
      <c r="AX1641" s="29"/>
      <c r="AY1641" s="29"/>
      <c r="AZ1641" s="29"/>
      <c r="BA1641" s="29"/>
      <c r="BB1641" s="29"/>
      <c r="BC1641" s="29"/>
      <c r="BD1641" s="29"/>
      <c r="BE1641" s="29"/>
      <c r="BF1641" s="29"/>
      <c r="BG1641" s="29"/>
      <c r="BH1641" s="29"/>
      <c r="BI1641" s="29"/>
      <c r="BJ1641" s="29"/>
      <c r="BK1641" s="29"/>
      <c r="BL1641" s="29"/>
      <c r="BM1641" s="29"/>
      <c r="BN1641" s="20">
        <f t="shared" ref="BN1641:BN1673" si="190">D1641+F1641+H1641+J1641+L1641+N1641+P1641+R1641+T1641+V1641+X1641+Z1641+AB1641+AD1641+AF1641+AH1641+AJ1641+AL1641+AN1641+AP1641+AR1641+AT1641+AV1641+AX1641+AZ1641+BB1641+BD1641+BF1641+BH1641+BJ1641+BL1641</f>
        <v>0</v>
      </c>
      <c r="BO1641" s="20">
        <f t="shared" ref="BO1641:BO1673" si="191">E1641+G1641+I1641+K1641+M1641+O1641+Q1641+S1641+U1641+W1641+Y1641+AA1641+AC1641+AE1641+AG1641+AI1641+AK1641+AM1641+AO1641+AQ1641+AS1641+AU1641+AW1641+AY1641+BA1641+BC1641+BE1641+BG1641+BI1641+BK1641+BM1641</f>
        <v>0</v>
      </c>
      <c r="BP1641" s="20">
        <f t="shared" ref="BP1641:BP1673" si="192">C1641+BN1641-BO1641</f>
        <v>30</v>
      </c>
      <c r="BQ1641" s="51">
        <f>0.41*0.28*BP1641</f>
        <v>3.444</v>
      </c>
      <c r="BR1641" s="56"/>
      <c r="BS1641" s="111"/>
      <c r="BT1641" s="36"/>
      <c r="BU1641" s="112"/>
    </row>
    <row r="1642" s="1" customFormat="1" customHeight="1" spans="1:73">
      <c r="A1642" s="15" t="s">
        <v>2646</v>
      </c>
      <c r="B1642" s="15">
        <v>260</v>
      </c>
      <c r="C1642" s="16">
        <v>50</v>
      </c>
      <c r="D1642" s="29"/>
      <c r="E1642" s="30"/>
      <c r="F1642" s="29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29"/>
      <c r="U1642" s="29"/>
      <c r="V1642" s="54"/>
      <c r="W1642" s="54"/>
      <c r="X1642" s="29"/>
      <c r="Y1642" s="29"/>
      <c r="Z1642" s="29"/>
      <c r="AA1642" s="29"/>
      <c r="AB1642" s="29"/>
      <c r="AC1642" s="29"/>
      <c r="AD1642" s="29"/>
      <c r="AE1642" s="29"/>
      <c r="AF1642" s="29"/>
      <c r="AG1642" s="30"/>
      <c r="AH1642" s="29"/>
      <c r="AI1642" s="29"/>
      <c r="AJ1642" s="29"/>
      <c r="AK1642" s="30"/>
      <c r="AL1642" s="29"/>
      <c r="AM1642" s="29"/>
      <c r="AN1642" s="29"/>
      <c r="AO1642" s="29"/>
      <c r="AP1642" s="29"/>
      <c r="AQ1642" s="29"/>
      <c r="AR1642" s="29"/>
      <c r="AS1642" s="29"/>
      <c r="AT1642" s="29"/>
      <c r="AU1642" s="29"/>
      <c r="AV1642" s="29"/>
      <c r="AW1642" s="29"/>
      <c r="AX1642" s="29"/>
      <c r="AY1642" s="29"/>
      <c r="AZ1642" s="29"/>
      <c r="BA1642" s="29"/>
      <c r="BB1642" s="29"/>
      <c r="BC1642" s="29"/>
      <c r="BD1642" s="29"/>
      <c r="BE1642" s="29"/>
      <c r="BF1642" s="29"/>
      <c r="BG1642" s="29"/>
      <c r="BH1642" s="29"/>
      <c r="BI1642" s="29"/>
      <c r="BJ1642" s="29"/>
      <c r="BK1642" s="29"/>
      <c r="BL1642" s="29"/>
      <c r="BM1642" s="29"/>
      <c r="BN1642" s="20">
        <f t="shared" si="190"/>
        <v>0</v>
      </c>
      <c r="BO1642" s="20">
        <f t="shared" si="191"/>
        <v>0</v>
      </c>
      <c r="BP1642" s="20">
        <f t="shared" si="192"/>
        <v>50</v>
      </c>
      <c r="BQ1642" s="51">
        <f t="shared" si="189"/>
        <v>13</v>
      </c>
      <c r="BR1642" s="56"/>
      <c r="BS1642" s="111"/>
      <c r="BT1642" s="36"/>
      <c r="BU1642" s="112"/>
    </row>
    <row r="1643" s="1" customFormat="1" customHeight="1" spans="1:73">
      <c r="A1643" s="15" t="s">
        <v>2647</v>
      </c>
      <c r="B1643" s="15">
        <v>210</v>
      </c>
      <c r="C1643" s="16">
        <v>80</v>
      </c>
      <c r="D1643" s="29"/>
      <c r="E1643" s="30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54"/>
      <c r="W1643" s="54"/>
      <c r="X1643" s="29"/>
      <c r="Y1643" s="29"/>
      <c r="Z1643" s="29"/>
      <c r="AA1643" s="29"/>
      <c r="AB1643" s="29"/>
      <c r="AC1643" s="29"/>
      <c r="AD1643" s="29"/>
      <c r="AE1643" s="29"/>
      <c r="AF1643" s="29"/>
      <c r="AG1643" s="30"/>
      <c r="AH1643" s="29"/>
      <c r="AI1643" s="29"/>
      <c r="AJ1643" s="29"/>
      <c r="AK1643" s="30"/>
      <c r="AL1643" s="29"/>
      <c r="AM1643" s="29"/>
      <c r="AN1643" s="29"/>
      <c r="AO1643" s="29"/>
      <c r="AP1643" s="29"/>
      <c r="AQ1643" s="29"/>
      <c r="AR1643" s="29"/>
      <c r="AS1643" s="29"/>
      <c r="AT1643" s="29"/>
      <c r="AU1643" s="29"/>
      <c r="AV1643" s="29"/>
      <c r="AW1643" s="29"/>
      <c r="AX1643" s="29"/>
      <c r="AY1643" s="29"/>
      <c r="AZ1643" s="29"/>
      <c r="BA1643" s="29"/>
      <c r="BB1643" s="29"/>
      <c r="BC1643" s="29"/>
      <c r="BD1643" s="29"/>
      <c r="BE1643" s="29"/>
      <c r="BF1643" s="29"/>
      <c r="BG1643" s="29"/>
      <c r="BH1643" s="29"/>
      <c r="BI1643" s="29"/>
      <c r="BJ1643" s="29"/>
      <c r="BK1643" s="29"/>
      <c r="BL1643" s="29"/>
      <c r="BM1643" s="29"/>
      <c r="BN1643" s="20">
        <f t="shared" si="190"/>
        <v>0</v>
      </c>
      <c r="BO1643" s="20">
        <f t="shared" si="191"/>
        <v>0</v>
      </c>
      <c r="BP1643" s="20">
        <f t="shared" si="192"/>
        <v>80</v>
      </c>
      <c r="BQ1643" s="51">
        <f t="shared" si="189"/>
        <v>16.8</v>
      </c>
      <c r="BR1643" s="56"/>
      <c r="BS1643" s="111"/>
      <c r="BT1643" s="36"/>
      <c r="BU1643" s="112"/>
    </row>
    <row r="1644" s="1" customFormat="1" customHeight="1" spans="1:73">
      <c r="A1644" s="15" t="s">
        <v>2648</v>
      </c>
      <c r="B1644" s="15">
        <v>305</v>
      </c>
      <c r="C1644" s="16">
        <v>63</v>
      </c>
      <c r="D1644" s="29"/>
      <c r="E1644" s="30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54"/>
      <c r="W1644" s="54"/>
      <c r="X1644" s="29"/>
      <c r="Y1644" s="29"/>
      <c r="Z1644" s="29"/>
      <c r="AA1644" s="29"/>
      <c r="AB1644" s="29"/>
      <c r="AC1644" s="29"/>
      <c r="AD1644" s="29"/>
      <c r="AE1644" s="29"/>
      <c r="AF1644" s="29"/>
      <c r="AG1644" s="30"/>
      <c r="AH1644" s="29"/>
      <c r="AI1644" s="29"/>
      <c r="AJ1644" s="29"/>
      <c r="AK1644" s="30"/>
      <c r="AL1644" s="29"/>
      <c r="AM1644" s="29"/>
      <c r="AN1644" s="29"/>
      <c r="AO1644" s="29"/>
      <c r="AP1644" s="29"/>
      <c r="AQ1644" s="29"/>
      <c r="AR1644" s="29"/>
      <c r="AS1644" s="29"/>
      <c r="AT1644" s="29"/>
      <c r="AU1644" s="29"/>
      <c r="AV1644" s="29"/>
      <c r="AW1644" s="29"/>
      <c r="AX1644" s="29"/>
      <c r="AY1644" s="29"/>
      <c r="AZ1644" s="29"/>
      <c r="BA1644" s="29"/>
      <c r="BB1644" s="29"/>
      <c r="BC1644" s="29"/>
      <c r="BD1644" s="29"/>
      <c r="BE1644" s="29"/>
      <c r="BF1644" s="29"/>
      <c r="BG1644" s="29"/>
      <c r="BH1644" s="29"/>
      <c r="BI1644" s="29"/>
      <c r="BJ1644" s="29"/>
      <c r="BK1644" s="29"/>
      <c r="BL1644" s="29"/>
      <c r="BM1644" s="29"/>
      <c r="BN1644" s="20">
        <f t="shared" si="190"/>
        <v>0</v>
      </c>
      <c r="BO1644" s="20">
        <f t="shared" si="191"/>
        <v>0</v>
      </c>
      <c r="BP1644" s="20">
        <f t="shared" si="192"/>
        <v>63</v>
      </c>
      <c r="BQ1644" s="51">
        <f t="shared" si="189"/>
        <v>19.215</v>
      </c>
      <c r="BR1644" s="56"/>
      <c r="BS1644" s="111"/>
      <c r="BT1644" s="36"/>
      <c r="BU1644" s="112"/>
    </row>
    <row r="1645" s="1" customFormat="1" customHeight="1" spans="1:73">
      <c r="A1645" s="15" t="s">
        <v>2649</v>
      </c>
      <c r="B1645" s="15" t="s">
        <v>2650</v>
      </c>
      <c r="C1645" s="16">
        <v>102</v>
      </c>
      <c r="D1645" s="29"/>
      <c r="E1645" s="30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54"/>
      <c r="W1645" s="54"/>
      <c r="X1645" s="29"/>
      <c r="Y1645" s="29"/>
      <c r="Z1645" s="29"/>
      <c r="AA1645" s="29"/>
      <c r="AB1645" s="29"/>
      <c r="AC1645" s="29"/>
      <c r="AD1645" s="29"/>
      <c r="AE1645" s="29"/>
      <c r="AF1645" s="29"/>
      <c r="AG1645" s="30"/>
      <c r="AH1645" s="29"/>
      <c r="AI1645" s="29"/>
      <c r="AJ1645" s="29"/>
      <c r="AK1645" s="30"/>
      <c r="AL1645" s="29"/>
      <c r="AM1645" s="29"/>
      <c r="AN1645" s="29"/>
      <c r="AO1645" s="29"/>
      <c r="AP1645" s="29"/>
      <c r="AQ1645" s="29"/>
      <c r="AR1645" s="29"/>
      <c r="AS1645" s="29"/>
      <c r="AT1645" s="29"/>
      <c r="AU1645" s="29"/>
      <c r="AV1645" s="29"/>
      <c r="AW1645" s="29"/>
      <c r="AX1645" s="29"/>
      <c r="AY1645" s="29"/>
      <c r="AZ1645" s="29"/>
      <c r="BA1645" s="29"/>
      <c r="BB1645" s="29"/>
      <c r="BC1645" s="29"/>
      <c r="BD1645" s="29"/>
      <c r="BE1645" s="29"/>
      <c r="BF1645" s="29"/>
      <c r="BG1645" s="29"/>
      <c r="BH1645" s="29"/>
      <c r="BI1645" s="29"/>
      <c r="BJ1645" s="29"/>
      <c r="BK1645" s="29"/>
      <c r="BL1645" s="29"/>
      <c r="BM1645" s="29"/>
      <c r="BN1645" s="20">
        <f t="shared" si="190"/>
        <v>0</v>
      </c>
      <c r="BO1645" s="20">
        <f t="shared" si="191"/>
        <v>0</v>
      </c>
      <c r="BP1645" s="20">
        <f t="shared" si="192"/>
        <v>102</v>
      </c>
      <c r="BQ1645" s="51">
        <f>0.405*0.145*BP1645</f>
        <v>5.98995</v>
      </c>
      <c r="BR1645" s="56"/>
      <c r="BS1645" s="111"/>
      <c r="BT1645" s="36"/>
      <c r="BU1645" s="112"/>
    </row>
    <row r="1646" s="1" customFormat="1" customHeight="1" spans="1:73">
      <c r="A1646" s="15" t="s">
        <v>2651</v>
      </c>
      <c r="B1646" s="15" t="s">
        <v>2652</v>
      </c>
      <c r="C1646" s="16">
        <v>64</v>
      </c>
      <c r="D1646" s="29"/>
      <c r="E1646" s="30"/>
      <c r="F1646" s="29"/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54"/>
      <c r="W1646" s="54"/>
      <c r="X1646" s="29"/>
      <c r="Y1646" s="29"/>
      <c r="Z1646" s="29"/>
      <c r="AA1646" s="29"/>
      <c r="AB1646" s="29"/>
      <c r="AC1646" s="29"/>
      <c r="AD1646" s="29"/>
      <c r="AE1646" s="29"/>
      <c r="AF1646" s="29"/>
      <c r="AG1646" s="30"/>
      <c r="AH1646" s="29"/>
      <c r="AI1646" s="29"/>
      <c r="AJ1646" s="29"/>
      <c r="AK1646" s="30"/>
      <c r="AL1646" s="29"/>
      <c r="AM1646" s="29"/>
      <c r="AN1646" s="29"/>
      <c r="AO1646" s="29"/>
      <c r="AP1646" s="29"/>
      <c r="AQ1646" s="29"/>
      <c r="AR1646" s="29"/>
      <c r="AS1646" s="29"/>
      <c r="AT1646" s="29"/>
      <c r="AU1646" s="29"/>
      <c r="AV1646" s="29"/>
      <c r="AW1646" s="29"/>
      <c r="AX1646" s="29"/>
      <c r="AY1646" s="29"/>
      <c r="AZ1646" s="29"/>
      <c r="BA1646" s="29"/>
      <c r="BB1646" s="29"/>
      <c r="BC1646" s="29"/>
      <c r="BD1646" s="29"/>
      <c r="BE1646" s="29"/>
      <c r="BF1646" s="29"/>
      <c r="BG1646" s="29"/>
      <c r="BH1646" s="29"/>
      <c r="BI1646" s="29"/>
      <c r="BJ1646" s="29"/>
      <c r="BK1646" s="29"/>
      <c r="BL1646" s="29"/>
      <c r="BM1646" s="29"/>
      <c r="BN1646" s="20">
        <f t="shared" si="190"/>
        <v>0</v>
      </c>
      <c r="BO1646" s="20">
        <f t="shared" si="191"/>
        <v>0</v>
      </c>
      <c r="BP1646" s="20">
        <f t="shared" si="192"/>
        <v>64</v>
      </c>
      <c r="BQ1646" s="51">
        <f>0.49*0.3*BP1646</f>
        <v>9.408</v>
      </c>
      <c r="BR1646" s="56"/>
      <c r="BS1646" s="111"/>
      <c r="BT1646" s="36"/>
      <c r="BU1646" s="112"/>
    </row>
    <row r="1647" s="1" customFormat="1" customHeight="1" spans="1:73">
      <c r="A1647" s="210" t="s">
        <v>2653</v>
      </c>
      <c r="B1647" s="15">
        <v>340</v>
      </c>
      <c r="C1647" s="16">
        <v>5</v>
      </c>
      <c r="D1647" s="29"/>
      <c r="E1647" s="30"/>
      <c r="F1647" s="29"/>
      <c r="G1647" s="30"/>
      <c r="H1647" s="29"/>
      <c r="I1647" s="30"/>
      <c r="J1647" s="29"/>
      <c r="K1647" s="29"/>
      <c r="L1647" s="29"/>
      <c r="M1647" s="30"/>
      <c r="N1647" s="29"/>
      <c r="O1647" s="29"/>
      <c r="P1647" s="29"/>
      <c r="Q1647" s="29"/>
      <c r="R1647" s="29"/>
      <c r="S1647" s="29"/>
      <c r="T1647" s="29"/>
      <c r="U1647" s="29"/>
      <c r="V1647" s="29"/>
      <c r="W1647" s="30"/>
      <c r="X1647" s="29"/>
      <c r="Y1647" s="29"/>
      <c r="Z1647" s="29"/>
      <c r="AA1647" s="29"/>
      <c r="AB1647" s="29"/>
      <c r="AC1647" s="29"/>
      <c r="AD1647" s="29"/>
      <c r="AE1647" s="29"/>
      <c r="AF1647" s="29"/>
      <c r="AG1647" s="30"/>
      <c r="AH1647" s="29"/>
      <c r="AI1647" s="30"/>
      <c r="AJ1647" s="29"/>
      <c r="AK1647" s="29"/>
      <c r="AL1647" s="29"/>
      <c r="AM1647" s="29"/>
      <c r="AN1647" s="29"/>
      <c r="AO1647" s="29"/>
      <c r="AP1647" s="29"/>
      <c r="AQ1647" s="30"/>
      <c r="AR1647" s="29"/>
      <c r="AS1647" s="29"/>
      <c r="AT1647" s="29"/>
      <c r="AU1647" s="30"/>
      <c r="AV1647" s="29"/>
      <c r="AW1647" s="29"/>
      <c r="AX1647" s="29"/>
      <c r="AY1647" s="29"/>
      <c r="AZ1647" s="29"/>
      <c r="BA1647" s="29"/>
      <c r="BB1647" s="29"/>
      <c r="BC1647" s="29"/>
      <c r="BD1647" s="29"/>
      <c r="BE1647" s="29"/>
      <c r="BF1647" s="29"/>
      <c r="BG1647" s="29"/>
      <c r="BH1647" s="29"/>
      <c r="BI1647" s="29"/>
      <c r="BJ1647" s="29"/>
      <c r="BK1647" s="29"/>
      <c r="BL1647" s="29"/>
      <c r="BM1647" s="29"/>
      <c r="BN1647" s="20">
        <f t="shared" si="190"/>
        <v>0</v>
      </c>
      <c r="BO1647" s="20">
        <f t="shared" si="191"/>
        <v>0</v>
      </c>
      <c r="BP1647" s="20">
        <f t="shared" si="192"/>
        <v>5</v>
      </c>
      <c r="BQ1647" s="51">
        <f t="shared" ref="BQ1647:BQ1664" si="193">B1647*BP1647/1000</f>
        <v>1.7</v>
      </c>
      <c r="BR1647" s="56" t="s">
        <v>1590</v>
      </c>
      <c r="BS1647" s="91" t="s">
        <v>2654</v>
      </c>
      <c r="BT1647" s="36" t="s">
        <v>1592</v>
      </c>
      <c r="BU1647" s="49" t="s">
        <v>118</v>
      </c>
    </row>
    <row r="1648" s="1" customFormat="1" customHeight="1" spans="1:73">
      <c r="A1648" s="210" t="s">
        <v>2655</v>
      </c>
      <c r="B1648" s="15">
        <v>1000</v>
      </c>
      <c r="C1648" s="16">
        <v>3</v>
      </c>
      <c r="D1648" s="29"/>
      <c r="E1648" s="30"/>
      <c r="F1648" s="29"/>
      <c r="G1648" s="30"/>
      <c r="H1648" s="29"/>
      <c r="I1648" s="30"/>
      <c r="J1648" s="29"/>
      <c r="K1648" s="29"/>
      <c r="L1648" s="29"/>
      <c r="M1648" s="30"/>
      <c r="N1648" s="29"/>
      <c r="O1648" s="29"/>
      <c r="P1648" s="29"/>
      <c r="Q1648" s="29"/>
      <c r="R1648" s="29"/>
      <c r="S1648" s="29"/>
      <c r="T1648" s="29"/>
      <c r="U1648" s="29"/>
      <c r="V1648" s="29"/>
      <c r="W1648" s="30"/>
      <c r="X1648" s="29"/>
      <c r="Y1648" s="29"/>
      <c r="Z1648" s="29"/>
      <c r="AA1648" s="29"/>
      <c r="AB1648" s="29"/>
      <c r="AC1648" s="29"/>
      <c r="AD1648" s="29"/>
      <c r="AE1648" s="29"/>
      <c r="AF1648" s="29"/>
      <c r="AG1648" s="30"/>
      <c r="AH1648" s="29"/>
      <c r="AI1648" s="30"/>
      <c r="AJ1648" s="29"/>
      <c r="AK1648" s="29"/>
      <c r="AL1648" s="29"/>
      <c r="AM1648" s="29"/>
      <c r="AN1648" s="29"/>
      <c r="AO1648" s="29"/>
      <c r="AP1648" s="29"/>
      <c r="AQ1648" s="30"/>
      <c r="AR1648" s="29"/>
      <c r="AS1648" s="29"/>
      <c r="AT1648" s="29"/>
      <c r="AU1648" s="30"/>
      <c r="AV1648" s="29"/>
      <c r="AW1648" s="29"/>
      <c r="AX1648" s="29"/>
      <c r="AY1648" s="29"/>
      <c r="AZ1648" s="29"/>
      <c r="BA1648" s="29"/>
      <c r="BB1648" s="29"/>
      <c r="BC1648" s="29"/>
      <c r="BD1648" s="29"/>
      <c r="BE1648" s="29"/>
      <c r="BF1648" s="29"/>
      <c r="BG1648" s="29"/>
      <c r="BH1648" s="29"/>
      <c r="BI1648" s="29"/>
      <c r="BJ1648" s="29"/>
      <c r="BK1648" s="29"/>
      <c r="BL1648" s="29"/>
      <c r="BM1648" s="29"/>
      <c r="BN1648" s="20">
        <f t="shared" si="190"/>
        <v>0</v>
      </c>
      <c r="BO1648" s="20">
        <f t="shared" si="191"/>
        <v>0</v>
      </c>
      <c r="BP1648" s="20">
        <f t="shared" si="192"/>
        <v>3</v>
      </c>
      <c r="BQ1648" s="51">
        <f t="shared" si="193"/>
        <v>3</v>
      </c>
      <c r="BR1648" s="56" t="s">
        <v>1590</v>
      </c>
      <c r="BS1648" s="91" t="s">
        <v>2654</v>
      </c>
      <c r="BT1648" s="36" t="s">
        <v>1592</v>
      </c>
      <c r="BU1648" s="49" t="s">
        <v>118</v>
      </c>
    </row>
    <row r="1649" s="1" customFormat="1" customHeight="1" spans="1:74">
      <c r="A1649" s="210" t="s">
        <v>2656</v>
      </c>
      <c r="B1649" s="15">
        <v>1000</v>
      </c>
      <c r="C1649" s="16">
        <v>3</v>
      </c>
      <c r="D1649" s="29"/>
      <c r="E1649" s="30"/>
      <c r="F1649" s="29"/>
      <c r="G1649" s="30"/>
      <c r="H1649" s="29"/>
      <c r="I1649" s="30"/>
      <c r="J1649" s="29"/>
      <c r="K1649" s="29"/>
      <c r="L1649" s="29"/>
      <c r="M1649" s="30"/>
      <c r="N1649" s="29"/>
      <c r="O1649" s="29"/>
      <c r="P1649" s="29"/>
      <c r="Q1649" s="29"/>
      <c r="R1649" s="29"/>
      <c r="S1649" s="29"/>
      <c r="T1649" s="29"/>
      <c r="U1649" s="29"/>
      <c r="V1649" s="29"/>
      <c r="W1649" s="30"/>
      <c r="X1649" s="29"/>
      <c r="Y1649" s="29"/>
      <c r="Z1649" s="29"/>
      <c r="AA1649" s="29"/>
      <c r="AB1649" s="29"/>
      <c r="AC1649" s="29"/>
      <c r="AD1649" s="29"/>
      <c r="AE1649" s="29"/>
      <c r="AF1649" s="29"/>
      <c r="AG1649" s="30"/>
      <c r="AH1649" s="29"/>
      <c r="AI1649" s="30"/>
      <c r="AJ1649" s="29"/>
      <c r="AK1649" s="29"/>
      <c r="AL1649" s="29"/>
      <c r="AM1649" s="29"/>
      <c r="AN1649" s="29"/>
      <c r="AO1649" s="29"/>
      <c r="AP1649" s="29"/>
      <c r="AQ1649" s="30"/>
      <c r="AR1649" s="29"/>
      <c r="AS1649" s="29"/>
      <c r="AT1649" s="29"/>
      <c r="AU1649" s="30"/>
      <c r="AV1649" s="29"/>
      <c r="AW1649" s="29"/>
      <c r="AX1649" s="29"/>
      <c r="AY1649" s="29"/>
      <c r="AZ1649" s="29"/>
      <c r="BA1649" s="29"/>
      <c r="BB1649" s="29"/>
      <c r="BC1649" s="29"/>
      <c r="BD1649" s="29"/>
      <c r="BE1649" s="29"/>
      <c r="BF1649" s="29"/>
      <c r="BG1649" s="29"/>
      <c r="BH1649" s="29"/>
      <c r="BI1649" s="29"/>
      <c r="BJ1649" s="29"/>
      <c r="BK1649" s="29"/>
      <c r="BL1649" s="29"/>
      <c r="BM1649" s="29"/>
      <c r="BN1649" s="20">
        <f t="shared" si="190"/>
        <v>0</v>
      </c>
      <c r="BO1649" s="20">
        <f t="shared" si="191"/>
        <v>0</v>
      </c>
      <c r="BP1649" s="20">
        <f t="shared" si="192"/>
        <v>3</v>
      </c>
      <c r="BQ1649" s="51">
        <f t="shared" si="193"/>
        <v>3</v>
      </c>
      <c r="BR1649" s="56" t="s">
        <v>1590</v>
      </c>
      <c r="BS1649" s="91" t="s">
        <v>2654</v>
      </c>
      <c r="BT1649" s="36" t="s">
        <v>1592</v>
      </c>
      <c r="BU1649" s="49" t="s">
        <v>118</v>
      </c>
    </row>
    <row r="1650" s="1" customFormat="1" customHeight="1" spans="1:74">
      <c r="A1650" s="210" t="s">
        <v>2657</v>
      </c>
      <c r="B1650" s="15">
        <v>1100</v>
      </c>
      <c r="C1650" s="16">
        <v>3</v>
      </c>
      <c r="D1650" s="29"/>
      <c r="E1650" s="30"/>
      <c r="F1650" s="29"/>
      <c r="G1650" s="30"/>
      <c r="H1650" s="29"/>
      <c r="I1650" s="30"/>
      <c r="J1650" s="29"/>
      <c r="K1650" s="29"/>
      <c r="L1650" s="29"/>
      <c r="M1650" s="30"/>
      <c r="N1650" s="29"/>
      <c r="O1650" s="29"/>
      <c r="P1650" s="29"/>
      <c r="Q1650" s="29"/>
      <c r="R1650" s="29"/>
      <c r="S1650" s="29"/>
      <c r="T1650" s="29"/>
      <c r="U1650" s="29"/>
      <c r="V1650" s="29"/>
      <c r="W1650" s="30"/>
      <c r="X1650" s="29"/>
      <c r="Y1650" s="29"/>
      <c r="Z1650" s="29"/>
      <c r="AA1650" s="29"/>
      <c r="AB1650" s="29"/>
      <c r="AC1650" s="29"/>
      <c r="AD1650" s="29"/>
      <c r="AE1650" s="29"/>
      <c r="AF1650" s="29"/>
      <c r="AG1650" s="30"/>
      <c r="AH1650" s="29"/>
      <c r="AI1650" s="30"/>
      <c r="AJ1650" s="29"/>
      <c r="AK1650" s="29"/>
      <c r="AL1650" s="29"/>
      <c r="AM1650" s="29"/>
      <c r="AN1650" s="29"/>
      <c r="AO1650" s="29"/>
      <c r="AP1650" s="29"/>
      <c r="AQ1650" s="30"/>
      <c r="AR1650" s="29"/>
      <c r="AS1650" s="29"/>
      <c r="AT1650" s="29"/>
      <c r="AU1650" s="30"/>
      <c r="AV1650" s="29"/>
      <c r="AW1650" s="29"/>
      <c r="AX1650" s="29"/>
      <c r="AY1650" s="29"/>
      <c r="AZ1650" s="29"/>
      <c r="BA1650" s="29"/>
      <c r="BB1650" s="29"/>
      <c r="BC1650" s="29"/>
      <c r="BD1650" s="29"/>
      <c r="BE1650" s="29"/>
      <c r="BF1650" s="29"/>
      <c r="BG1650" s="29"/>
      <c r="BH1650" s="29"/>
      <c r="BI1650" s="29"/>
      <c r="BJ1650" s="29"/>
      <c r="BK1650" s="29"/>
      <c r="BL1650" s="29"/>
      <c r="BM1650" s="29"/>
      <c r="BN1650" s="20">
        <f t="shared" si="190"/>
        <v>0</v>
      </c>
      <c r="BO1650" s="20">
        <f t="shared" si="191"/>
        <v>0</v>
      </c>
      <c r="BP1650" s="20">
        <f t="shared" si="192"/>
        <v>3</v>
      </c>
      <c r="BQ1650" s="51">
        <f t="shared" si="193"/>
        <v>3.3</v>
      </c>
      <c r="BR1650" s="56" t="s">
        <v>1590</v>
      </c>
      <c r="BS1650" s="91" t="s">
        <v>2654</v>
      </c>
      <c r="BT1650" s="36" t="s">
        <v>1592</v>
      </c>
      <c r="BU1650" s="49" t="s">
        <v>118</v>
      </c>
    </row>
    <row r="1651" s="1" customFormat="1" customHeight="1" spans="1:74">
      <c r="A1651" s="210" t="s">
        <v>2658</v>
      </c>
      <c r="B1651" s="15">
        <v>1270</v>
      </c>
      <c r="C1651" s="16">
        <v>3</v>
      </c>
      <c r="D1651" s="29"/>
      <c r="E1651" s="30"/>
      <c r="F1651" s="29"/>
      <c r="G1651" s="30"/>
      <c r="H1651" s="29"/>
      <c r="I1651" s="30"/>
      <c r="J1651" s="29"/>
      <c r="K1651" s="29"/>
      <c r="L1651" s="29"/>
      <c r="M1651" s="30"/>
      <c r="N1651" s="29"/>
      <c r="O1651" s="29"/>
      <c r="P1651" s="29"/>
      <c r="Q1651" s="29"/>
      <c r="R1651" s="29"/>
      <c r="S1651" s="29"/>
      <c r="T1651" s="29"/>
      <c r="U1651" s="29"/>
      <c r="V1651" s="29"/>
      <c r="W1651" s="30"/>
      <c r="X1651" s="29"/>
      <c r="Y1651" s="29"/>
      <c r="Z1651" s="29"/>
      <c r="AA1651" s="29"/>
      <c r="AB1651" s="29"/>
      <c r="AC1651" s="29"/>
      <c r="AD1651" s="29"/>
      <c r="AE1651" s="29"/>
      <c r="AF1651" s="29"/>
      <c r="AG1651" s="30"/>
      <c r="AH1651" s="29"/>
      <c r="AI1651" s="30"/>
      <c r="AJ1651" s="29"/>
      <c r="AK1651" s="29"/>
      <c r="AL1651" s="29"/>
      <c r="AM1651" s="29"/>
      <c r="AN1651" s="29"/>
      <c r="AO1651" s="29"/>
      <c r="AP1651" s="29"/>
      <c r="AQ1651" s="30"/>
      <c r="AR1651" s="29"/>
      <c r="AS1651" s="29"/>
      <c r="AT1651" s="29"/>
      <c r="AU1651" s="30"/>
      <c r="AV1651" s="29"/>
      <c r="AW1651" s="29"/>
      <c r="AX1651" s="29"/>
      <c r="AY1651" s="29"/>
      <c r="AZ1651" s="29"/>
      <c r="BA1651" s="29"/>
      <c r="BB1651" s="29"/>
      <c r="BC1651" s="29"/>
      <c r="BD1651" s="29"/>
      <c r="BE1651" s="29"/>
      <c r="BF1651" s="29"/>
      <c r="BG1651" s="29"/>
      <c r="BH1651" s="29"/>
      <c r="BI1651" s="29"/>
      <c r="BJ1651" s="29"/>
      <c r="BK1651" s="29"/>
      <c r="BL1651" s="29"/>
      <c r="BM1651" s="29"/>
      <c r="BN1651" s="20">
        <f t="shared" si="190"/>
        <v>0</v>
      </c>
      <c r="BO1651" s="20">
        <f t="shared" si="191"/>
        <v>0</v>
      </c>
      <c r="BP1651" s="20">
        <f t="shared" si="192"/>
        <v>3</v>
      </c>
      <c r="BQ1651" s="51">
        <f t="shared" si="193"/>
        <v>3.81</v>
      </c>
      <c r="BR1651" s="56" t="s">
        <v>1590</v>
      </c>
      <c r="BS1651" s="91" t="s">
        <v>2654</v>
      </c>
      <c r="BT1651" s="36" t="s">
        <v>1592</v>
      </c>
      <c r="BU1651" s="49" t="s">
        <v>118</v>
      </c>
    </row>
    <row r="1652" s="1" customFormat="1" customHeight="1" spans="1:74">
      <c r="A1652" s="210" t="s">
        <v>2659</v>
      </c>
      <c r="B1652" s="15">
        <v>500</v>
      </c>
      <c r="C1652" s="16">
        <v>8</v>
      </c>
      <c r="D1652" s="29"/>
      <c r="E1652" s="30"/>
      <c r="F1652" s="29"/>
      <c r="G1652" s="30"/>
      <c r="H1652" s="29"/>
      <c r="I1652" s="30"/>
      <c r="J1652" s="29"/>
      <c r="K1652" s="29"/>
      <c r="L1652" s="29"/>
      <c r="M1652" s="30"/>
      <c r="N1652" s="29"/>
      <c r="O1652" s="29"/>
      <c r="P1652" s="29"/>
      <c r="Q1652" s="29"/>
      <c r="R1652" s="29"/>
      <c r="S1652" s="29"/>
      <c r="T1652" s="29"/>
      <c r="U1652" s="29"/>
      <c r="V1652" s="29"/>
      <c r="W1652" s="30"/>
      <c r="X1652" s="29"/>
      <c r="Y1652" s="29"/>
      <c r="Z1652" s="29"/>
      <c r="AA1652" s="29"/>
      <c r="AB1652" s="29"/>
      <c r="AC1652" s="29"/>
      <c r="AD1652" s="29"/>
      <c r="AE1652" s="29"/>
      <c r="AF1652" s="29"/>
      <c r="AG1652" s="30"/>
      <c r="AH1652" s="29"/>
      <c r="AI1652" s="30"/>
      <c r="AJ1652" s="29"/>
      <c r="AK1652" s="29"/>
      <c r="AL1652" s="29"/>
      <c r="AM1652" s="29"/>
      <c r="AN1652" s="29"/>
      <c r="AO1652" s="29"/>
      <c r="AP1652" s="29"/>
      <c r="AQ1652" s="30"/>
      <c r="AR1652" s="29"/>
      <c r="AS1652" s="29"/>
      <c r="AT1652" s="29"/>
      <c r="AU1652" s="30"/>
      <c r="AV1652" s="29"/>
      <c r="AW1652" s="29"/>
      <c r="AX1652" s="29"/>
      <c r="AY1652" s="29"/>
      <c r="AZ1652" s="29"/>
      <c r="BA1652" s="29"/>
      <c r="BB1652" s="29"/>
      <c r="BC1652" s="29"/>
      <c r="BD1652" s="29"/>
      <c r="BE1652" s="29"/>
      <c r="BF1652" s="29"/>
      <c r="BG1652" s="29"/>
      <c r="BH1652" s="29"/>
      <c r="BI1652" s="29"/>
      <c r="BJ1652" s="29"/>
      <c r="BK1652" s="29"/>
      <c r="BL1652" s="29"/>
      <c r="BM1652" s="29"/>
      <c r="BN1652" s="20">
        <f t="shared" si="190"/>
        <v>0</v>
      </c>
      <c r="BO1652" s="20">
        <f t="shared" si="191"/>
        <v>0</v>
      </c>
      <c r="BP1652" s="20">
        <f t="shared" si="192"/>
        <v>8</v>
      </c>
      <c r="BQ1652" s="51">
        <f t="shared" si="193"/>
        <v>4</v>
      </c>
      <c r="BR1652" s="56" t="s">
        <v>1590</v>
      </c>
      <c r="BS1652" s="91" t="s">
        <v>2654</v>
      </c>
      <c r="BT1652" s="36" t="s">
        <v>1592</v>
      </c>
      <c r="BU1652" s="49" t="s">
        <v>118</v>
      </c>
    </row>
    <row r="1653" s="1" customFormat="1" customHeight="1" spans="1:74">
      <c r="A1653" s="198" t="s">
        <v>2660</v>
      </c>
      <c r="B1653" s="15">
        <v>200</v>
      </c>
      <c r="C1653" s="16">
        <v>10</v>
      </c>
      <c r="D1653" s="29"/>
      <c r="E1653" s="30"/>
      <c r="F1653" s="29"/>
      <c r="G1653" s="30"/>
      <c r="H1653" s="29"/>
      <c r="I1653" s="30"/>
      <c r="J1653" s="29"/>
      <c r="K1653" s="29"/>
      <c r="L1653" s="29"/>
      <c r="M1653" s="30"/>
      <c r="N1653" s="29"/>
      <c r="O1653" s="29"/>
      <c r="P1653" s="29"/>
      <c r="Q1653" s="29"/>
      <c r="R1653" s="29"/>
      <c r="S1653" s="29"/>
      <c r="T1653" s="29"/>
      <c r="U1653" s="29"/>
      <c r="V1653" s="29"/>
      <c r="W1653" s="30"/>
      <c r="X1653" s="29"/>
      <c r="Y1653" s="29"/>
      <c r="Z1653" s="29"/>
      <c r="AA1653" s="29"/>
      <c r="AB1653" s="29"/>
      <c r="AC1653" s="29"/>
      <c r="AD1653" s="29"/>
      <c r="AE1653" s="29"/>
      <c r="AF1653" s="29"/>
      <c r="AG1653" s="30"/>
      <c r="AH1653" s="29"/>
      <c r="AI1653" s="30"/>
      <c r="AJ1653" s="29"/>
      <c r="AK1653" s="29"/>
      <c r="AL1653" s="29"/>
      <c r="AM1653" s="29"/>
      <c r="AN1653" s="29"/>
      <c r="AO1653" s="29"/>
      <c r="AP1653" s="29"/>
      <c r="AQ1653" s="30"/>
      <c r="AR1653" s="29"/>
      <c r="AS1653" s="29"/>
      <c r="AT1653" s="29"/>
      <c r="AU1653" s="30"/>
      <c r="AV1653" s="29"/>
      <c r="AW1653" s="29"/>
      <c r="AX1653" s="29"/>
      <c r="AY1653" s="29"/>
      <c r="AZ1653" s="29"/>
      <c r="BA1653" s="29"/>
      <c r="BB1653" s="29"/>
      <c r="BC1653" s="29"/>
      <c r="BD1653" s="29"/>
      <c r="BE1653" s="29"/>
      <c r="BF1653" s="29"/>
      <c r="BG1653" s="29"/>
      <c r="BH1653" s="29"/>
      <c r="BI1653" s="29"/>
      <c r="BJ1653" s="29"/>
      <c r="BK1653" s="29"/>
      <c r="BL1653" s="29"/>
      <c r="BM1653" s="29"/>
      <c r="BN1653" s="20">
        <f t="shared" si="190"/>
        <v>0</v>
      </c>
      <c r="BO1653" s="20">
        <f t="shared" si="191"/>
        <v>0</v>
      </c>
      <c r="BP1653" s="20">
        <f t="shared" si="192"/>
        <v>10</v>
      </c>
      <c r="BQ1653" s="51">
        <f t="shared" si="193"/>
        <v>2</v>
      </c>
      <c r="BR1653" s="56" t="s">
        <v>2661</v>
      </c>
      <c r="BS1653" s="91" t="s">
        <v>2662</v>
      </c>
      <c r="BT1653" s="36" t="s">
        <v>2663</v>
      </c>
      <c r="BU1653" s="49" t="s">
        <v>118</v>
      </c>
      <c r="BV1653" s="1" t="s">
        <v>2664</v>
      </c>
    </row>
    <row r="1654" s="1" customFormat="1" customHeight="1" spans="1:74">
      <c r="A1654" s="198" t="s">
        <v>2665</v>
      </c>
      <c r="B1654" s="15">
        <v>200</v>
      </c>
      <c r="C1654" s="16">
        <v>10</v>
      </c>
      <c r="D1654" s="29"/>
      <c r="E1654" s="30"/>
      <c r="F1654" s="29"/>
      <c r="G1654" s="30"/>
      <c r="H1654" s="29"/>
      <c r="I1654" s="30"/>
      <c r="J1654" s="29"/>
      <c r="K1654" s="29"/>
      <c r="L1654" s="29"/>
      <c r="M1654" s="30"/>
      <c r="N1654" s="29"/>
      <c r="O1654" s="29"/>
      <c r="P1654" s="29"/>
      <c r="Q1654" s="29"/>
      <c r="R1654" s="29"/>
      <c r="S1654" s="29"/>
      <c r="T1654" s="29"/>
      <c r="U1654" s="29"/>
      <c r="V1654" s="29"/>
      <c r="W1654" s="30"/>
      <c r="X1654" s="29"/>
      <c r="Y1654" s="29"/>
      <c r="Z1654" s="29"/>
      <c r="AA1654" s="29"/>
      <c r="AB1654" s="29"/>
      <c r="AC1654" s="29"/>
      <c r="AD1654" s="29"/>
      <c r="AE1654" s="29"/>
      <c r="AF1654" s="29"/>
      <c r="AG1654" s="30"/>
      <c r="AH1654" s="29"/>
      <c r="AI1654" s="30"/>
      <c r="AJ1654" s="29"/>
      <c r="AK1654" s="29"/>
      <c r="AL1654" s="29"/>
      <c r="AM1654" s="29"/>
      <c r="AN1654" s="29"/>
      <c r="AO1654" s="29"/>
      <c r="AP1654" s="29"/>
      <c r="AQ1654" s="30"/>
      <c r="AR1654" s="29"/>
      <c r="AS1654" s="29"/>
      <c r="AT1654" s="29"/>
      <c r="AU1654" s="30"/>
      <c r="AV1654" s="29"/>
      <c r="AW1654" s="29"/>
      <c r="AX1654" s="29"/>
      <c r="AY1654" s="29"/>
      <c r="AZ1654" s="29"/>
      <c r="BA1654" s="29"/>
      <c r="BB1654" s="29"/>
      <c r="BC1654" s="29"/>
      <c r="BD1654" s="29"/>
      <c r="BE1654" s="29"/>
      <c r="BF1654" s="29"/>
      <c r="BG1654" s="29"/>
      <c r="BH1654" s="29"/>
      <c r="BI1654" s="29"/>
      <c r="BJ1654" s="29"/>
      <c r="BK1654" s="29"/>
      <c r="BL1654" s="29"/>
      <c r="BM1654" s="29"/>
      <c r="BN1654" s="20">
        <f t="shared" si="190"/>
        <v>0</v>
      </c>
      <c r="BO1654" s="20">
        <f t="shared" si="191"/>
        <v>0</v>
      </c>
      <c r="BP1654" s="20">
        <f t="shared" si="192"/>
        <v>10</v>
      </c>
      <c r="BQ1654" s="51">
        <f t="shared" si="193"/>
        <v>2</v>
      </c>
      <c r="BR1654" s="56" t="s">
        <v>2661</v>
      </c>
      <c r="BS1654" s="91" t="s">
        <v>2662</v>
      </c>
      <c r="BT1654" s="36" t="s">
        <v>2663</v>
      </c>
      <c r="BU1654" s="49" t="s">
        <v>118</v>
      </c>
      <c r="BV1654" s="1" t="s">
        <v>2664</v>
      </c>
    </row>
    <row r="1655" s="1" customFormat="1" customHeight="1" spans="1:74">
      <c r="A1655" s="198" t="s">
        <v>2666</v>
      </c>
      <c r="B1655" s="15">
        <v>200</v>
      </c>
      <c r="C1655" s="16">
        <v>10</v>
      </c>
      <c r="D1655" s="29"/>
      <c r="E1655" s="30"/>
      <c r="F1655" s="29"/>
      <c r="G1655" s="30"/>
      <c r="H1655" s="29"/>
      <c r="I1655" s="30"/>
      <c r="J1655" s="29"/>
      <c r="K1655" s="29"/>
      <c r="L1655" s="29"/>
      <c r="M1655" s="30"/>
      <c r="N1655" s="29"/>
      <c r="O1655" s="29"/>
      <c r="P1655" s="29"/>
      <c r="Q1655" s="29"/>
      <c r="R1655" s="29"/>
      <c r="S1655" s="29"/>
      <c r="T1655" s="29"/>
      <c r="U1655" s="29"/>
      <c r="V1655" s="29"/>
      <c r="W1655" s="30"/>
      <c r="X1655" s="29"/>
      <c r="Y1655" s="29"/>
      <c r="Z1655" s="29"/>
      <c r="AA1655" s="29"/>
      <c r="AB1655" s="29"/>
      <c r="AC1655" s="29"/>
      <c r="AD1655" s="29"/>
      <c r="AE1655" s="29"/>
      <c r="AF1655" s="29"/>
      <c r="AG1655" s="30"/>
      <c r="AH1655" s="29"/>
      <c r="AI1655" s="30"/>
      <c r="AJ1655" s="29"/>
      <c r="AK1655" s="29"/>
      <c r="AL1655" s="29"/>
      <c r="AM1655" s="29"/>
      <c r="AN1655" s="29"/>
      <c r="AO1655" s="29"/>
      <c r="AP1655" s="29"/>
      <c r="AQ1655" s="30"/>
      <c r="AR1655" s="29"/>
      <c r="AS1655" s="29"/>
      <c r="AT1655" s="29"/>
      <c r="AU1655" s="30"/>
      <c r="AV1655" s="29"/>
      <c r="AW1655" s="29"/>
      <c r="AX1655" s="29"/>
      <c r="AY1655" s="29"/>
      <c r="AZ1655" s="29"/>
      <c r="BA1655" s="29"/>
      <c r="BB1655" s="29"/>
      <c r="BC1655" s="29"/>
      <c r="BD1655" s="29"/>
      <c r="BE1655" s="29"/>
      <c r="BF1655" s="29"/>
      <c r="BG1655" s="29"/>
      <c r="BH1655" s="29"/>
      <c r="BI1655" s="29"/>
      <c r="BJ1655" s="29"/>
      <c r="BK1655" s="29"/>
      <c r="BL1655" s="29"/>
      <c r="BM1655" s="29"/>
      <c r="BN1655" s="20">
        <f t="shared" si="190"/>
        <v>0</v>
      </c>
      <c r="BO1655" s="20">
        <f t="shared" si="191"/>
        <v>0</v>
      </c>
      <c r="BP1655" s="20">
        <f t="shared" si="192"/>
        <v>10</v>
      </c>
      <c r="BQ1655" s="51">
        <f t="shared" si="193"/>
        <v>2</v>
      </c>
      <c r="BR1655" s="56" t="s">
        <v>2661</v>
      </c>
      <c r="BS1655" s="91" t="s">
        <v>2662</v>
      </c>
      <c r="BT1655" s="36" t="s">
        <v>2663</v>
      </c>
      <c r="BU1655" s="49" t="s">
        <v>118</v>
      </c>
      <c r="BV1655" s="1" t="s">
        <v>2664</v>
      </c>
    </row>
    <row r="1656" s="1" customFormat="1" customHeight="1" spans="1:74">
      <c r="A1656" s="198" t="s">
        <v>2667</v>
      </c>
      <c r="B1656" s="15">
        <v>200</v>
      </c>
      <c r="C1656" s="16">
        <v>10</v>
      </c>
      <c r="D1656" s="29"/>
      <c r="E1656" s="30"/>
      <c r="F1656" s="29"/>
      <c r="G1656" s="30"/>
      <c r="H1656" s="29"/>
      <c r="I1656" s="30"/>
      <c r="J1656" s="29"/>
      <c r="K1656" s="29"/>
      <c r="L1656" s="29"/>
      <c r="M1656" s="30"/>
      <c r="N1656" s="29"/>
      <c r="O1656" s="29"/>
      <c r="P1656" s="29"/>
      <c r="Q1656" s="29"/>
      <c r="R1656" s="29"/>
      <c r="S1656" s="29"/>
      <c r="T1656" s="29"/>
      <c r="U1656" s="29"/>
      <c r="V1656" s="29"/>
      <c r="W1656" s="30"/>
      <c r="X1656" s="29"/>
      <c r="Y1656" s="29"/>
      <c r="Z1656" s="29"/>
      <c r="AA1656" s="29"/>
      <c r="AB1656" s="29"/>
      <c r="AC1656" s="29"/>
      <c r="AD1656" s="29"/>
      <c r="AE1656" s="29"/>
      <c r="AF1656" s="29"/>
      <c r="AG1656" s="30"/>
      <c r="AH1656" s="29"/>
      <c r="AI1656" s="30"/>
      <c r="AJ1656" s="29"/>
      <c r="AK1656" s="29"/>
      <c r="AL1656" s="29"/>
      <c r="AM1656" s="29"/>
      <c r="AN1656" s="29"/>
      <c r="AO1656" s="29"/>
      <c r="AP1656" s="29"/>
      <c r="AQ1656" s="30"/>
      <c r="AR1656" s="29"/>
      <c r="AS1656" s="29"/>
      <c r="AT1656" s="29"/>
      <c r="AU1656" s="30"/>
      <c r="AV1656" s="29"/>
      <c r="AW1656" s="29"/>
      <c r="AX1656" s="29"/>
      <c r="AY1656" s="29"/>
      <c r="AZ1656" s="29"/>
      <c r="BA1656" s="29"/>
      <c r="BB1656" s="29"/>
      <c r="BC1656" s="29"/>
      <c r="BD1656" s="29"/>
      <c r="BE1656" s="29"/>
      <c r="BF1656" s="29"/>
      <c r="BG1656" s="29"/>
      <c r="BH1656" s="29"/>
      <c r="BI1656" s="29"/>
      <c r="BJ1656" s="29"/>
      <c r="BK1656" s="29"/>
      <c r="BL1656" s="29"/>
      <c r="BM1656" s="29"/>
      <c r="BN1656" s="20">
        <f t="shared" si="190"/>
        <v>0</v>
      </c>
      <c r="BO1656" s="20">
        <f t="shared" si="191"/>
        <v>0</v>
      </c>
      <c r="BP1656" s="20">
        <f t="shared" si="192"/>
        <v>10</v>
      </c>
      <c r="BQ1656" s="51">
        <f t="shared" si="193"/>
        <v>2</v>
      </c>
      <c r="BR1656" s="56" t="s">
        <v>2661</v>
      </c>
      <c r="BS1656" s="91" t="s">
        <v>2662</v>
      </c>
      <c r="BT1656" s="36" t="s">
        <v>2663</v>
      </c>
      <c r="BU1656" s="49" t="s">
        <v>118</v>
      </c>
      <c r="BV1656" s="1" t="s">
        <v>2664</v>
      </c>
    </row>
    <row r="1657" s="1" customFormat="1" customHeight="1" spans="1:74">
      <c r="A1657" s="211" t="s">
        <v>2668</v>
      </c>
      <c r="B1657" s="15">
        <v>200</v>
      </c>
      <c r="C1657" s="16">
        <v>10</v>
      </c>
      <c r="D1657" s="29"/>
      <c r="E1657" s="30"/>
      <c r="F1657" s="29"/>
      <c r="G1657" s="30"/>
      <c r="H1657" s="29"/>
      <c r="I1657" s="30"/>
      <c r="J1657" s="29"/>
      <c r="K1657" s="29"/>
      <c r="L1657" s="29"/>
      <c r="M1657" s="30"/>
      <c r="N1657" s="29"/>
      <c r="O1657" s="29"/>
      <c r="P1657" s="29"/>
      <c r="Q1657" s="29"/>
      <c r="R1657" s="29"/>
      <c r="S1657" s="29"/>
      <c r="T1657" s="29"/>
      <c r="U1657" s="29"/>
      <c r="V1657" s="29"/>
      <c r="W1657" s="30"/>
      <c r="X1657" s="29"/>
      <c r="Y1657" s="29"/>
      <c r="Z1657" s="29"/>
      <c r="AA1657" s="29"/>
      <c r="AB1657" s="29"/>
      <c r="AC1657" s="29"/>
      <c r="AD1657" s="29"/>
      <c r="AE1657" s="29"/>
      <c r="AF1657" s="29"/>
      <c r="AG1657" s="30"/>
      <c r="AH1657" s="29"/>
      <c r="AI1657" s="30"/>
      <c r="AJ1657" s="29"/>
      <c r="AK1657" s="29"/>
      <c r="AL1657" s="29"/>
      <c r="AM1657" s="29"/>
      <c r="AN1657" s="29"/>
      <c r="AO1657" s="29"/>
      <c r="AP1657" s="29"/>
      <c r="AQ1657" s="30"/>
      <c r="AR1657" s="29"/>
      <c r="AS1657" s="29"/>
      <c r="AT1657" s="29"/>
      <c r="AU1657" s="30"/>
      <c r="AV1657" s="29"/>
      <c r="AW1657" s="29"/>
      <c r="AX1657" s="29"/>
      <c r="AY1657" s="29"/>
      <c r="AZ1657" s="29"/>
      <c r="BA1657" s="29"/>
      <c r="BB1657" s="29"/>
      <c r="BC1657" s="29"/>
      <c r="BD1657" s="29"/>
      <c r="BE1657" s="29"/>
      <c r="BF1657" s="29"/>
      <c r="BG1657" s="29"/>
      <c r="BH1657" s="29"/>
      <c r="BI1657" s="29"/>
      <c r="BJ1657" s="29"/>
      <c r="BK1657" s="29"/>
      <c r="BL1657" s="29"/>
      <c r="BM1657" s="29"/>
      <c r="BN1657" s="20">
        <f t="shared" si="190"/>
        <v>0</v>
      </c>
      <c r="BO1657" s="20">
        <f t="shared" si="191"/>
        <v>0</v>
      </c>
      <c r="BP1657" s="20">
        <f t="shared" si="192"/>
        <v>10</v>
      </c>
      <c r="BQ1657" s="51">
        <f t="shared" si="193"/>
        <v>2</v>
      </c>
      <c r="BR1657" s="56" t="s">
        <v>2661</v>
      </c>
      <c r="BS1657" s="91" t="s">
        <v>2662</v>
      </c>
      <c r="BT1657" s="36" t="s">
        <v>2663</v>
      </c>
      <c r="BU1657" s="49" t="s">
        <v>118</v>
      </c>
      <c r="BV1657" s="1" t="s">
        <v>2664</v>
      </c>
    </row>
    <row r="1658" s="1" customFormat="1" customHeight="1" spans="1:74">
      <c r="A1658" s="211" t="s">
        <v>2669</v>
      </c>
      <c r="B1658" s="15">
        <v>200</v>
      </c>
      <c r="C1658" s="16">
        <v>10</v>
      </c>
      <c r="D1658" s="29"/>
      <c r="E1658" s="30"/>
      <c r="F1658" s="29"/>
      <c r="G1658" s="30"/>
      <c r="H1658" s="29"/>
      <c r="I1658" s="30"/>
      <c r="J1658" s="29"/>
      <c r="K1658" s="29"/>
      <c r="L1658" s="29"/>
      <c r="M1658" s="30"/>
      <c r="N1658" s="29"/>
      <c r="O1658" s="29"/>
      <c r="P1658" s="29"/>
      <c r="Q1658" s="29"/>
      <c r="R1658" s="29"/>
      <c r="S1658" s="29"/>
      <c r="T1658" s="29"/>
      <c r="U1658" s="29"/>
      <c r="V1658" s="29"/>
      <c r="W1658" s="30"/>
      <c r="X1658" s="29"/>
      <c r="Y1658" s="29"/>
      <c r="Z1658" s="29"/>
      <c r="AA1658" s="29"/>
      <c r="AB1658" s="29"/>
      <c r="AC1658" s="29"/>
      <c r="AD1658" s="29"/>
      <c r="AE1658" s="29"/>
      <c r="AF1658" s="29"/>
      <c r="AG1658" s="30"/>
      <c r="AH1658" s="29"/>
      <c r="AI1658" s="30"/>
      <c r="AJ1658" s="29"/>
      <c r="AK1658" s="29"/>
      <c r="AL1658" s="29"/>
      <c r="AM1658" s="29"/>
      <c r="AN1658" s="29"/>
      <c r="AO1658" s="29"/>
      <c r="AP1658" s="29"/>
      <c r="AQ1658" s="30"/>
      <c r="AR1658" s="29"/>
      <c r="AS1658" s="29"/>
      <c r="AT1658" s="29"/>
      <c r="AU1658" s="30"/>
      <c r="AV1658" s="29"/>
      <c r="AW1658" s="29"/>
      <c r="AX1658" s="29"/>
      <c r="AY1658" s="29"/>
      <c r="AZ1658" s="29"/>
      <c r="BA1658" s="29"/>
      <c r="BB1658" s="29"/>
      <c r="BC1658" s="29"/>
      <c r="BD1658" s="29"/>
      <c r="BE1658" s="29"/>
      <c r="BF1658" s="29"/>
      <c r="BG1658" s="29"/>
      <c r="BH1658" s="29"/>
      <c r="BI1658" s="29"/>
      <c r="BJ1658" s="29"/>
      <c r="BK1658" s="29"/>
      <c r="BL1658" s="29"/>
      <c r="BM1658" s="29"/>
      <c r="BN1658" s="20">
        <f t="shared" si="190"/>
        <v>0</v>
      </c>
      <c r="BO1658" s="20">
        <f t="shared" si="191"/>
        <v>0</v>
      </c>
      <c r="BP1658" s="20">
        <f t="shared" si="192"/>
        <v>10</v>
      </c>
      <c r="BQ1658" s="51">
        <f t="shared" si="193"/>
        <v>2</v>
      </c>
      <c r="BR1658" s="56" t="s">
        <v>2661</v>
      </c>
      <c r="BS1658" s="91" t="s">
        <v>2662</v>
      </c>
      <c r="BT1658" s="36" t="s">
        <v>2663</v>
      </c>
      <c r="BU1658" s="49" t="s">
        <v>118</v>
      </c>
      <c r="BV1658" s="1" t="s">
        <v>2664</v>
      </c>
    </row>
    <row r="1659" s="1" customFormat="1" customHeight="1" spans="1:74">
      <c r="A1659" s="41" t="s">
        <v>2670</v>
      </c>
      <c r="B1659" s="15">
        <v>200</v>
      </c>
      <c r="C1659" s="16">
        <v>10</v>
      </c>
      <c r="D1659" s="29"/>
      <c r="E1659" s="30"/>
      <c r="F1659" s="29"/>
      <c r="G1659" s="30"/>
      <c r="H1659" s="29"/>
      <c r="I1659" s="30"/>
      <c r="J1659" s="29"/>
      <c r="K1659" s="29"/>
      <c r="L1659" s="29"/>
      <c r="M1659" s="30"/>
      <c r="N1659" s="29"/>
      <c r="O1659" s="29"/>
      <c r="P1659" s="29"/>
      <c r="Q1659" s="29"/>
      <c r="R1659" s="29"/>
      <c r="S1659" s="29"/>
      <c r="T1659" s="29"/>
      <c r="U1659" s="29"/>
      <c r="V1659" s="29"/>
      <c r="W1659" s="30"/>
      <c r="X1659" s="29"/>
      <c r="Y1659" s="29"/>
      <c r="Z1659" s="29"/>
      <c r="AA1659" s="29"/>
      <c r="AB1659" s="29"/>
      <c r="AC1659" s="29"/>
      <c r="AD1659" s="29"/>
      <c r="AE1659" s="29"/>
      <c r="AF1659" s="29"/>
      <c r="AG1659" s="30"/>
      <c r="AH1659" s="29"/>
      <c r="AI1659" s="30"/>
      <c r="AJ1659" s="29"/>
      <c r="AK1659" s="29"/>
      <c r="AL1659" s="29"/>
      <c r="AM1659" s="29"/>
      <c r="AN1659" s="29"/>
      <c r="AO1659" s="29"/>
      <c r="AP1659" s="29"/>
      <c r="AQ1659" s="30"/>
      <c r="AR1659" s="29"/>
      <c r="AS1659" s="29"/>
      <c r="AT1659" s="29"/>
      <c r="AU1659" s="30"/>
      <c r="AV1659" s="29"/>
      <c r="AW1659" s="29"/>
      <c r="AX1659" s="29"/>
      <c r="AY1659" s="29"/>
      <c r="AZ1659" s="29"/>
      <c r="BA1659" s="29"/>
      <c r="BB1659" s="29"/>
      <c r="BC1659" s="29"/>
      <c r="BD1659" s="29"/>
      <c r="BE1659" s="29"/>
      <c r="BF1659" s="29"/>
      <c r="BG1659" s="29"/>
      <c r="BH1659" s="29"/>
      <c r="BI1659" s="29"/>
      <c r="BJ1659" s="29"/>
      <c r="BK1659" s="29"/>
      <c r="BL1659" s="29"/>
      <c r="BM1659" s="29"/>
      <c r="BN1659" s="20">
        <f t="shared" si="190"/>
        <v>0</v>
      </c>
      <c r="BO1659" s="20">
        <f t="shared" si="191"/>
        <v>0</v>
      </c>
      <c r="BP1659" s="20">
        <f t="shared" si="192"/>
        <v>10</v>
      </c>
      <c r="BQ1659" s="51">
        <f t="shared" si="193"/>
        <v>2</v>
      </c>
      <c r="BR1659" s="56" t="s">
        <v>2661</v>
      </c>
      <c r="BS1659" s="91" t="s">
        <v>2662</v>
      </c>
      <c r="BT1659" s="36" t="s">
        <v>2663</v>
      </c>
      <c r="BU1659" s="49" t="s">
        <v>118</v>
      </c>
      <c r="BV1659" s="1" t="s">
        <v>2664</v>
      </c>
    </row>
    <row r="1660" s="1" customFormat="1" customHeight="1" spans="1:74">
      <c r="A1660" s="41" t="s">
        <v>2671</v>
      </c>
      <c r="B1660" s="15">
        <v>200</v>
      </c>
      <c r="C1660" s="16">
        <v>10</v>
      </c>
      <c r="D1660" s="29"/>
      <c r="E1660" s="30"/>
      <c r="F1660" s="29"/>
      <c r="G1660" s="30"/>
      <c r="H1660" s="29"/>
      <c r="I1660" s="30"/>
      <c r="J1660" s="29"/>
      <c r="K1660" s="29"/>
      <c r="L1660" s="29"/>
      <c r="M1660" s="30"/>
      <c r="N1660" s="29"/>
      <c r="O1660" s="29"/>
      <c r="P1660" s="29"/>
      <c r="Q1660" s="29"/>
      <c r="R1660" s="29"/>
      <c r="S1660" s="29"/>
      <c r="T1660" s="29"/>
      <c r="U1660" s="29"/>
      <c r="V1660" s="29"/>
      <c r="W1660" s="30"/>
      <c r="X1660" s="29"/>
      <c r="Y1660" s="29"/>
      <c r="Z1660" s="29"/>
      <c r="AA1660" s="29"/>
      <c r="AB1660" s="29"/>
      <c r="AC1660" s="29"/>
      <c r="AD1660" s="29"/>
      <c r="AE1660" s="29"/>
      <c r="AF1660" s="29"/>
      <c r="AG1660" s="30"/>
      <c r="AH1660" s="29"/>
      <c r="AI1660" s="30"/>
      <c r="AJ1660" s="29"/>
      <c r="AK1660" s="29"/>
      <c r="AL1660" s="29"/>
      <c r="AM1660" s="29"/>
      <c r="AN1660" s="29"/>
      <c r="AO1660" s="29"/>
      <c r="AP1660" s="29"/>
      <c r="AQ1660" s="30"/>
      <c r="AR1660" s="29"/>
      <c r="AS1660" s="29"/>
      <c r="AT1660" s="29"/>
      <c r="AU1660" s="30"/>
      <c r="AV1660" s="29"/>
      <c r="AW1660" s="29"/>
      <c r="AX1660" s="29"/>
      <c r="AY1660" s="29"/>
      <c r="AZ1660" s="29"/>
      <c r="BA1660" s="29"/>
      <c r="BB1660" s="29"/>
      <c r="BC1660" s="29"/>
      <c r="BD1660" s="29"/>
      <c r="BE1660" s="29"/>
      <c r="BF1660" s="29"/>
      <c r="BG1660" s="29"/>
      <c r="BH1660" s="29"/>
      <c r="BI1660" s="29"/>
      <c r="BJ1660" s="29"/>
      <c r="BK1660" s="29"/>
      <c r="BL1660" s="29"/>
      <c r="BM1660" s="29"/>
      <c r="BN1660" s="20">
        <f t="shared" si="190"/>
        <v>0</v>
      </c>
      <c r="BO1660" s="20">
        <f t="shared" si="191"/>
        <v>0</v>
      </c>
      <c r="BP1660" s="20">
        <f t="shared" si="192"/>
        <v>10</v>
      </c>
      <c r="BQ1660" s="51">
        <f t="shared" si="193"/>
        <v>2</v>
      </c>
      <c r="BR1660" s="56" t="s">
        <v>2661</v>
      </c>
      <c r="BS1660" s="91" t="s">
        <v>2662</v>
      </c>
      <c r="BT1660" s="36" t="s">
        <v>2663</v>
      </c>
      <c r="BU1660" s="49" t="s">
        <v>118</v>
      </c>
      <c r="BV1660" s="1" t="s">
        <v>2664</v>
      </c>
    </row>
    <row r="1661" s="1" customFormat="1" customHeight="1" spans="1:74">
      <c r="A1661" s="212" t="s">
        <v>2672</v>
      </c>
      <c r="B1661" s="15">
        <v>200</v>
      </c>
      <c r="C1661" s="16">
        <v>10</v>
      </c>
      <c r="D1661" s="29"/>
      <c r="E1661" s="30"/>
      <c r="F1661" s="29"/>
      <c r="G1661" s="30"/>
      <c r="H1661" s="29"/>
      <c r="I1661" s="30"/>
      <c r="J1661" s="29"/>
      <c r="K1661" s="29"/>
      <c r="L1661" s="29"/>
      <c r="M1661" s="30"/>
      <c r="N1661" s="29"/>
      <c r="O1661" s="29"/>
      <c r="P1661" s="29"/>
      <c r="Q1661" s="29"/>
      <c r="R1661" s="29"/>
      <c r="S1661" s="29"/>
      <c r="T1661" s="29"/>
      <c r="U1661" s="29"/>
      <c r="V1661" s="29"/>
      <c r="W1661" s="30"/>
      <c r="X1661" s="29"/>
      <c r="Y1661" s="29"/>
      <c r="Z1661" s="29"/>
      <c r="AA1661" s="29"/>
      <c r="AB1661" s="29"/>
      <c r="AC1661" s="29"/>
      <c r="AD1661" s="29"/>
      <c r="AE1661" s="29"/>
      <c r="AF1661" s="29"/>
      <c r="AG1661" s="30"/>
      <c r="AH1661" s="29"/>
      <c r="AI1661" s="30"/>
      <c r="AJ1661" s="29"/>
      <c r="AK1661" s="29"/>
      <c r="AL1661" s="29"/>
      <c r="AM1661" s="29"/>
      <c r="AN1661" s="29"/>
      <c r="AO1661" s="29"/>
      <c r="AP1661" s="29"/>
      <c r="AQ1661" s="30"/>
      <c r="AR1661" s="29"/>
      <c r="AS1661" s="29"/>
      <c r="AT1661" s="29"/>
      <c r="AU1661" s="30"/>
      <c r="AV1661" s="29"/>
      <c r="AW1661" s="29"/>
      <c r="AX1661" s="29"/>
      <c r="AY1661" s="29"/>
      <c r="AZ1661" s="29"/>
      <c r="BA1661" s="29"/>
      <c r="BB1661" s="29"/>
      <c r="BC1661" s="29"/>
      <c r="BD1661" s="29"/>
      <c r="BE1661" s="29"/>
      <c r="BF1661" s="29"/>
      <c r="BG1661" s="29"/>
      <c r="BH1661" s="29"/>
      <c r="BI1661" s="29"/>
      <c r="BJ1661" s="29"/>
      <c r="BK1661" s="29"/>
      <c r="BL1661" s="29"/>
      <c r="BM1661" s="29"/>
      <c r="BN1661" s="20">
        <f t="shared" si="190"/>
        <v>0</v>
      </c>
      <c r="BO1661" s="20">
        <f t="shared" si="191"/>
        <v>0</v>
      </c>
      <c r="BP1661" s="20">
        <f t="shared" si="192"/>
        <v>10</v>
      </c>
      <c r="BQ1661" s="51">
        <f t="shared" si="193"/>
        <v>2</v>
      </c>
      <c r="BR1661" s="56" t="s">
        <v>2661</v>
      </c>
      <c r="BS1661" s="91" t="s">
        <v>2662</v>
      </c>
      <c r="BT1661" s="36" t="s">
        <v>2663</v>
      </c>
      <c r="BU1661" s="49" t="s">
        <v>118</v>
      </c>
      <c r="BV1661" s="1" t="s">
        <v>2664</v>
      </c>
    </row>
    <row r="1662" s="1" customFormat="1" customHeight="1" spans="1:74">
      <c r="A1662" s="212" t="s">
        <v>2673</v>
      </c>
      <c r="B1662" s="15">
        <v>200</v>
      </c>
      <c r="C1662" s="16">
        <v>10</v>
      </c>
      <c r="D1662" s="29"/>
      <c r="E1662" s="30"/>
      <c r="F1662" s="29"/>
      <c r="G1662" s="30"/>
      <c r="H1662" s="29"/>
      <c r="I1662" s="30"/>
      <c r="J1662" s="29"/>
      <c r="K1662" s="29"/>
      <c r="L1662" s="29"/>
      <c r="M1662" s="30"/>
      <c r="N1662" s="29"/>
      <c r="O1662" s="29"/>
      <c r="P1662" s="29"/>
      <c r="Q1662" s="29"/>
      <c r="R1662" s="29"/>
      <c r="S1662" s="29"/>
      <c r="T1662" s="29"/>
      <c r="U1662" s="29"/>
      <c r="V1662" s="29"/>
      <c r="W1662" s="30"/>
      <c r="X1662" s="29"/>
      <c r="Y1662" s="29"/>
      <c r="Z1662" s="29"/>
      <c r="AA1662" s="29"/>
      <c r="AB1662" s="29"/>
      <c r="AC1662" s="29"/>
      <c r="AD1662" s="29"/>
      <c r="AE1662" s="29"/>
      <c r="AF1662" s="29"/>
      <c r="AG1662" s="30"/>
      <c r="AH1662" s="29"/>
      <c r="AI1662" s="30"/>
      <c r="AJ1662" s="29"/>
      <c r="AK1662" s="29"/>
      <c r="AL1662" s="29"/>
      <c r="AM1662" s="29"/>
      <c r="AN1662" s="29"/>
      <c r="AO1662" s="29"/>
      <c r="AP1662" s="29"/>
      <c r="AQ1662" s="30"/>
      <c r="AR1662" s="29"/>
      <c r="AS1662" s="29"/>
      <c r="AT1662" s="29"/>
      <c r="AU1662" s="30"/>
      <c r="AV1662" s="29"/>
      <c r="AW1662" s="29"/>
      <c r="AX1662" s="29"/>
      <c r="AY1662" s="29"/>
      <c r="AZ1662" s="29"/>
      <c r="BA1662" s="29"/>
      <c r="BB1662" s="29"/>
      <c r="BC1662" s="29"/>
      <c r="BD1662" s="29"/>
      <c r="BE1662" s="29"/>
      <c r="BF1662" s="29"/>
      <c r="BG1662" s="29"/>
      <c r="BH1662" s="29"/>
      <c r="BI1662" s="29"/>
      <c r="BJ1662" s="29"/>
      <c r="BK1662" s="29"/>
      <c r="BL1662" s="29"/>
      <c r="BM1662" s="29"/>
      <c r="BN1662" s="20">
        <f t="shared" si="190"/>
        <v>0</v>
      </c>
      <c r="BO1662" s="20">
        <f t="shared" si="191"/>
        <v>0</v>
      </c>
      <c r="BP1662" s="20">
        <f t="shared" si="192"/>
        <v>10</v>
      </c>
      <c r="BQ1662" s="51">
        <f t="shared" si="193"/>
        <v>2</v>
      </c>
      <c r="BR1662" s="56" t="s">
        <v>2661</v>
      </c>
      <c r="BS1662" s="91" t="s">
        <v>2662</v>
      </c>
      <c r="BT1662" s="36" t="s">
        <v>2663</v>
      </c>
      <c r="BU1662" s="49" t="s">
        <v>118</v>
      </c>
      <c r="BV1662" s="1" t="s">
        <v>2664</v>
      </c>
    </row>
    <row r="1663" s="1" customFormat="1" customHeight="1" spans="1:74">
      <c r="A1663" s="212" t="s">
        <v>2674</v>
      </c>
      <c r="B1663" s="15">
        <v>200</v>
      </c>
      <c r="C1663" s="16">
        <v>10</v>
      </c>
      <c r="D1663" s="29"/>
      <c r="E1663" s="30"/>
      <c r="F1663" s="29"/>
      <c r="G1663" s="30"/>
      <c r="H1663" s="29"/>
      <c r="I1663" s="30"/>
      <c r="J1663" s="29"/>
      <c r="K1663" s="29"/>
      <c r="L1663" s="29"/>
      <c r="M1663" s="30"/>
      <c r="N1663" s="29"/>
      <c r="O1663" s="29"/>
      <c r="P1663" s="29"/>
      <c r="Q1663" s="29"/>
      <c r="R1663" s="29"/>
      <c r="S1663" s="29"/>
      <c r="T1663" s="29"/>
      <c r="U1663" s="29"/>
      <c r="V1663" s="29"/>
      <c r="W1663" s="30"/>
      <c r="X1663" s="29"/>
      <c r="Y1663" s="29"/>
      <c r="Z1663" s="29"/>
      <c r="AA1663" s="29"/>
      <c r="AB1663" s="29"/>
      <c r="AC1663" s="29"/>
      <c r="AD1663" s="29"/>
      <c r="AE1663" s="29"/>
      <c r="AF1663" s="29"/>
      <c r="AG1663" s="30"/>
      <c r="AH1663" s="29"/>
      <c r="AI1663" s="30"/>
      <c r="AJ1663" s="29"/>
      <c r="AK1663" s="29"/>
      <c r="AL1663" s="29"/>
      <c r="AM1663" s="29"/>
      <c r="AN1663" s="29"/>
      <c r="AO1663" s="29"/>
      <c r="AP1663" s="29"/>
      <c r="AQ1663" s="30"/>
      <c r="AR1663" s="29"/>
      <c r="AS1663" s="29"/>
      <c r="AT1663" s="29"/>
      <c r="AU1663" s="30"/>
      <c r="AV1663" s="29"/>
      <c r="AW1663" s="29"/>
      <c r="AX1663" s="29"/>
      <c r="AY1663" s="29"/>
      <c r="AZ1663" s="29"/>
      <c r="BA1663" s="29"/>
      <c r="BB1663" s="29"/>
      <c r="BC1663" s="29"/>
      <c r="BD1663" s="29"/>
      <c r="BE1663" s="29"/>
      <c r="BF1663" s="29"/>
      <c r="BG1663" s="29"/>
      <c r="BH1663" s="29"/>
      <c r="BI1663" s="29"/>
      <c r="BJ1663" s="29"/>
      <c r="BK1663" s="29"/>
      <c r="BL1663" s="29"/>
      <c r="BM1663" s="29"/>
      <c r="BN1663" s="20">
        <f t="shared" si="190"/>
        <v>0</v>
      </c>
      <c r="BO1663" s="20">
        <f t="shared" si="191"/>
        <v>0</v>
      </c>
      <c r="BP1663" s="20">
        <f t="shared" si="192"/>
        <v>10</v>
      </c>
      <c r="BQ1663" s="51">
        <f t="shared" si="193"/>
        <v>2</v>
      </c>
      <c r="BR1663" s="56" t="s">
        <v>2661</v>
      </c>
      <c r="BS1663" s="91" t="s">
        <v>2662</v>
      </c>
      <c r="BT1663" s="36" t="s">
        <v>2663</v>
      </c>
      <c r="BU1663" s="49" t="s">
        <v>118</v>
      </c>
      <c r="BV1663" s="1" t="s">
        <v>2664</v>
      </c>
    </row>
    <row r="1664" s="1" customFormat="1" customHeight="1" spans="1:74">
      <c r="A1664" s="41" t="s">
        <v>2675</v>
      </c>
      <c r="B1664" s="15">
        <v>200</v>
      </c>
      <c r="C1664" s="16">
        <v>10</v>
      </c>
      <c r="D1664" s="29"/>
      <c r="E1664" s="30"/>
      <c r="F1664" s="29"/>
      <c r="G1664" s="30"/>
      <c r="H1664" s="29"/>
      <c r="I1664" s="30"/>
      <c r="J1664" s="29"/>
      <c r="K1664" s="29"/>
      <c r="L1664" s="29"/>
      <c r="M1664" s="30"/>
      <c r="N1664" s="29"/>
      <c r="O1664" s="29"/>
      <c r="P1664" s="29"/>
      <c r="Q1664" s="29"/>
      <c r="R1664" s="29"/>
      <c r="S1664" s="29"/>
      <c r="T1664" s="29"/>
      <c r="U1664" s="29"/>
      <c r="V1664" s="29"/>
      <c r="W1664" s="30"/>
      <c r="X1664" s="29"/>
      <c r="Y1664" s="29"/>
      <c r="Z1664" s="29"/>
      <c r="AA1664" s="29"/>
      <c r="AB1664" s="29"/>
      <c r="AC1664" s="29"/>
      <c r="AD1664" s="29"/>
      <c r="AE1664" s="29"/>
      <c r="AF1664" s="29"/>
      <c r="AG1664" s="30"/>
      <c r="AH1664" s="29"/>
      <c r="AI1664" s="30"/>
      <c r="AJ1664" s="29"/>
      <c r="AK1664" s="29"/>
      <c r="AL1664" s="29"/>
      <c r="AM1664" s="29"/>
      <c r="AN1664" s="29"/>
      <c r="AO1664" s="29"/>
      <c r="AP1664" s="29"/>
      <c r="AQ1664" s="30"/>
      <c r="AR1664" s="29"/>
      <c r="AS1664" s="29"/>
      <c r="AT1664" s="29"/>
      <c r="AU1664" s="30"/>
      <c r="AV1664" s="29"/>
      <c r="AW1664" s="29"/>
      <c r="AX1664" s="29"/>
      <c r="AY1664" s="29"/>
      <c r="AZ1664" s="29"/>
      <c r="BA1664" s="29"/>
      <c r="BB1664" s="29"/>
      <c r="BC1664" s="29"/>
      <c r="BD1664" s="29"/>
      <c r="BE1664" s="29"/>
      <c r="BF1664" s="29"/>
      <c r="BG1664" s="29"/>
      <c r="BH1664" s="29"/>
      <c r="BI1664" s="29"/>
      <c r="BJ1664" s="29"/>
      <c r="BK1664" s="29"/>
      <c r="BL1664" s="29"/>
      <c r="BM1664" s="29"/>
      <c r="BN1664" s="20">
        <f t="shared" si="190"/>
        <v>0</v>
      </c>
      <c r="BO1664" s="20">
        <f t="shared" si="191"/>
        <v>0</v>
      </c>
      <c r="BP1664" s="20">
        <f t="shared" si="192"/>
        <v>10</v>
      </c>
      <c r="BQ1664" s="51">
        <f t="shared" si="193"/>
        <v>2</v>
      </c>
      <c r="BR1664" s="56" t="s">
        <v>2661</v>
      </c>
      <c r="BS1664" s="91" t="s">
        <v>2662</v>
      </c>
      <c r="BT1664" s="36" t="s">
        <v>2663</v>
      </c>
      <c r="BU1664" s="49" t="s">
        <v>118</v>
      </c>
      <c r="BV1664" s="1" t="s">
        <v>2664</v>
      </c>
    </row>
    <row r="1665" s="1" customFormat="1" customHeight="1" spans="1:74">
      <c r="A1665" s="41"/>
      <c r="B1665" s="15"/>
      <c r="C1665" s="16"/>
      <c r="D1665" s="29"/>
      <c r="E1665" s="30"/>
      <c r="F1665" s="29"/>
      <c r="G1665" s="30"/>
      <c r="H1665" s="29"/>
      <c r="I1665" s="30"/>
      <c r="J1665" s="29"/>
      <c r="K1665" s="29"/>
      <c r="L1665" s="29"/>
      <c r="M1665" s="30"/>
      <c r="N1665" s="29"/>
      <c r="O1665" s="29"/>
      <c r="P1665" s="29"/>
      <c r="Q1665" s="29"/>
      <c r="R1665" s="29"/>
      <c r="S1665" s="29"/>
      <c r="T1665" s="29"/>
      <c r="U1665" s="29"/>
      <c r="V1665" s="29"/>
      <c r="W1665" s="30"/>
      <c r="X1665" s="29"/>
      <c r="Y1665" s="29"/>
      <c r="Z1665" s="29"/>
      <c r="AA1665" s="29"/>
      <c r="AB1665" s="29"/>
      <c r="AC1665" s="29"/>
      <c r="AD1665" s="29"/>
      <c r="AE1665" s="29"/>
      <c r="AF1665" s="29"/>
      <c r="AG1665" s="30"/>
      <c r="AH1665" s="29"/>
      <c r="AI1665" s="30"/>
      <c r="AJ1665" s="29"/>
      <c r="AK1665" s="29"/>
      <c r="AL1665" s="29"/>
      <c r="AM1665" s="29"/>
      <c r="AN1665" s="29"/>
      <c r="AO1665" s="29"/>
      <c r="AP1665" s="29"/>
      <c r="AQ1665" s="30"/>
      <c r="AR1665" s="29"/>
      <c r="AS1665" s="29"/>
      <c r="AT1665" s="29"/>
      <c r="AU1665" s="30"/>
      <c r="AV1665" s="29"/>
      <c r="AW1665" s="29"/>
      <c r="AX1665" s="29"/>
      <c r="AY1665" s="29"/>
      <c r="AZ1665" s="29"/>
      <c r="BA1665" s="29"/>
      <c r="BB1665" s="29"/>
      <c r="BC1665" s="29"/>
      <c r="BD1665" s="29"/>
      <c r="BE1665" s="29"/>
      <c r="BF1665" s="29"/>
      <c r="BG1665" s="29"/>
      <c r="BH1665" s="29"/>
      <c r="BI1665" s="29"/>
      <c r="BJ1665" s="29"/>
      <c r="BK1665" s="29"/>
      <c r="BL1665" s="29"/>
      <c r="BM1665" s="29"/>
      <c r="BN1665" s="20">
        <f t="shared" si="190"/>
        <v>0</v>
      </c>
      <c r="BO1665" s="20">
        <f t="shared" si="191"/>
        <v>0</v>
      </c>
      <c r="BP1665" s="20">
        <f t="shared" si="192"/>
        <v>0</v>
      </c>
      <c r="BQ1665" s="51"/>
      <c r="BR1665" s="56"/>
      <c r="BS1665" s="91"/>
      <c r="BT1665" s="36"/>
      <c r="BU1665" s="49"/>
    </row>
    <row r="1666" s="1" customFormat="1" customHeight="1" spans="1:74">
      <c r="A1666" s="213" t="s">
        <v>2676</v>
      </c>
      <c r="B1666" s="15">
        <v>200</v>
      </c>
      <c r="C1666" s="16">
        <v>10</v>
      </c>
      <c r="D1666" s="29"/>
      <c r="E1666" s="30"/>
      <c r="F1666" s="29"/>
      <c r="G1666" s="30"/>
      <c r="H1666" s="29"/>
      <c r="I1666" s="30"/>
      <c r="J1666" s="29"/>
      <c r="K1666" s="29"/>
      <c r="L1666" s="29"/>
      <c r="M1666" s="30"/>
      <c r="N1666" s="29"/>
      <c r="O1666" s="29"/>
      <c r="P1666" s="29"/>
      <c r="Q1666" s="29"/>
      <c r="R1666" s="29"/>
      <c r="S1666" s="29"/>
      <c r="T1666" s="29"/>
      <c r="U1666" s="29"/>
      <c r="V1666" s="29"/>
      <c r="W1666" s="30"/>
      <c r="X1666" s="29"/>
      <c r="Y1666" s="29"/>
      <c r="Z1666" s="29"/>
      <c r="AA1666" s="29"/>
      <c r="AB1666" s="29"/>
      <c r="AC1666" s="29"/>
      <c r="AD1666" s="29"/>
      <c r="AE1666" s="29"/>
      <c r="AF1666" s="29"/>
      <c r="AG1666" s="30"/>
      <c r="AH1666" s="29"/>
      <c r="AI1666" s="30"/>
      <c r="AJ1666" s="29"/>
      <c r="AK1666" s="29"/>
      <c r="AL1666" s="29"/>
      <c r="AM1666" s="29"/>
      <c r="AN1666" s="29"/>
      <c r="AO1666" s="29"/>
      <c r="AP1666" s="29"/>
      <c r="AQ1666" s="30"/>
      <c r="AR1666" s="29"/>
      <c r="AS1666" s="29"/>
      <c r="AT1666" s="29"/>
      <c r="AU1666" s="30"/>
      <c r="AV1666" s="29"/>
      <c r="AW1666" s="29"/>
      <c r="AX1666" s="29"/>
      <c r="AY1666" s="29"/>
      <c r="AZ1666" s="29"/>
      <c r="BA1666" s="29"/>
      <c r="BB1666" s="29"/>
      <c r="BC1666" s="29"/>
      <c r="BD1666" s="29"/>
      <c r="BE1666" s="29"/>
      <c r="BF1666" s="29"/>
      <c r="BG1666" s="29"/>
      <c r="BH1666" s="29"/>
      <c r="BI1666" s="29"/>
      <c r="BJ1666" s="29"/>
      <c r="BK1666" s="29"/>
      <c r="BL1666" s="29"/>
      <c r="BM1666" s="29"/>
      <c r="BN1666" s="20">
        <f t="shared" si="190"/>
        <v>0</v>
      </c>
      <c r="BO1666" s="20">
        <f t="shared" si="191"/>
        <v>0</v>
      </c>
      <c r="BP1666" s="20">
        <f t="shared" si="192"/>
        <v>10</v>
      </c>
      <c r="BQ1666" s="51">
        <f t="shared" ref="BQ1666:BQ1668" si="194">B1666*BP1666/1000</f>
        <v>2</v>
      </c>
      <c r="BR1666" s="56" t="s">
        <v>2661</v>
      </c>
      <c r="BS1666" s="91" t="s">
        <v>2662</v>
      </c>
      <c r="BT1666" s="36" t="s">
        <v>2663</v>
      </c>
      <c r="BU1666" s="49" t="s">
        <v>118</v>
      </c>
      <c r="BV1666" s="214" t="s">
        <v>2677</v>
      </c>
    </row>
    <row r="1667" s="1" customFormat="1" customHeight="1" spans="1:74">
      <c r="A1667" s="213" t="s">
        <v>2678</v>
      </c>
      <c r="B1667" s="15">
        <v>200</v>
      </c>
      <c r="C1667" s="16">
        <v>10</v>
      </c>
      <c r="D1667" s="29"/>
      <c r="E1667" s="30"/>
      <c r="F1667" s="29"/>
      <c r="G1667" s="30"/>
      <c r="H1667" s="29"/>
      <c r="I1667" s="30"/>
      <c r="J1667" s="29"/>
      <c r="K1667" s="29"/>
      <c r="L1667" s="29"/>
      <c r="M1667" s="30"/>
      <c r="N1667" s="29"/>
      <c r="O1667" s="29"/>
      <c r="P1667" s="29"/>
      <c r="Q1667" s="29"/>
      <c r="R1667" s="29"/>
      <c r="S1667" s="29"/>
      <c r="T1667" s="29"/>
      <c r="U1667" s="29"/>
      <c r="V1667" s="29"/>
      <c r="W1667" s="30"/>
      <c r="X1667" s="29"/>
      <c r="Y1667" s="29"/>
      <c r="Z1667" s="29"/>
      <c r="AA1667" s="29"/>
      <c r="AB1667" s="29"/>
      <c r="AC1667" s="29"/>
      <c r="AD1667" s="29"/>
      <c r="AE1667" s="29"/>
      <c r="AF1667" s="29"/>
      <c r="AG1667" s="30"/>
      <c r="AH1667" s="29"/>
      <c r="AI1667" s="30"/>
      <c r="AJ1667" s="29"/>
      <c r="AK1667" s="29"/>
      <c r="AL1667" s="29"/>
      <c r="AM1667" s="29"/>
      <c r="AN1667" s="29"/>
      <c r="AO1667" s="29"/>
      <c r="AP1667" s="29"/>
      <c r="AQ1667" s="30"/>
      <c r="AR1667" s="29"/>
      <c r="AS1667" s="29"/>
      <c r="AT1667" s="29"/>
      <c r="AU1667" s="30"/>
      <c r="AV1667" s="29"/>
      <c r="AW1667" s="29"/>
      <c r="AX1667" s="29"/>
      <c r="AY1667" s="29"/>
      <c r="AZ1667" s="29"/>
      <c r="BA1667" s="29"/>
      <c r="BB1667" s="29"/>
      <c r="BC1667" s="29"/>
      <c r="BD1667" s="29"/>
      <c r="BE1667" s="29"/>
      <c r="BF1667" s="29"/>
      <c r="BG1667" s="29"/>
      <c r="BH1667" s="29"/>
      <c r="BI1667" s="29"/>
      <c r="BJ1667" s="29"/>
      <c r="BK1667" s="29"/>
      <c r="BL1667" s="29"/>
      <c r="BM1667" s="29"/>
      <c r="BN1667" s="20">
        <f t="shared" si="190"/>
        <v>0</v>
      </c>
      <c r="BO1667" s="20">
        <f t="shared" si="191"/>
        <v>0</v>
      </c>
      <c r="BP1667" s="20">
        <f t="shared" si="192"/>
        <v>10</v>
      </c>
      <c r="BQ1667" s="51">
        <f t="shared" si="194"/>
        <v>2</v>
      </c>
      <c r="BR1667" s="56" t="s">
        <v>2661</v>
      </c>
      <c r="BS1667" s="91" t="s">
        <v>2662</v>
      </c>
      <c r="BT1667" s="36" t="s">
        <v>2663</v>
      </c>
      <c r="BU1667" s="49" t="s">
        <v>118</v>
      </c>
      <c r="BV1667" s="214" t="s">
        <v>2677</v>
      </c>
    </row>
    <row r="1668" s="1" customFormat="1" customHeight="1" spans="1:74">
      <c r="A1668" s="213" t="s">
        <v>2679</v>
      </c>
      <c r="B1668" s="15">
        <v>200</v>
      </c>
      <c r="C1668" s="16">
        <v>10</v>
      </c>
      <c r="D1668" s="29"/>
      <c r="E1668" s="30"/>
      <c r="F1668" s="29"/>
      <c r="G1668" s="30"/>
      <c r="H1668" s="29"/>
      <c r="I1668" s="30"/>
      <c r="J1668" s="29"/>
      <c r="K1668" s="29"/>
      <c r="L1668" s="29"/>
      <c r="M1668" s="30"/>
      <c r="N1668" s="29"/>
      <c r="O1668" s="29"/>
      <c r="P1668" s="29"/>
      <c r="Q1668" s="29"/>
      <c r="R1668" s="29"/>
      <c r="S1668" s="29"/>
      <c r="T1668" s="29"/>
      <c r="U1668" s="29"/>
      <c r="V1668" s="29"/>
      <c r="W1668" s="30"/>
      <c r="X1668" s="29"/>
      <c r="Y1668" s="29"/>
      <c r="Z1668" s="29"/>
      <c r="AA1668" s="29"/>
      <c r="AB1668" s="29"/>
      <c r="AC1668" s="29"/>
      <c r="AD1668" s="29"/>
      <c r="AE1668" s="29"/>
      <c r="AF1668" s="29"/>
      <c r="AG1668" s="30"/>
      <c r="AH1668" s="29"/>
      <c r="AI1668" s="30"/>
      <c r="AJ1668" s="29"/>
      <c r="AK1668" s="29"/>
      <c r="AL1668" s="29"/>
      <c r="AM1668" s="29"/>
      <c r="AN1668" s="29"/>
      <c r="AO1668" s="29"/>
      <c r="AP1668" s="29"/>
      <c r="AQ1668" s="30"/>
      <c r="AR1668" s="29"/>
      <c r="AS1668" s="29"/>
      <c r="AT1668" s="29"/>
      <c r="AU1668" s="30"/>
      <c r="AV1668" s="29"/>
      <c r="AW1668" s="29"/>
      <c r="AX1668" s="29"/>
      <c r="AY1668" s="29"/>
      <c r="AZ1668" s="29"/>
      <c r="BA1668" s="29"/>
      <c r="BB1668" s="29"/>
      <c r="BC1668" s="29"/>
      <c r="BD1668" s="29"/>
      <c r="BE1668" s="29"/>
      <c r="BF1668" s="29"/>
      <c r="BG1668" s="29"/>
      <c r="BH1668" s="29"/>
      <c r="BI1668" s="29"/>
      <c r="BJ1668" s="29"/>
      <c r="BK1668" s="29"/>
      <c r="BL1668" s="29"/>
      <c r="BM1668" s="29"/>
      <c r="BN1668" s="20">
        <f t="shared" si="190"/>
        <v>0</v>
      </c>
      <c r="BO1668" s="20">
        <f t="shared" si="191"/>
        <v>0</v>
      </c>
      <c r="BP1668" s="20">
        <f t="shared" si="192"/>
        <v>10</v>
      </c>
      <c r="BQ1668" s="51">
        <f t="shared" si="194"/>
        <v>2</v>
      </c>
      <c r="BR1668" s="56" t="s">
        <v>2661</v>
      </c>
      <c r="BS1668" s="91" t="s">
        <v>2662</v>
      </c>
      <c r="BT1668" s="36" t="s">
        <v>2663</v>
      </c>
      <c r="BU1668" s="49" t="s">
        <v>118</v>
      </c>
      <c r="BV1668" s="214" t="s">
        <v>2677</v>
      </c>
    </row>
    <row r="1669" s="1" customFormat="1" customHeight="1" spans="1:74">
      <c r="A1669" s="41"/>
      <c r="B1669" s="15"/>
      <c r="C1669" s="16"/>
      <c r="D1669" s="29"/>
      <c r="E1669" s="30"/>
      <c r="F1669" s="29"/>
      <c r="G1669" s="30"/>
      <c r="H1669" s="29"/>
      <c r="I1669" s="30"/>
      <c r="J1669" s="29"/>
      <c r="K1669" s="29"/>
      <c r="L1669" s="29"/>
      <c r="M1669" s="30"/>
      <c r="N1669" s="29"/>
      <c r="O1669" s="29"/>
      <c r="P1669" s="29"/>
      <c r="Q1669" s="29"/>
      <c r="R1669" s="29"/>
      <c r="S1669" s="29"/>
      <c r="T1669" s="29"/>
      <c r="U1669" s="29"/>
      <c r="V1669" s="29"/>
      <c r="W1669" s="30"/>
      <c r="X1669" s="29"/>
      <c r="Y1669" s="29"/>
      <c r="Z1669" s="29"/>
      <c r="AA1669" s="29"/>
      <c r="AB1669" s="29"/>
      <c r="AC1669" s="29"/>
      <c r="AD1669" s="29"/>
      <c r="AE1669" s="29"/>
      <c r="AF1669" s="29"/>
      <c r="AG1669" s="30"/>
      <c r="AH1669" s="29"/>
      <c r="AI1669" s="30"/>
      <c r="AJ1669" s="29"/>
      <c r="AK1669" s="29"/>
      <c r="AL1669" s="29"/>
      <c r="AM1669" s="29"/>
      <c r="AN1669" s="29"/>
      <c r="AO1669" s="29"/>
      <c r="AP1669" s="29"/>
      <c r="AQ1669" s="30"/>
      <c r="AR1669" s="29"/>
      <c r="AS1669" s="29"/>
      <c r="AT1669" s="29"/>
      <c r="AU1669" s="30"/>
      <c r="AV1669" s="29"/>
      <c r="AW1669" s="29"/>
      <c r="AX1669" s="29"/>
      <c r="AY1669" s="29"/>
      <c r="AZ1669" s="29"/>
      <c r="BA1669" s="29"/>
      <c r="BB1669" s="29"/>
      <c r="BC1669" s="29"/>
      <c r="BD1669" s="29"/>
      <c r="BE1669" s="29"/>
      <c r="BF1669" s="29"/>
      <c r="BG1669" s="29"/>
      <c r="BH1669" s="29"/>
      <c r="BI1669" s="29"/>
      <c r="BJ1669" s="29"/>
      <c r="BK1669" s="29"/>
      <c r="BL1669" s="29"/>
      <c r="BM1669" s="29"/>
      <c r="BN1669" s="20">
        <f t="shared" si="190"/>
        <v>0</v>
      </c>
      <c r="BO1669" s="20">
        <f t="shared" si="191"/>
        <v>0</v>
      </c>
      <c r="BP1669" s="20">
        <f t="shared" si="192"/>
        <v>0</v>
      </c>
      <c r="BQ1669" s="51"/>
      <c r="BR1669" s="56"/>
      <c r="BS1669" s="91"/>
      <c r="BT1669" s="36"/>
      <c r="BU1669" s="49"/>
      <c r="BV1669" s="214"/>
    </row>
    <row r="1670" s="1" customFormat="1" customHeight="1" spans="1:74">
      <c r="A1670" s="213" t="s">
        <v>2680</v>
      </c>
      <c r="B1670" s="15">
        <v>200</v>
      </c>
      <c r="C1670" s="16">
        <v>10</v>
      </c>
      <c r="D1670" s="29"/>
      <c r="E1670" s="30"/>
      <c r="F1670" s="29"/>
      <c r="G1670" s="30"/>
      <c r="H1670" s="29"/>
      <c r="I1670" s="30"/>
      <c r="J1670" s="29"/>
      <c r="K1670" s="29"/>
      <c r="L1670" s="29"/>
      <c r="M1670" s="30"/>
      <c r="N1670" s="29"/>
      <c r="O1670" s="29"/>
      <c r="P1670" s="29"/>
      <c r="Q1670" s="29"/>
      <c r="R1670" s="29"/>
      <c r="S1670" s="29"/>
      <c r="T1670" s="29"/>
      <c r="U1670" s="29"/>
      <c r="V1670" s="29"/>
      <c r="W1670" s="30"/>
      <c r="X1670" s="29"/>
      <c r="Y1670" s="29"/>
      <c r="Z1670" s="29"/>
      <c r="AA1670" s="29"/>
      <c r="AB1670" s="29"/>
      <c r="AC1670" s="29"/>
      <c r="AD1670" s="29"/>
      <c r="AE1670" s="29"/>
      <c r="AF1670" s="29"/>
      <c r="AG1670" s="30"/>
      <c r="AH1670" s="29"/>
      <c r="AI1670" s="30"/>
      <c r="AJ1670" s="29"/>
      <c r="AK1670" s="29"/>
      <c r="AL1670" s="29"/>
      <c r="AM1670" s="29"/>
      <c r="AN1670" s="29"/>
      <c r="AO1670" s="29"/>
      <c r="AP1670" s="29"/>
      <c r="AQ1670" s="30"/>
      <c r="AR1670" s="29"/>
      <c r="AS1670" s="29"/>
      <c r="AT1670" s="29"/>
      <c r="AU1670" s="30"/>
      <c r="AV1670" s="29"/>
      <c r="AW1670" s="29"/>
      <c r="AX1670" s="29"/>
      <c r="AY1670" s="29"/>
      <c r="AZ1670" s="29"/>
      <c r="BA1670" s="29"/>
      <c r="BB1670" s="29"/>
      <c r="BC1670" s="29"/>
      <c r="BD1670" s="29"/>
      <c r="BE1670" s="29"/>
      <c r="BF1670" s="29"/>
      <c r="BG1670" s="29"/>
      <c r="BH1670" s="29"/>
      <c r="BI1670" s="29"/>
      <c r="BJ1670" s="29"/>
      <c r="BK1670" s="29"/>
      <c r="BL1670" s="29"/>
      <c r="BM1670" s="29"/>
      <c r="BN1670" s="20">
        <f t="shared" si="190"/>
        <v>0</v>
      </c>
      <c r="BO1670" s="20">
        <f t="shared" si="191"/>
        <v>0</v>
      </c>
      <c r="BP1670" s="20">
        <f t="shared" si="192"/>
        <v>10</v>
      </c>
      <c r="BQ1670" s="51">
        <f t="shared" ref="BQ1670:BQ1673" si="195">B1670*BP1670/1000</f>
        <v>2</v>
      </c>
      <c r="BR1670" s="56" t="s">
        <v>2661</v>
      </c>
      <c r="BS1670" s="91" t="s">
        <v>2662</v>
      </c>
      <c r="BT1670" s="36" t="s">
        <v>2663</v>
      </c>
      <c r="BU1670" s="49" t="s">
        <v>118</v>
      </c>
      <c r="BV1670" s="214" t="s">
        <v>2681</v>
      </c>
    </row>
    <row r="1671" s="1" customFormat="1" customHeight="1" spans="1:74">
      <c r="A1671" s="213" t="s">
        <v>2682</v>
      </c>
      <c r="B1671" s="15">
        <v>200</v>
      </c>
      <c r="C1671" s="16">
        <v>10</v>
      </c>
      <c r="D1671" s="29"/>
      <c r="E1671" s="30"/>
      <c r="F1671" s="29"/>
      <c r="G1671" s="30"/>
      <c r="H1671" s="29"/>
      <c r="I1671" s="30"/>
      <c r="J1671" s="29"/>
      <c r="K1671" s="29"/>
      <c r="L1671" s="29"/>
      <c r="M1671" s="30"/>
      <c r="N1671" s="29"/>
      <c r="O1671" s="29"/>
      <c r="P1671" s="29"/>
      <c r="Q1671" s="29"/>
      <c r="R1671" s="29"/>
      <c r="S1671" s="29"/>
      <c r="T1671" s="29"/>
      <c r="U1671" s="29"/>
      <c r="V1671" s="29"/>
      <c r="W1671" s="30"/>
      <c r="X1671" s="29"/>
      <c r="Y1671" s="29"/>
      <c r="Z1671" s="29"/>
      <c r="AA1671" s="29"/>
      <c r="AB1671" s="29"/>
      <c r="AC1671" s="29"/>
      <c r="AD1671" s="29"/>
      <c r="AE1671" s="29"/>
      <c r="AF1671" s="29"/>
      <c r="AG1671" s="30"/>
      <c r="AH1671" s="29"/>
      <c r="AI1671" s="30"/>
      <c r="AJ1671" s="29"/>
      <c r="AK1671" s="29"/>
      <c r="AL1671" s="29"/>
      <c r="AM1671" s="29"/>
      <c r="AN1671" s="29"/>
      <c r="AO1671" s="29"/>
      <c r="AP1671" s="29"/>
      <c r="AQ1671" s="30"/>
      <c r="AR1671" s="29"/>
      <c r="AS1671" s="29"/>
      <c r="AT1671" s="29"/>
      <c r="AU1671" s="30"/>
      <c r="AV1671" s="29"/>
      <c r="AW1671" s="29"/>
      <c r="AX1671" s="29"/>
      <c r="AY1671" s="29"/>
      <c r="AZ1671" s="29"/>
      <c r="BA1671" s="29"/>
      <c r="BB1671" s="29"/>
      <c r="BC1671" s="29"/>
      <c r="BD1671" s="29"/>
      <c r="BE1671" s="29"/>
      <c r="BF1671" s="29"/>
      <c r="BG1671" s="29"/>
      <c r="BH1671" s="29"/>
      <c r="BI1671" s="29"/>
      <c r="BJ1671" s="29"/>
      <c r="BK1671" s="29"/>
      <c r="BL1671" s="29"/>
      <c r="BM1671" s="29"/>
      <c r="BN1671" s="20">
        <f t="shared" si="190"/>
        <v>0</v>
      </c>
      <c r="BO1671" s="20">
        <f t="shared" si="191"/>
        <v>0</v>
      </c>
      <c r="BP1671" s="20">
        <f t="shared" si="192"/>
        <v>10</v>
      </c>
      <c r="BQ1671" s="51">
        <f t="shared" si="195"/>
        <v>2</v>
      </c>
      <c r="BR1671" s="56" t="s">
        <v>2661</v>
      </c>
      <c r="BS1671" s="91" t="s">
        <v>2662</v>
      </c>
      <c r="BT1671" s="36" t="s">
        <v>2663</v>
      </c>
      <c r="BU1671" s="49" t="s">
        <v>118</v>
      </c>
      <c r="BV1671" s="214" t="s">
        <v>2681</v>
      </c>
    </row>
    <row r="1672" s="1" customFormat="1" customHeight="1" spans="1:74">
      <c r="A1672" s="213" t="s">
        <v>2683</v>
      </c>
      <c r="B1672" s="15">
        <v>200</v>
      </c>
      <c r="C1672" s="16">
        <v>10</v>
      </c>
      <c r="D1672" s="29"/>
      <c r="E1672" s="30"/>
      <c r="F1672" s="29"/>
      <c r="G1672" s="30"/>
      <c r="H1672" s="29"/>
      <c r="I1672" s="30"/>
      <c r="J1672" s="29"/>
      <c r="K1672" s="29"/>
      <c r="L1672" s="29"/>
      <c r="M1672" s="30"/>
      <c r="N1672" s="29"/>
      <c r="O1672" s="29"/>
      <c r="P1672" s="29"/>
      <c r="Q1672" s="29"/>
      <c r="R1672" s="29"/>
      <c r="S1672" s="29"/>
      <c r="T1672" s="29"/>
      <c r="U1672" s="29"/>
      <c r="V1672" s="29"/>
      <c r="W1672" s="30"/>
      <c r="X1672" s="29"/>
      <c r="Y1672" s="29"/>
      <c r="Z1672" s="29"/>
      <c r="AA1672" s="29"/>
      <c r="AB1672" s="29"/>
      <c r="AC1672" s="29"/>
      <c r="AD1672" s="29"/>
      <c r="AE1672" s="29"/>
      <c r="AF1672" s="29"/>
      <c r="AG1672" s="30"/>
      <c r="AH1672" s="29"/>
      <c r="AI1672" s="30"/>
      <c r="AJ1672" s="29"/>
      <c r="AK1672" s="29"/>
      <c r="AL1672" s="29"/>
      <c r="AM1672" s="29"/>
      <c r="AN1672" s="29"/>
      <c r="AO1672" s="29"/>
      <c r="AP1672" s="29"/>
      <c r="AQ1672" s="30"/>
      <c r="AR1672" s="29"/>
      <c r="AS1672" s="29"/>
      <c r="AT1672" s="29"/>
      <c r="AU1672" s="30"/>
      <c r="AV1672" s="29"/>
      <c r="AW1672" s="29"/>
      <c r="AX1672" s="29"/>
      <c r="AY1672" s="29"/>
      <c r="AZ1672" s="29"/>
      <c r="BA1672" s="29"/>
      <c r="BB1672" s="29"/>
      <c r="BC1672" s="29"/>
      <c r="BD1672" s="29"/>
      <c r="BE1672" s="29"/>
      <c r="BF1672" s="29"/>
      <c r="BG1672" s="29"/>
      <c r="BH1672" s="29"/>
      <c r="BI1672" s="29"/>
      <c r="BJ1672" s="29"/>
      <c r="BK1672" s="29"/>
      <c r="BL1672" s="29"/>
      <c r="BM1672" s="29"/>
      <c r="BN1672" s="20">
        <f t="shared" si="190"/>
        <v>0</v>
      </c>
      <c r="BO1672" s="20">
        <f t="shared" si="191"/>
        <v>0</v>
      </c>
      <c r="BP1672" s="20">
        <f t="shared" si="192"/>
        <v>10</v>
      </c>
      <c r="BQ1672" s="51">
        <f t="shared" si="195"/>
        <v>2</v>
      </c>
      <c r="BR1672" s="56" t="s">
        <v>2661</v>
      </c>
      <c r="BS1672" s="91" t="s">
        <v>2662</v>
      </c>
      <c r="BT1672" s="36" t="s">
        <v>2663</v>
      </c>
      <c r="BU1672" s="49" t="s">
        <v>118</v>
      </c>
      <c r="BV1672" s="214" t="s">
        <v>2681</v>
      </c>
    </row>
    <row r="1673" s="1" customFormat="1" customHeight="1" spans="1:74">
      <c r="A1673" s="213" t="s">
        <v>2684</v>
      </c>
      <c r="B1673" s="15">
        <v>200</v>
      </c>
      <c r="C1673" s="16">
        <v>10</v>
      </c>
      <c r="D1673" s="29"/>
      <c r="E1673" s="30"/>
      <c r="F1673" s="29"/>
      <c r="G1673" s="30"/>
      <c r="H1673" s="29"/>
      <c r="I1673" s="30"/>
      <c r="J1673" s="29"/>
      <c r="K1673" s="29"/>
      <c r="L1673" s="29"/>
      <c r="M1673" s="30"/>
      <c r="N1673" s="29"/>
      <c r="O1673" s="29"/>
      <c r="P1673" s="29"/>
      <c r="Q1673" s="29"/>
      <c r="R1673" s="29"/>
      <c r="S1673" s="29"/>
      <c r="T1673" s="29"/>
      <c r="U1673" s="29"/>
      <c r="V1673" s="29"/>
      <c r="W1673" s="30"/>
      <c r="X1673" s="29"/>
      <c r="Y1673" s="29"/>
      <c r="Z1673" s="29"/>
      <c r="AA1673" s="29"/>
      <c r="AB1673" s="29"/>
      <c r="AC1673" s="29"/>
      <c r="AD1673" s="29"/>
      <c r="AE1673" s="29"/>
      <c r="AF1673" s="29"/>
      <c r="AG1673" s="30"/>
      <c r="AH1673" s="29"/>
      <c r="AI1673" s="30"/>
      <c r="AJ1673" s="29"/>
      <c r="AK1673" s="29"/>
      <c r="AL1673" s="29"/>
      <c r="AM1673" s="29"/>
      <c r="AN1673" s="29"/>
      <c r="AO1673" s="29"/>
      <c r="AP1673" s="29"/>
      <c r="AQ1673" s="30"/>
      <c r="AR1673" s="29"/>
      <c r="AS1673" s="29"/>
      <c r="AT1673" s="29"/>
      <c r="AU1673" s="30"/>
      <c r="AV1673" s="29"/>
      <c r="AW1673" s="29"/>
      <c r="AX1673" s="29"/>
      <c r="AY1673" s="29"/>
      <c r="AZ1673" s="29"/>
      <c r="BA1673" s="29"/>
      <c r="BB1673" s="29"/>
      <c r="BC1673" s="29"/>
      <c r="BD1673" s="29"/>
      <c r="BE1673" s="29"/>
      <c r="BF1673" s="29"/>
      <c r="BG1673" s="29"/>
      <c r="BH1673" s="29"/>
      <c r="BI1673" s="29"/>
      <c r="BJ1673" s="29"/>
      <c r="BK1673" s="29"/>
      <c r="BL1673" s="29"/>
      <c r="BM1673" s="29"/>
      <c r="BN1673" s="20">
        <f t="shared" si="190"/>
        <v>0</v>
      </c>
      <c r="BO1673" s="20">
        <f t="shared" si="191"/>
        <v>0</v>
      </c>
      <c r="BP1673" s="20">
        <f t="shared" si="192"/>
        <v>10</v>
      </c>
      <c r="BQ1673" s="51">
        <f t="shared" si="195"/>
        <v>2</v>
      </c>
      <c r="BR1673" s="56" t="s">
        <v>2661</v>
      </c>
      <c r="BS1673" s="91" t="s">
        <v>2662</v>
      </c>
      <c r="BT1673" s="36" t="s">
        <v>2663</v>
      </c>
      <c r="BU1673" s="49" t="s">
        <v>118</v>
      </c>
      <c r="BV1673" s="214" t="s">
        <v>2681</v>
      </c>
    </row>
    <row r="1674" s="1" customFormat="1" customHeight="1" spans="1:74">
      <c r="A1674" s="15"/>
      <c r="B1674" s="15"/>
      <c r="C1674" s="16"/>
      <c r="D1674" s="16"/>
      <c r="E1674" s="117"/>
      <c r="F1674" s="29"/>
      <c r="G1674" s="29"/>
      <c r="H1674" s="16"/>
      <c r="I1674" s="16"/>
      <c r="J1674" s="16"/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215"/>
      <c r="W1674" s="215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17"/>
      <c r="AH1674" s="16"/>
      <c r="AI1674" s="16"/>
      <c r="AJ1674" s="16"/>
      <c r="AK1674" s="117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6"/>
      <c r="BE1674" s="16"/>
      <c r="BF1674" s="16"/>
      <c r="BG1674" s="16"/>
      <c r="BH1674" s="16"/>
      <c r="BI1674" s="16"/>
      <c r="BJ1674" s="16"/>
      <c r="BK1674" s="16"/>
      <c r="BL1674" s="16"/>
      <c r="BM1674" s="16"/>
      <c r="BN1674" s="20"/>
      <c r="BO1674" s="20"/>
      <c r="BP1674" s="20"/>
      <c r="BQ1674" s="51"/>
      <c r="BR1674" s="56"/>
      <c r="BS1674" s="111"/>
      <c r="BT1674" s="36"/>
      <c r="BU1674" s="112"/>
    </row>
    <row r="1675" s="1" customFormat="1" customHeight="1" spans="1:74">
      <c r="A1675" s="15"/>
      <c r="B1675" s="15"/>
      <c r="C1675" s="16"/>
      <c r="D1675" s="16"/>
      <c r="E1675" s="117"/>
      <c r="F1675" s="16"/>
      <c r="G1675" s="16"/>
      <c r="H1675" s="16"/>
      <c r="I1675" s="16"/>
      <c r="J1675" s="16"/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215"/>
      <c r="W1675" s="215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17"/>
      <c r="AH1675" s="16"/>
      <c r="AI1675" s="16"/>
      <c r="AJ1675" s="16"/>
      <c r="AK1675" s="117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  <c r="BG1675" s="16"/>
      <c r="BH1675" s="16"/>
      <c r="BI1675" s="16"/>
      <c r="BJ1675" s="16"/>
      <c r="BK1675" s="16"/>
      <c r="BL1675" s="16"/>
      <c r="BM1675" s="16"/>
      <c r="BN1675" s="20"/>
      <c r="BO1675" s="20"/>
      <c r="BP1675" s="20"/>
      <c r="BQ1675" s="51"/>
      <c r="BR1675" s="56"/>
      <c r="BS1675" s="111"/>
      <c r="BT1675" s="36" t="s">
        <v>926</v>
      </c>
      <c r="BU1675" s="112"/>
    </row>
    <row r="1676" s="1" customFormat="1" customHeight="1" spans="1:74">
      <c r="A1676" s="15"/>
      <c r="B1676" s="15"/>
      <c r="C1676" s="16"/>
      <c r="D1676" s="16"/>
      <c r="E1676" s="117"/>
      <c r="F1676" s="16"/>
      <c r="G1676" s="16"/>
      <c r="H1676" s="16"/>
      <c r="I1676" s="16"/>
      <c r="J1676" s="16"/>
      <c r="K1676" s="16"/>
      <c r="L1676" s="16"/>
      <c r="M1676" s="16"/>
      <c r="N1676" s="16"/>
      <c r="O1676" s="16"/>
      <c r="P1676" s="16"/>
      <c r="Q1676" s="16"/>
      <c r="R1676" s="16"/>
      <c r="S1676" s="16"/>
      <c r="T1676" s="16"/>
      <c r="U1676" s="16"/>
      <c r="V1676" s="215"/>
      <c r="W1676" s="215"/>
      <c r="X1676" s="16"/>
      <c r="Y1676" s="16"/>
      <c r="Z1676" s="16"/>
      <c r="AA1676" s="16"/>
      <c r="AB1676" s="16"/>
      <c r="AC1676" s="16"/>
      <c r="AD1676" s="16"/>
      <c r="AE1676" s="16"/>
      <c r="AF1676" s="16"/>
      <c r="AG1676" s="117"/>
      <c r="AH1676" s="16"/>
      <c r="AI1676" s="16"/>
      <c r="AJ1676" s="16"/>
      <c r="AK1676" s="117"/>
      <c r="AL1676" s="16"/>
      <c r="AM1676" s="16"/>
      <c r="AN1676" s="16"/>
      <c r="AO1676" s="16"/>
      <c r="AP1676" s="16"/>
      <c r="AQ1676" s="16"/>
      <c r="AR1676" s="16"/>
      <c r="AS1676" s="16"/>
      <c r="AT1676" s="16"/>
      <c r="AU1676" s="16"/>
      <c r="AV1676" s="16"/>
      <c r="AW1676" s="16"/>
      <c r="AX1676" s="16"/>
      <c r="AY1676" s="16"/>
      <c r="AZ1676" s="16"/>
      <c r="BA1676" s="16"/>
      <c r="BB1676" s="16"/>
      <c r="BC1676" s="16"/>
      <c r="BD1676" s="16"/>
      <c r="BE1676" s="16"/>
      <c r="BF1676" s="16"/>
      <c r="BG1676" s="16"/>
      <c r="BH1676" s="16"/>
      <c r="BI1676" s="16"/>
      <c r="BJ1676" s="16"/>
      <c r="BK1676" s="16"/>
      <c r="BL1676" s="16"/>
      <c r="BM1676" s="16"/>
      <c r="BN1676" s="20"/>
      <c r="BO1676" s="20"/>
      <c r="BP1676" s="20"/>
      <c r="BQ1676" s="51"/>
      <c r="BR1676" s="56"/>
      <c r="BS1676" s="111"/>
      <c r="BT1676" s="36"/>
      <c r="BU1676" s="112"/>
    </row>
    <row r="1677" s="1" customFormat="1" customHeight="1" spans="1:74">
      <c r="A1677" s="15"/>
      <c r="B1677" s="15"/>
      <c r="C1677" s="16"/>
      <c r="D1677" s="16"/>
      <c r="E1677" s="117"/>
      <c r="F1677" s="16"/>
      <c r="G1677" s="16"/>
      <c r="H1677" s="16"/>
      <c r="I1677" s="16"/>
      <c r="J1677" s="16"/>
      <c r="K1677" s="16"/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215"/>
      <c r="W1677" s="215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17"/>
      <c r="AH1677" s="16"/>
      <c r="AI1677" s="16"/>
      <c r="AJ1677" s="16"/>
      <c r="AK1677" s="117"/>
      <c r="AL1677" s="16"/>
      <c r="AM1677" s="16"/>
      <c r="AN1677" s="16"/>
      <c r="AO1677" s="16"/>
      <c r="AP1677" s="16"/>
      <c r="AQ1677" s="16"/>
      <c r="AR1677" s="16"/>
      <c r="AS1677" s="16"/>
      <c r="AT1677" s="16"/>
      <c r="AU1677" s="16"/>
      <c r="AV1677" s="16"/>
      <c r="AW1677" s="16"/>
      <c r="AX1677" s="16"/>
      <c r="AY1677" s="16"/>
      <c r="AZ1677" s="16"/>
      <c r="BA1677" s="16"/>
      <c r="BB1677" s="16"/>
      <c r="BC1677" s="16"/>
      <c r="BD1677" s="16"/>
      <c r="BE1677" s="16"/>
      <c r="BF1677" s="16"/>
      <c r="BG1677" s="16"/>
      <c r="BH1677" s="16"/>
      <c r="BI1677" s="16"/>
      <c r="BJ1677" s="16"/>
      <c r="BK1677" s="16"/>
      <c r="BL1677" s="16"/>
      <c r="BM1677" s="16"/>
      <c r="BN1677" s="20"/>
      <c r="BO1677" s="20"/>
      <c r="BP1677" s="20"/>
      <c r="BQ1677" s="51"/>
      <c r="BR1677" s="56"/>
      <c r="BS1677" s="111"/>
      <c r="BT1677" s="36"/>
      <c r="BU1677" s="112"/>
    </row>
    <row r="1678" s="1" customFormat="1" customHeight="1" spans="1:74">
      <c r="A1678" s="15"/>
      <c r="B1678" s="15"/>
      <c r="C1678" s="16"/>
      <c r="D1678" s="16"/>
      <c r="E1678" s="117"/>
      <c r="F1678" s="16"/>
      <c r="G1678" s="16"/>
      <c r="H1678" s="16"/>
      <c r="I1678" s="16"/>
      <c r="J1678" s="16"/>
      <c r="K1678" s="16"/>
      <c r="L1678" s="16"/>
      <c r="M1678" s="16"/>
      <c r="N1678" s="16"/>
      <c r="O1678" s="16"/>
      <c r="P1678" s="16"/>
      <c r="Q1678" s="16"/>
      <c r="R1678" s="16"/>
      <c r="S1678" s="16"/>
      <c r="T1678" s="16"/>
      <c r="U1678" s="16"/>
      <c r="V1678" s="215"/>
      <c r="W1678" s="215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17"/>
      <c r="AH1678" s="16"/>
      <c r="AI1678" s="16"/>
      <c r="AJ1678" s="16"/>
      <c r="AK1678" s="117"/>
      <c r="AL1678" s="16"/>
      <c r="AM1678" s="16"/>
      <c r="AN1678" s="16"/>
      <c r="AO1678" s="16"/>
      <c r="AP1678" s="16"/>
      <c r="AQ1678" s="16"/>
      <c r="AR1678" s="16"/>
      <c r="AS1678" s="16"/>
      <c r="AT1678" s="16"/>
      <c r="AU1678" s="16"/>
      <c r="AV1678" s="16"/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20"/>
      <c r="BO1678" s="20"/>
      <c r="BP1678" s="20"/>
      <c r="BQ1678" s="51"/>
      <c r="BR1678" s="56"/>
      <c r="BS1678" s="111"/>
      <c r="BT1678" s="36"/>
      <c r="BU1678" s="112"/>
    </row>
    <row r="1679" s="1" customFormat="1" customHeight="1" spans="1:74">
      <c r="A1679" s="15"/>
      <c r="B1679" s="15"/>
      <c r="C1679" s="16"/>
      <c r="D1679" s="16"/>
      <c r="E1679" s="117"/>
      <c r="F1679" s="16"/>
      <c r="G1679" s="16"/>
      <c r="H1679" s="16"/>
      <c r="I1679" s="16"/>
      <c r="J1679" s="16"/>
      <c r="K1679" s="16"/>
      <c r="L1679" s="16"/>
      <c r="M1679" s="16"/>
      <c r="N1679" s="16"/>
      <c r="O1679" s="16"/>
      <c r="P1679" s="16"/>
      <c r="Q1679" s="16"/>
      <c r="R1679" s="16"/>
      <c r="S1679" s="16"/>
      <c r="T1679" s="16"/>
      <c r="U1679" s="16"/>
      <c r="V1679" s="215"/>
      <c r="W1679" s="215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17"/>
      <c r="AH1679" s="16"/>
      <c r="AI1679" s="16"/>
      <c r="AJ1679" s="16"/>
      <c r="AK1679" s="117"/>
      <c r="AL1679" s="16"/>
      <c r="AM1679" s="16"/>
      <c r="AN1679" s="16"/>
      <c r="AO1679" s="16"/>
      <c r="AP1679" s="16"/>
      <c r="AQ1679" s="16"/>
      <c r="AR1679" s="16"/>
      <c r="AS1679" s="16"/>
      <c r="AT1679" s="16"/>
      <c r="AU1679" s="16"/>
      <c r="AV1679" s="16"/>
      <c r="AW1679" s="16"/>
      <c r="AX1679" s="16"/>
      <c r="AY1679" s="16"/>
      <c r="AZ1679" s="16"/>
      <c r="BA1679" s="16"/>
      <c r="BB1679" s="16"/>
      <c r="BC1679" s="16"/>
      <c r="BD1679" s="16"/>
      <c r="BE1679" s="16"/>
      <c r="BF1679" s="16"/>
      <c r="BG1679" s="16"/>
      <c r="BH1679" s="16"/>
      <c r="BI1679" s="16"/>
      <c r="BJ1679" s="16"/>
      <c r="BK1679" s="16"/>
      <c r="BL1679" s="16"/>
      <c r="BM1679" s="16"/>
      <c r="BN1679" s="20"/>
      <c r="BO1679" s="20"/>
      <c r="BP1679" s="20"/>
      <c r="BQ1679" s="51"/>
      <c r="BR1679" s="56"/>
      <c r="BS1679" s="111"/>
      <c r="BT1679" s="36"/>
      <c r="BU1679" s="112"/>
    </row>
    <row r="1680" s="1" customFormat="1" ht="40.5" customHeight="1" spans="1:74">
      <c r="A1680" s="216" t="s">
        <v>2685</v>
      </c>
      <c r="B1680" s="216"/>
      <c r="C1680" s="216"/>
      <c r="D1680" s="216"/>
      <c r="E1680" s="216"/>
      <c r="F1680" s="216"/>
      <c r="G1680" s="216"/>
      <c r="H1680" s="216"/>
      <c r="I1680" s="216"/>
      <c r="J1680" s="216"/>
      <c r="K1680" s="216"/>
      <c r="L1680" s="216"/>
      <c r="M1680" s="216"/>
      <c r="N1680" s="216"/>
      <c r="O1680" s="216"/>
      <c r="P1680" s="216"/>
      <c r="Q1680" s="216"/>
      <c r="R1680" s="216"/>
      <c r="S1680" s="216"/>
      <c r="T1680" s="216"/>
      <c r="U1680" s="216"/>
      <c r="V1680" s="216"/>
      <c r="W1680" s="216"/>
      <c r="X1680" s="216"/>
      <c r="Y1680" s="216"/>
      <c r="Z1680" s="216"/>
      <c r="AA1680" s="216"/>
      <c r="AB1680" s="216"/>
      <c r="AC1680" s="216"/>
      <c r="AD1680" s="216"/>
      <c r="AE1680" s="216"/>
      <c r="AF1680" s="216"/>
      <c r="AG1680" s="216"/>
      <c r="AH1680" s="216"/>
      <c r="AI1680" s="216"/>
      <c r="AJ1680" s="216"/>
      <c r="AK1680" s="216"/>
      <c r="AL1680" s="216"/>
      <c r="AM1680" s="216"/>
      <c r="AN1680" s="216"/>
      <c r="AO1680" s="216"/>
      <c r="AP1680" s="216"/>
      <c r="AQ1680" s="216"/>
      <c r="AR1680" s="216"/>
      <c r="AS1680" s="216"/>
      <c r="AT1680" s="216"/>
      <c r="AU1680" s="216"/>
      <c r="AV1680" s="216"/>
      <c r="AW1680" s="216"/>
      <c r="AX1680" s="216"/>
      <c r="AY1680" s="216"/>
      <c r="AZ1680" s="216"/>
      <c r="BA1680" s="216"/>
      <c r="BB1680" s="216"/>
      <c r="BC1680" s="216"/>
      <c r="BD1680" s="216"/>
      <c r="BE1680" s="216"/>
      <c r="BF1680" s="216"/>
      <c r="BG1680" s="216"/>
      <c r="BH1680" s="216"/>
      <c r="BI1680" s="216"/>
      <c r="BJ1680" s="216"/>
      <c r="BK1680" s="216"/>
      <c r="BL1680" s="216"/>
      <c r="BM1680" s="216"/>
      <c r="BN1680" s="216"/>
      <c r="BO1680" s="216"/>
      <c r="BP1680" s="216"/>
      <c r="BQ1680" s="216"/>
      <c r="BR1680" s="216"/>
      <c r="BS1680" s="216"/>
      <c r="BT1680" s="216"/>
      <c r="BU1680" s="49"/>
    </row>
    <row r="1681" s="1" customFormat="1" customHeight="1" spans="1:73">
      <c r="A1681" s="136" t="s">
        <v>2686</v>
      </c>
      <c r="B1681" s="15" t="s">
        <v>1</v>
      </c>
      <c r="C1681" s="16" t="s">
        <v>2</v>
      </c>
      <c r="D1681" s="17" t="s">
        <v>3</v>
      </c>
      <c r="E1681" s="17"/>
      <c r="F1681" s="17" t="s">
        <v>4</v>
      </c>
      <c r="G1681" s="17"/>
      <c r="H1681" s="17" t="s">
        <v>5</v>
      </c>
      <c r="I1681" s="17"/>
      <c r="J1681" s="17" t="s">
        <v>6</v>
      </c>
      <c r="K1681" s="17"/>
      <c r="L1681" s="17" t="s">
        <v>7</v>
      </c>
      <c r="M1681" s="17"/>
      <c r="N1681" s="17" t="s">
        <v>8</v>
      </c>
      <c r="O1681" s="17"/>
      <c r="P1681" s="17" t="s">
        <v>9</v>
      </c>
      <c r="Q1681" s="17"/>
      <c r="R1681" s="17" t="s">
        <v>10</v>
      </c>
      <c r="S1681" s="17"/>
      <c r="T1681" s="17" t="s">
        <v>11</v>
      </c>
      <c r="U1681" s="17"/>
      <c r="V1681" s="17" t="s">
        <v>12</v>
      </c>
      <c r="W1681" s="17"/>
      <c r="X1681" s="17" t="s">
        <v>13</v>
      </c>
      <c r="Y1681" s="17"/>
      <c r="Z1681" s="17" t="s">
        <v>14</v>
      </c>
      <c r="AA1681" s="17"/>
      <c r="AB1681" s="17" t="s">
        <v>15</v>
      </c>
      <c r="AC1681" s="17"/>
      <c r="AD1681" s="17" t="s">
        <v>16</v>
      </c>
      <c r="AE1681" s="17"/>
      <c r="AF1681" s="17" t="s">
        <v>17</v>
      </c>
      <c r="AG1681" s="17"/>
      <c r="AH1681" s="17" t="s">
        <v>18</v>
      </c>
      <c r="AI1681" s="17"/>
      <c r="AJ1681" s="17" t="s">
        <v>19</v>
      </c>
      <c r="AK1681" s="17"/>
      <c r="AL1681" s="17" t="s">
        <v>20</v>
      </c>
      <c r="AM1681" s="17"/>
      <c r="AN1681" s="17" t="s">
        <v>21</v>
      </c>
      <c r="AO1681" s="17"/>
      <c r="AP1681" s="17" t="s">
        <v>22</v>
      </c>
      <c r="AQ1681" s="17"/>
      <c r="AR1681" s="17" t="s">
        <v>23</v>
      </c>
      <c r="AS1681" s="17"/>
      <c r="AT1681" s="17" t="s">
        <v>24</v>
      </c>
      <c r="AU1681" s="17"/>
      <c r="AV1681" s="17" t="s">
        <v>25</v>
      </c>
      <c r="AW1681" s="17"/>
      <c r="AX1681" s="17" t="s">
        <v>26</v>
      </c>
      <c r="AY1681" s="17"/>
      <c r="AZ1681" s="17" t="s">
        <v>27</v>
      </c>
      <c r="BA1681" s="17"/>
      <c r="BB1681" s="17" t="s">
        <v>28</v>
      </c>
      <c r="BC1681" s="17"/>
      <c r="BD1681" s="17" t="s">
        <v>29</v>
      </c>
      <c r="BE1681" s="17"/>
      <c r="BF1681" s="17" t="s">
        <v>30</v>
      </c>
      <c r="BG1681" s="17"/>
      <c r="BH1681" s="17" t="s">
        <v>31</v>
      </c>
      <c r="BI1681" s="17"/>
      <c r="BJ1681" s="17" t="s">
        <v>32</v>
      </c>
      <c r="BK1681" s="17"/>
      <c r="BL1681" s="17" t="s">
        <v>33</v>
      </c>
      <c r="BM1681" s="17"/>
      <c r="BN1681" s="20" t="s">
        <v>34</v>
      </c>
      <c r="BO1681" s="20" t="s">
        <v>35</v>
      </c>
      <c r="BP1681" s="20" t="s">
        <v>36</v>
      </c>
      <c r="BQ1681" s="21" t="s">
        <v>37</v>
      </c>
      <c r="BR1681" s="32"/>
      <c r="BS1681" s="217" t="s">
        <v>39</v>
      </c>
      <c r="BT1681" s="218" t="s">
        <v>40</v>
      </c>
      <c r="BU1681" s="25" t="s">
        <v>41</v>
      </c>
    </row>
    <row r="1682" s="1" customFormat="1" customHeight="1" spans="1:73">
      <c r="A1682" s="15" t="s">
        <v>42</v>
      </c>
      <c r="B1682" s="15"/>
      <c r="C1682" s="16"/>
      <c r="D1682" s="17" t="s">
        <v>43</v>
      </c>
      <c r="E1682" s="26" t="s">
        <v>44</v>
      </c>
      <c r="F1682" s="17" t="s">
        <v>43</v>
      </c>
      <c r="G1682" s="17" t="s">
        <v>44</v>
      </c>
      <c r="H1682" s="17" t="s">
        <v>43</v>
      </c>
      <c r="I1682" s="17" t="s">
        <v>44</v>
      </c>
      <c r="J1682" s="17" t="s">
        <v>43</v>
      </c>
      <c r="K1682" s="17" t="s">
        <v>44</v>
      </c>
      <c r="L1682" s="17" t="s">
        <v>43</v>
      </c>
      <c r="M1682" s="17" t="s">
        <v>44</v>
      </c>
      <c r="N1682" s="17" t="s">
        <v>43</v>
      </c>
      <c r="O1682" s="17" t="s">
        <v>44</v>
      </c>
      <c r="P1682" s="17" t="s">
        <v>43</v>
      </c>
      <c r="Q1682" s="17" t="s">
        <v>44</v>
      </c>
      <c r="R1682" s="17" t="s">
        <v>43</v>
      </c>
      <c r="S1682" s="17" t="s">
        <v>44</v>
      </c>
      <c r="T1682" s="17" t="s">
        <v>43</v>
      </c>
      <c r="U1682" s="17" t="s">
        <v>44</v>
      </c>
      <c r="V1682" s="17" t="s">
        <v>43</v>
      </c>
      <c r="W1682" s="17" t="s">
        <v>44</v>
      </c>
      <c r="X1682" s="17" t="s">
        <v>43</v>
      </c>
      <c r="Y1682" s="17" t="s">
        <v>44</v>
      </c>
      <c r="Z1682" s="17" t="s">
        <v>43</v>
      </c>
      <c r="AA1682" s="17" t="s">
        <v>44</v>
      </c>
      <c r="AB1682" s="17" t="s">
        <v>43</v>
      </c>
      <c r="AC1682" s="17" t="s">
        <v>44</v>
      </c>
      <c r="AD1682" s="17" t="s">
        <v>43</v>
      </c>
      <c r="AE1682" s="17" t="s">
        <v>44</v>
      </c>
      <c r="AF1682" s="17" t="s">
        <v>43</v>
      </c>
      <c r="AG1682" s="26" t="s">
        <v>44</v>
      </c>
      <c r="AH1682" s="17" t="s">
        <v>43</v>
      </c>
      <c r="AI1682" s="17" t="s">
        <v>44</v>
      </c>
      <c r="AJ1682" s="17" t="s">
        <v>43</v>
      </c>
      <c r="AK1682" s="26" t="s">
        <v>44</v>
      </c>
      <c r="AL1682" s="17" t="s">
        <v>43</v>
      </c>
      <c r="AM1682" s="17" t="s">
        <v>44</v>
      </c>
      <c r="AN1682" s="17" t="s">
        <v>43</v>
      </c>
      <c r="AO1682" s="17" t="s">
        <v>44</v>
      </c>
      <c r="AP1682" s="17" t="s">
        <v>43</v>
      </c>
      <c r="AQ1682" s="17" t="s">
        <v>44</v>
      </c>
      <c r="AR1682" s="17" t="s">
        <v>43</v>
      </c>
      <c r="AS1682" s="17" t="s">
        <v>44</v>
      </c>
      <c r="AT1682" s="17" t="s">
        <v>43</v>
      </c>
      <c r="AU1682" s="17" t="s">
        <v>44</v>
      </c>
      <c r="AV1682" s="17" t="s">
        <v>43</v>
      </c>
      <c r="AW1682" s="17" t="s">
        <v>44</v>
      </c>
      <c r="AX1682" s="17" t="s">
        <v>43</v>
      </c>
      <c r="AY1682" s="17" t="s">
        <v>44</v>
      </c>
      <c r="AZ1682" s="17" t="s">
        <v>43</v>
      </c>
      <c r="BA1682" s="17" t="s">
        <v>44</v>
      </c>
      <c r="BB1682" s="17" t="s">
        <v>43</v>
      </c>
      <c r="BC1682" s="17" t="s">
        <v>44</v>
      </c>
      <c r="BD1682" s="17" t="s">
        <v>43</v>
      </c>
      <c r="BE1682" s="17" t="s">
        <v>44</v>
      </c>
      <c r="BF1682" s="17" t="s">
        <v>43</v>
      </c>
      <c r="BG1682" s="17" t="s">
        <v>44</v>
      </c>
      <c r="BH1682" s="17" t="s">
        <v>43</v>
      </c>
      <c r="BI1682" s="17" t="s">
        <v>44</v>
      </c>
      <c r="BJ1682" s="17" t="s">
        <v>43</v>
      </c>
      <c r="BK1682" s="17" t="s">
        <v>44</v>
      </c>
      <c r="BL1682" s="17" t="s">
        <v>43</v>
      </c>
      <c r="BM1682" s="17" t="s">
        <v>44</v>
      </c>
      <c r="BN1682" s="20"/>
      <c r="BO1682" s="20"/>
      <c r="BP1682" s="20"/>
      <c r="BQ1682" s="21"/>
      <c r="BR1682" s="32"/>
      <c r="BS1682" s="217"/>
      <c r="BT1682" s="218" t="s">
        <v>2687</v>
      </c>
      <c r="BU1682" s="219" t="s">
        <v>48</v>
      </c>
    </row>
    <row r="1683" s="1" customFormat="1" customHeight="1" spans="1:73">
      <c r="A1683" s="58" t="s">
        <v>2688</v>
      </c>
      <c r="B1683" s="220" t="s">
        <v>2689</v>
      </c>
      <c r="C1683" s="16">
        <v>335</v>
      </c>
      <c r="D1683" s="16"/>
      <c r="E1683" s="117"/>
      <c r="F1683" s="29"/>
      <c r="G1683" s="29"/>
      <c r="H1683" s="16"/>
      <c r="I1683" s="16"/>
      <c r="J1683" s="16"/>
      <c r="K1683" s="16"/>
      <c r="L1683" s="16"/>
      <c r="M1683" s="16"/>
      <c r="N1683" s="16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16"/>
      <c r="AG1683" s="117"/>
      <c r="AH1683" s="16"/>
      <c r="AI1683" s="16"/>
      <c r="AJ1683" s="16"/>
      <c r="AK1683" s="117"/>
      <c r="AL1683" s="16"/>
      <c r="AM1683" s="16"/>
      <c r="AN1683" s="16"/>
      <c r="AO1683" s="16"/>
      <c r="AP1683" s="16"/>
      <c r="AQ1683" s="16"/>
      <c r="AR1683" s="16"/>
      <c r="AS1683" s="16"/>
      <c r="AT1683" s="16"/>
      <c r="AU1683" s="16"/>
      <c r="AV1683" s="16"/>
      <c r="AW1683" s="16"/>
      <c r="AX1683" s="16"/>
      <c r="AY1683" s="16"/>
      <c r="AZ1683" s="16"/>
      <c r="BA1683" s="16"/>
      <c r="BB1683" s="16"/>
      <c r="BC1683" s="16"/>
      <c r="BD1683" s="16"/>
      <c r="BE1683" s="16"/>
      <c r="BF1683" s="16"/>
      <c r="BG1683" s="16"/>
      <c r="BH1683" s="16"/>
      <c r="BI1683" s="16"/>
      <c r="BJ1683" s="16"/>
      <c r="BK1683" s="16"/>
      <c r="BL1683" s="16"/>
      <c r="BM1683" s="16"/>
      <c r="BN1683" s="221">
        <f>D1683+F1683+H1683+J1683+L1683+N1683+P1683+R1683+T1683+V1683+X1683+Z1683+AB1683+AD1683+AF1683+AH1683+AJ1683+AL1683+AN1683+AP1683+AR1683+AT1683+AV1683+AX1683+AZ1683+BB1683+BD1683+BF1683+BH1683+BJ1683+BL1683</f>
        <v>0</v>
      </c>
      <c r="BO1683" s="221">
        <f>E1683+G1683+I1683+K1683+M1683+O1683+Q1683+S1683+U1683+W1683+Y1683+AA1683+AC1683+AE1683+AG1683+AI1683+AK1683+AM1683+AO1683+AQ1683+AS1683+AU1683+AW1683+AY1683+BA1683+BC1683+BE1683+BG1683+BI1683+BK1683+BM1683</f>
        <v>0</v>
      </c>
      <c r="BP1683" s="221">
        <f>C1683+BN1683-BO1683</f>
        <v>335</v>
      </c>
      <c r="BQ1683" s="222">
        <f>0.315*0.45*BP1683</f>
        <v>47.48625</v>
      </c>
      <c r="BR1683" s="223" t="s">
        <v>55</v>
      </c>
      <c r="BS1683" s="224" t="s">
        <v>94</v>
      </c>
      <c r="BT1683" s="225" t="s">
        <v>2690</v>
      </c>
      <c r="BU1683" s="35" t="s">
        <v>2691</v>
      </c>
    </row>
    <row r="1684" s="1" customFormat="1" customHeight="1" spans="1:73">
      <c r="A1684" s="220" t="s">
        <v>2692</v>
      </c>
      <c r="B1684" s="220" t="s">
        <v>2693</v>
      </c>
      <c r="C1684" s="16">
        <v>100</v>
      </c>
      <c r="D1684" s="16"/>
      <c r="E1684" s="16"/>
      <c r="F1684" s="29"/>
      <c r="G1684" s="29"/>
      <c r="H1684" s="16"/>
      <c r="I1684" s="16"/>
      <c r="J1684" s="16"/>
      <c r="K1684" s="16"/>
      <c r="L1684" s="16"/>
      <c r="M1684" s="16"/>
      <c r="N1684" s="16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16"/>
      <c r="AP1684" s="16"/>
      <c r="AQ1684" s="16"/>
      <c r="AR1684" s="16"/>
      <c r="AS1684" s="16"/>
      <c r="AT1684" s="16"/>
      <c r="AU1684" s="16"/>
      <c r="AV1684" s="16"/>
      <c r="AW1684" s="16"/>
      <c r="AX1684" s="16"/>
      <c r="AY1684" s="16"/>
      <c r="AZ1684" s="16"/>
      <c r="BA1684" s="16"/>
      <c r="BB1684" s="16"/>
      <c r="BC1684" s="16"/>
      <c r="BD1684" s="16"/>
      <c r="BE1684" s="16"/>
      <c r="BF1684" s="16"/>
      <c r="BG1684" s="16"/>
      <c r="BH1684" s="16"/>
      <c r="BI1684" s="16"/>
      <c r="BJ1684" s="16"/>
      <c r="BK1684" s="16"/>
      <c r="BL1684" s="16"/>
      <c r="BM1684" s="16"/>
      <c r="BN1684" s="221">
        <f>D1684+F1684+H1684+J1684+L1684+N1684+P1684+R1684+T1684+V1684+X1684+Z1684+AB1684+AD1684+AF1684+AH1684+AJ1684+AL1684+AN1684+AP1684+AR1684+AT1684+AV1684+AX1684+AZ1684+BB1684+BD1684+BF1684+BH1684+BJ1684+BL1684</f>
        <v>0</v>
      </c>
      <c r="BO1684" s="221">
        <f>E1684+G1684+I1684+K1684+M1684+O1684+Q1684+S1684+U1684+W1684+Y1684+AA1684+AC1684+AE1684+AG1684+AI1684+AK1684+AM1684+AO1684+AQ1684+AS1684+AU1684+AW1684+AY1684+BA1684+BC1684+BE1684+BG1684+BI1684+BK1684+BM1684</f>
        <v>0</v>
      </c>
      <c r="BP1684" s="221">
        <f>C1684+BN1684-BO1684</f>
        <v>100</v>
      </c>
      <c r="BQ1684" s="226">
        <f>0.39*0.45*BP1684</f>
        <v>17.55</v>
      </c>
      <c r="BR1684" s="227" t="s">
        <v>55</v>
      </c>
      <c r="BS1684" s="224" t="s">
        <v>94</v>
      </c>
      <c r="BT1684" s="225" t="s">
        <v>2690</v>
      </c>
      <c r="BU1684" s="35" t="s">
        <v>2694</v>
      </c>
    </row>
    <row r="1685" s="1" customFormat="1" customHeight="1" spans="1:73">
      <c r="A1685" s="5"/>
      <c r="B1685" s="6"/>
      <c r="C1685" s="6"/>
      <c r="D1685" s="5"/>
      <c r="E1685" s="5"/>
      <c r="F1685" s="5"/>
      <c r="G1685" s="228"/>
      <c r="H1685" s="5"/>
      <c r="I1685" s="5"/>
      <c r="J1685" s="229"/>
      <c r="K1685" s="230"/>
      <c r="L1685" s="230"/>
      <c r="M1685" s="230"/>
      <c r="N1685" s="230"/>
      <c r="O1685" s="230"/>
      <c r="P1685" s="231"/>
      <c r="Q1685" s="230"/>
      <c r="R1685" s="231"/>
      <c r="S1685" s="230"/>
      <c r="T1685" s="230"/>
      <c r="U1685" s="230"/>
      <c r="V1685" s="231"/>
      <c r="W1685" s="231"/>
      <c r="X1685" s="230"/>
      <c r="Y1685" s="231"/>
      <c r="Z1685" s="230"/>
      <c r="AA1685" s="230"/>
      <c r="AB1685" s="230"/>
      <c r="AC1685" s="231"/>
      <c r="AD1685" s="230"/>
      <c r="AE1685" s="230"/>
      <c r="AF1685" s="230"/>
      <c r="AG1685" s="231"/>
      <c r="AH1685" s="230"/>
      <c r="AI1685" s="230"/>
      <c r="AJ1685" s="230"/>
      <c r="AK1685" s="230"/>
      <c r="AL1685" s="230"/>
      <c r="AM1685" s="231"/>
      <c r="AN1685" s="230"/>
      <c r="AO1685" s="231"/>
      <c r="AP1685" s="230"/>
      <c r="AQ1685" s="230"/>
      <c r="AR1685" s="230"/>
      <c r="AS1685" s="230"/>
      <c r="AT1685" s="230"/>
      <c r="AU1685" s="230"/>
      <c r="AV1685" s="230"/>
      <c r="AW1685" s="230"/>
      <c r="AX1685" s="230"/>
      <c r="AY1685" s="231"/>
      <c r="AZ1685" s="230"/>
      <c r="BA1685" s="230"/>
      <c r="BB1685" s="230"/>
      <c r="BC1685" s="230"/>
      <c r="BD1685" s="230"/>
      <c r="BE1685" s="231"/>
      <c r="BF1685" s="230"/>
      <c r="BG1685" s="230"/>
      <c r="BH1685" s="230"/>
      <c r="BI1685" s="231"/>
      <c r="BJ1685" s="230"/>
      <c r="BK1685" s="230"/>
      <c r="BL1685" s="230"/>
      <c r="BM1685" s="230"/>
      <c r="BN1685" s="232"/>
      <c r="BO1685" s="230"/>
      <c r="BP1685" s="232"/>
      <c r="BQ1685" s="230"/>
      <c r="BR1685" s="233"/>
      <c r="BS1685" s="234"/>
      <c r="BT1685" s="235"/>
      <c r="BU1685" s="109"/>
    </row>
    <row r="1686" s="1" customFormat="1" customHeight="1" spans="1:73">
      <c r="A1686" s="5"/>
      <c r="B1686" s="6"/>
      <c r="C1686" s="6"/>
      <c r="D1686" s="5"/>
      <c r="E1686" s="5"/>
      <c r="F1686" s="5"/>
      <c r="G1686" s="228"/>
      <c r="H1686" s="5"/>
      <c r="I1686" s="5"/>
      <c r="J1686" s="10"/>
      <c r="K1686" s="10"/>
      <c r="L1686" s="10"/>
      <c r="M1686" s="10"/>
      <c r="N1686" s="10"/>
      <c r="O1686" s="10"/>
      <c r="P1686" s="236"/>
      <c r="Q1686" s="10"/>
      <c r="R1686" s="236"/>
      <c r="S1686" s="10"/>
      <c r="T1686" s="10"/>
      <c r="U1686" s="10"/>
      <c r="V1686" s="236"/>
      <c r="W1686" s="236"/>
      <c r="X1686" s="10"/>
      <c r="Y1686" s="236"/>
      <c r="Z1686" s="10"/>
      <c r="AA1686" s="10"/>
      <c r="AB1686" s="10"/>
      <c r="AC1686" s="236"/>
      <c r="AD1686" s="10"/>
      <c r="AE1686" s="10"/>
      <c r="AF1686" s="10"/>
      <c r="AG1686" s="236"/>
      <c r="AH1686" s="10"/>
      <c r="AI1686" s="10"/>
      <c r="AJ1686" s="10"/>
      <c r="AK1686" s="10"/>
      <c r="AL1686" s="10"/>
      <c r="AM1686" s="236"/>
      <c r="AN1686" s="10"/>
      <c r="AO1686" s="236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236"/>
      <c r="AZ1686" s="10"/>
      <c r="BA1686" s="10"/>
      <c r="BB1686" s="10"/>
      <c r="BC1686" s="10"/>
      <c r="BD1686" s="10"/>
      <c r="BE1686" s="236"/>
      <c r="BF1686" s="10"/>
      <c r="BG1686" s="10"/>
      <c r="BH1686" s="10"/>
      <c r="BI1686" s="236"/>
      <c r="BJ1686" s="10"/>
      <c r="BK1686" s="10"/>
      <c r="BL1686" s="10"/>
      <c r="BM1686" s="10"/>
      <c r="BN1686" s="8"/>
      <c r="BO1686" s="10"/>
      <c r="BP1686" s="8"/>
      <c r="BQ1686" s="10"/>
      <c r="BR1686" s="11"/>
      <c r="BS1686" s="12"/>
      <c r="BT1686" s="13"/>
      <c r="BU1686" s="8"/>
    </row>
    <row r="1687" s="1" customFormat="1" customHeight="1" spans="1:73">
      <c r="A1687" s="5"/>
      <c r="B1687" s="6"/>
      <c r="C1687" s="6"/>
      <c r="D1687" s="5"/>
      <c r="E1687" s="5"/>
      <c r="F1687" s="5"/>
      <c r="G1687" s="228"/>
      <c r="H1687" s="5"/>
      <c r="I1687" s="5"/>
      <c r="J1687" s="10"/>
      <c r="K1687" s="10"/>
      <c r="L1687" s="10"/>
      <c r="M1687" s="10"/>
      <c r="N1687" s="10"/>
      <c r="O1687" s="10"/>
      <c r="P1687" s="236"/>
      <c r="Q1687" s="10"/>
      <c r="R1687" s="236"/>
      <c r="S1687" s="10"/>
      <c r="T1687" s="10"/>
      <c r="U1687" s="10"/>
      <c r="V1687" s="236"/>
      <c r="W1687" s="236"/>
      <c r="X1687" s="10"/>
      <c r="Y1687" s="236"/>
      <c r="Z1687" s="10"/>
      <c r="AA1687" s="10"/>
      <c r="AB1687" s="10"/>
      <c r="AC1687" s="236"/>
      <c r="AD1687" s="10"/>
      <c r="AE1687" s="10"/>
      <c r="AF1687" s="10"/>
      <c r="AG1687" s="236"/>
      <c r="AH1687" s="10"/>
      <c r="AI1687" s="10"/>
      <c r="AJ1687" s="10"/>
      <c r="AK1687" s="10"/>
      <c r="AL1687" s="10"/>
      <c r="AM1687" s="236"/>
      <c r="AN1687" s="10"/>
      <c r="AO1687" s="236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236"/>
      <c r="AZ1687" s="10"/>
      <c r="BA1687" s="10"/>
      <c r="BB1687" s="10"/>
      <c r="BC1687" s="10"/>
      <c r="BD1687" s="10"/>
      <c r="BE1687" s="236"/>
      <c r="BF1687" s="10"/>
      <c r="BG1687" s="10"/>
      <c r="BH1687" s="10"/>
      <c r="BI1687" s="236"/>
      <c r="BJ1687" s="10"/>
      <c r="BK1687" s="10"/>
      <c r="BL1687" s="10"/>
      <c r="BM1687" s="10"/>
      <c r="BN1687" s="8"/>
      <c r="BO1687" s="10"/>
      <c r="BP1687" s="8"/>
      <c r="BQ1687" s="10"/>
      <c r="BR1687" s="11"/>
      <c r="BS1687" s="12"/>
      <c r="BT1687" s="13"/>
      <c r="BU1687" s="8"/>
    </row>
    <row r="1688" s="1" customFormat="1" customHeight="1" spans="1:73">
      <c r="A1688" s="5"/>
      <c r="B1688" s="6"/>
      <c r="C1688" s="6"/>
      <c r="D1688" s="5"/>
      <c r="E1688" s="5"/>
      <c r="F1688" s="5"/>
      <c r="G1688" s="228"/>
      <c r="H1688" s="5"/>
      <c r="I1688" s="5"/>
      <c r="J1688" s="10"/>
      <c r="K1688" s="10"/>
      <c r="L1688" s="10"/>
      <c r="M1688" s="10"/>
      <c r="N1688" s="10"/>
      <c r="O1688" s="10"/>
      <c r="P1688" s="236"/>
      <c r="Q1688" s="10"/>
      <c r="R1688" s="236"/>
      <c r="S1688" s="10"/>
      <c r="T1688" s="10"/>
      <c r="U1688" s="10"/>
      <c r="V1688" s="236"/>
      <c r="W1688" s="236"/>
      <c r="X1688" s="10"/>
      <c r="Y1688" s="236"/>
      <c r="Z1688" s="10"/>
      <c r="AA1688" s="10"/>
      <c r="AB1688" s="10"/>
      <c r="AC1688" s="236"/>
      <c r="AD1688" s="10"/>
      <c r="AE1688" s="10"/>
      <c r="AF1688" s="10"/>
      <c r="AG1688" s="236"/>
      <c r="AH1688" s="10"/>
      <c r="AI1688" s="10"/>
      <c r="AJ1688" s="10"/>
      <c r="AK1688" s="10"/>
      <c r="AL1688" s="10"/>
      <c r="AM1688" s="236"/>
      <c r="AN1688" s="10"/>
      <c r="AO1688" s="236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236"/>
      <c r="AZ1688" s="10"/>
      <c r="BA1688" s="10"/>
      <c r="BB1688" s="10"/>
      <c r="BC1688" s="10"/>
      <c r="BD1688" s="10"/>
      <c r="BE1688" s="236"/>
      <c r="BF1688" s="10"/>
      <c r="BG1688" s="10"/>
      <c r="BH1688" s="10"/>
      <c r="BI1688" s="236"/>
      <c r="BJ1688" s="10"/>
      <c r="BK1688" s="10"/>
      <c r="BL1688" s="10"/>
      <c r="BM1688" s="10"/>
      <c r="BN1688" s="8"/>
      <c r="BO1688" s="10"/>
      <c r="BP1688" s="8"/>
      <c r="BQ1688" s="10"/>
      <c r="BR1688" s="11"/>
      <c r="BS1688" s="12"/>
      <c r="BT1688" s="13"/>
      <c r="BU1688" s="8"/>
    </row>
    <row r="1689" s="1" customFormat="1" customHeight="1" spans="1:73">
      <c r="A1689" s="5"/>
      <c r="B1689" s="6"/>
      <c r="C1689" s="6"/>
      <c r="D1689" s="5"/>
      <c r="E1689" s="5"/>
      <c r="F1689" s="5"/>
      <c r="G1689" s="228"/>
      <c r="H1689" s="5"/>
      <c r="I1689" s="5"/>
      <c r="J1689" s="10"/>
      <c r="K1689" s="10"/>
      <c r="L1689" s="10"/>
      <c r="M1689" s="10"/>
      <c r="N1689" s="10"/>
      <c r="O1689" s="10"/>
      <c r="P1689" s="236"/>
      <c r="Q1689" s="10"/>
      <c r="R1689" s="236"/>
      <c r="S1689" s="10"/>
      <c r="T1689" s="10"/>
      <c r="U1689" s="10"/>
      <c r="V1689" s="236"/>
      <c r="W1689" s="236"/>
      <c r="X1689" s="10"/>
      <c r="Y1689" s="236"/>
      <c r="Z1689" s="10"/>
      <c r="AA1689" s="10"/>
      <c r="AB1689" s="10"/>
      <c r="AC1689" s="236"/>
      <c r="AD1689" s="10"/>
      <c r="AE1689" s="10"/>
      <c r="AF1689" s="10"/>
      <c r="AG1689" s="236"/>
      <c r="AH1689" s="10"/>
      <c r="AI1689" s="10"/>
      <c r="AJ1689" s="10"/>
      <c r="AK1689" s="10"/>
      <c r="AL1689" s="10"/>
      <c r="AM1689" s="236"/>
      <c r="AN1689" s="10"/>
      <c r="AO1689" s="236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236"/>
      <c r="AZ1689" s="10"/>
      <c r="BA1689" s="10"/>
      <c r="BB1689" s="10"/>
      <c r="BC1689" s="10"/>
      <c r="BD1689" s="10"/>
      <c r="BE1689" s="236"/>
      <c r="BF1689" s="10"/>
      <c r="BG1689" s="10"/>
      <c r="BH1689" s="10"/>
      <c r="BI1689" s="236"/>
      <c r="BJ1689" s="10"/>
      <c r="BK1689" s="10"/>
      <c r="BL1689" s="10"/>
      <c r="BM1689" s="10"/>
      <c r="BN1689" s="8"/>
      <c r="BO1689" s="10"/>
      <c r="BP1689" s="8"/>
      <c r="BQ1689" s="10"/>
      <c r="BR1689" s="11"/>
      <c r="BS1689" s="12"/>
      <c r="BT1689" s="13"/>
      <c r="BU1689" s="8"/>
    </row>
    <row r="1690" s="1" customFormat="1" customHeight="1" spans="1:73">
      <c r="A1690" s="5"/>
      <c r="B1690" s="6"/>
      <c r="C1690" s="6"/>
      <c r="D1690" s="5"/>
      <c r="E1690" s="5"/>
      <c r="F1690" s="5"/>
      <c r="G1690" s="228"/>
      <c r="H1690" s="5"/>
      <c r="I1690" s="5"/>
      <c r="J1690" s="10"/>
      <c r="K1690" s="10"/>
      <c r="L1690" s="10"/>
      <c r="M1690" s="10"/>
      <c r="N1690" s="10"/>
      <c r="O1690" s="10"/>
      <c r="P1690" s="236"/>
      <c r="Q1690" s="10"/>
      <c r="R1690" s="236"/>
      <c r="S1690" s="10"/>
      <c r="T1690" s="10"/>
      <c r="U1690" s="10"/>
      <c r="V1690" s="236"/>
      <c r="W1690" s="236"/>
      <c r="X1690" s="10"/>
      <c r="Y1690" s="236"/>
      <c r="Z1690" s="10"/>
      <c r="AA1690" s="10"/>
      <c r="AB1690" s="10"/>
      <c r="AC1690" s="236"/>
      <c r="AD1690" s="10"/>
      <c r="AE1690" s="10"/>
      <c r="AF1690" s="10"/>
      <c r="AG1690" s="236"/>
      <c r="AH1690" s="10"/>
      <c r="AI1690" s="10"/>
      <c r="AJ1690" s="10"/>
      <c r="AK1690" s="10"/>
      <c r="AL1690" s="10"/>
      <c r="AM1690" s="236"/>
      <c r="AN1690" s="10"/>
      <c r="AO1690" s="236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236"/>
      <c r="AZ1690" s="10"/>
      <c r="BA1690" s="10"/>
      <c r="BB1690" s="10"/>
      <c r="BC1690" s="10"/>
      <c r="BD1690" s="10"/>
      <c r="BE1690" s="236"/>
      <c r="BF1690" s="10"/>
      <c r="BG1690" s="10"/>
      <c r="BH1690" s="10"/>
      <c r="BI1690" s="236"/>
      <c r="BJ1690" s="10"/>
      <c r="BK1690" s="10"/>
      <c r="BL1690" s="10"/>
      <c r="BM1690" s="10"/>
      <c r="BN1690" s="8"/>
      <c r="BO1690" s="10"/>
      <c r="BP1690" s="8"/>
      <c r="BQ1690" s="10"/>
      <c r="BR1690" s="11"/>
      <c r="BS1690" s="12"/>
      <c r="BT1690" s="13"/>
      <c r="BU1690" s="8"/>
    </row>
    <row r="1691" s="1" customFormat="1" customHeight="1" spans="1:73">
      <c r="A1691" s="5"/>
      <c r="B1691" s="6"/>
      <c r="C1691" s="6"/>
      <c r="D1691" s="5"/>
      <c r="E1691" s="5"/>
      <c r="F1691" s="5"/>
      <c r="G1691" s="228"/>
      <c r="H1691" s="5"/>
      <c r="I1691" s="5"/>
      <c r="J1691" s="10"/>
      <c r="K1691" s="10"/>
      <c r="L1691" s="10"/>
      <c r="M1691" s="10"/>
      <c r="N1691" s="10"/>
      <c r="O1691" s="10"/>
      <c r="P1691" s="236"/>
      <c r="Q1691" s="10"/>
      <c r="R1691" s="236"/>
      <c r="S1691" s="10"/>
      <c r="T1691" s="10"/>
      <c r="U1691" s="10"/>
      <c r="V1691" s="236"/>
      <c r="W1691" s="236"/>
      <c r="X1691" s="10"/>
      <c r="Y1691" s="236"/>
      <c r="Z1691" s="10"/>
      <c r="AA1691" s="10"/>
      <c r="AB1691" s="10"/>
      <c r="AC1691" s="236"/>
      <c r="AD1691" s="10"/>
      <c r="AE1691" s="10"/>
      <c r="AF1691" s="10"/>
      <c r="AG1691" s="236"/>
      <c r="AH1691" s="10"/>
      <c r="AI1691" s="10"/>
      <c r="AJ1691" s="10"/>
      <c r="AK1691" s="10"/>
      <c r="AL1691" s="10"/>
      <c r="AM1691" s="236"/>
      <c r="AN1691" s="10"/>
      <c r="AO1691" s="236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236"/>
      <c r="AZ1691" s="10"/>
      <c r="BA1691" s="10"/>
      <c r="BB1691" s="10"/>
      <c r="BC1691" s="10"/>
      <c r="BD1691" s="10"/>
      <c r="BE1691" s="236"/>
      <c r="BF1691" s="10"/>
      <c r="BG1691" s="10"/>
      <c r="BH1691" s="10"/>
      <c r="BI1691" s="236"/>
      <c r="BJ1691" s="10"/>
      <c r="BK1691" s="10"/>
      <c r="BL1691" s="10"/>
      <c r="BM1691" s="10"/>
      <c r="BN1691" s="8"/>
      <c r="BO1691" s="10"/>
      <c r="BP1691" s="8"/>
      <c r="BQ1691" s="10"/>
      <c r="BR1691" s="11"/>
      <c r="BS1691" s="12"/>
      <c r="BT1691" s="13"/>
      <c r="BU1691" s="8"/>
    </row>
    <row r="1692" s="1" customFormat="1" customHeight="1" spans="1:73">
      <c r="A1692" s="5"/>
      <c r="B1692" s="6"/>
      <c r="C1692" s="6"/>
      <c r="D1692" s="5"/>
      <c r="E1692" s="5"/>
      <c r="F1692" s="5"/>
      <c r="G1692" s="228"/>
      <c r="H1692" s="5"/>
      <c r="I1692" s="5"/>
      <c r="J1692" s="10"/>
      <c r="K1692" s="10"/>
      <c r="L1692" s="10"/>
      <c r="M1692" s="10"/>
      <c r="N1692" s="10"/>
      <c r="O1692" s="10"/>
      <c r="P1692" s="236"/>
      <c r="Q1692" s="10"/>
      <c r="R1692" s="236"/>
      <c r="S1692" s="10"/>
      <c r="T1692" s="10"/>
      <c r="U1692" s="10"/>
      <c r="V1692" s="236"/>
      <c r="W1692" s="236"/>
      <c r="X1692" s="10"/>
      <c r="Y1692" s="236"/>
      <c r="Z1692" s="10"/>
      <c r="AA1692" s="10"/>
      <c r="AB1692" s="10"/>
      <c r="AC1692" s="236"/>
      <c r="AD1692" s="10"/>
      <c r="AE1692" s="10"/>
      <c r="AF1692" s="10"/>
      <c r="AG1692" s="236"/>
      <c r="AH1692" s="10"/>
      <c r="AI1692" s="10"/>
      <c r="AJ1692" s="10"/>
      <c r="AK1692" s="10"/>
      <c r="AL1692" s="10"/>
      <c r="AM1692" s="236"/>
      <c r="AN1692" s="10"/>
      <c r="AO1692" s="236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236"/>
      <c r="AZ1692" s="10"/>
      <c r="BA1692" s="10"/>
      <c r="BB1692" s="10"/>
      <c r="BC1692" s="10"/>
      <c r="BD1692" s="10"/>
      <c r="BE1692" s="236"/>
      <c r="BF1692" s="10"/>
      <c r="BG1692" s="10"/>
      <c r="BH1692" s="10"/>
      <c r="BI1692" s="236"/>
      <c r="BJ1692" s="10"/>
      <c r="BK1692" s="10"/>
      <c r="BL1692" s="10"/>
      <c r="BM1692" s="10"/>
      <c r="BN1692" s="8"/>
      <c r="BO1692" s="10"/>
      <c r="BP1692" s="8"/>
      <c r="BQ1692" s="10"/>
      <c r="BR1692" s="11"/>
      <c r="BS1692" s="12"/>
      <c r="BT1692" s="13"/>
      <c r="BU1692" s="8"/>
    </row>
    <row r="1693" s="1" customFormat="1" customHeight="1" spans="1:73">
      <c r="A1693" s="5"/>
      <c r="B1693" s="6"/>
      <c r="C1693" s="6"/>
      <c r="D1693" s="5"/>
      <c r="E1693" s="5"/>
      <c r="F1693" s="5"/>
      <c r="G1693" s="228"/>
      <c r="H1693" s="5"/>
      <c r="I1693" s="5"/>
      <c r="J1693" s="10"/>
      <c r="K1693" s="10"/>
      <c r="L1693" s="10"/>
      <c r="M1693" s="10"/>
      <c r="N1693" s="10"/>
      <c r="O1693" s="10"/>
      <c r="P1693" s="236"/>
      <c r="Q1693" s="10"/>
      <c r="R1693" s="236"/>
      <c r="S1693" s="10"/>
      <c r="T1693" s="10"/>
      <c r="U1693" s="10"/>
      <c r="V1693" s="236"/>
      <c r="W1693" s="236"/>
      <c r="X1693" s="10"/>
      <c r="Y1693" s="236"/>
      <c r="Z1693" s="10"/>
      <c r="AA1693" s="10"/>
      <c r="AB1693" s="10"/>
      <c r="AC1693" s="236"/>
      <c r="AD1693" s="10"/>
      <c r="AE1693" s="10"/>
      <c r="AF1693" s="10"/>
      <c r="AG1693" s="236"/>
      <c r="AH1693" s="10"/>
      <c r="AI1693" s="10"/>
      <c r="AJ1693" s="10"/>
      <c r="AK1693" s="10"/>
      <c r="AL1693" s="10"/>
      <c r="AM1693" s="236"/>
      <c r="AN1693" s="10"/>
      <c r="AO1693" s="236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236"/>
      <c r="AZ1693" s="10"/>
      <c r="BA1693" s="10"/>
      <c r="BB1693" s="10"/>
      <c r="BC1693" s="10"/>
      <c r="BD1693" s="10"/>
      <c r="BE1693" s="236"/>
      <c r="BF1693" s="10"/>
      <c r="BG1693" s="10"/>
      <c r="BH1693" s="10"/>
      <c r="BI1693" s="236"/>
      <c r="BJ1693" s="10"/>
      <c r="BK1693" s="10"/>
      <c r="BL1693" s="10"/>
      <c r="BM1693" s="10"/>
      <c r="BN1693" s="8"/>
      <c r="BO1693" s="10"/>
      <c r="BP1693" s="8"/>
      <c r="BQ1693" s="10"/>
      <c r="BR1693" s="11"/>
      <c r="BS1693" s="12"/>
      <c r="BT1693" s="13"/>
      <c r="BU1693" s="8"/>
    </row>
    <row r="1694" s="1" customFormat="1" customHeight="1" spans="1:73">
      <c r="A1694" s="5"/>
      <c r="B1694" s="6"/>
      <c r="C1694" s="6"/>
      <c r="D1694" s="5"/>
      <c r="E1694" s="5"/>
      <c r="F1694" s="5"/>
      <c r="G1694" s="228"/>
      <c r="H1694" s="5"/>
      <c r="I1694" s="5"/>
      <c r="J1694" s="10"/>
      <c r="K1694" s="10"/>
      <c r="L1694" s="10"/>
      <c r="M1694" s="10"/>
      <c r="N1694" s="10"/>
      <c r="O1694" s="10"/>
      <c r="P1694" s="236"/>
      <c r="Q1694" s="10"/>
      <c r="R1694" s="236"/>
      <c r="S1694" s="10"/>
      <c r="T1694" s="10"/>
      <c r="U1694" s="10"/>
      <c r="V1694" s="236"/>
      <c r="W1694" s="236"/>
      <c r="X1694" s="10"/>
      <c r="Y1694" s="236"/>
      <c r="Z1694" s="10"/>
      <c r="AA1694" s="10"/>
      <c r="AB1694" s="10"/>
      <c r="AC1694" s="236"/>
      <c r="AD1694" s="10"/>
      <c r="AE1694" s="10"/>
      <c r="AF1694" s="10"/>
      <c r="AG1694" s="236"/>
      <c r="AH1694" s="10"/>
      <c r="AI1694" s="10"/>
      <c r="AJ1694" s="10"/>
      <c r="AK1694" s="10"/>
      <c r="AL1694" s="10"/>
      <c r="AM1694" s="236"/>
      <c r="AN1694" s="10"/>
      <c r="AO1694" s="236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236"/>
      <c r="AZ1694" s="10"/>
      <c r="BA1694" s="10"/>
      <c r="BB1694" s="10"/>
      <c r="BC1694" s="10"/>
      <c r="BD1694" s="10"/>
      <c r="BE1694" s="236"/>
      <c r="BF1694" s="10"/>
      <c r="BG1694" s="10"/>
      <c r="BH1694" s="10"/>
      <c r="BI1694" s="236"/>
      <c r="BJ1694" s="10"/>
      <c r="BK1694" s="10"/>
      <c r="BL1694" s="10"/>
      <c r="BM1694" s="10"/>
      <c r="BN1694" s="8"/>
      <c r="BO1694" s="10"/>
      <c r="BP1694" s="8"/>
      <c r="BQ1694" s="10"/>
      <c r="BR1694" s="11"/>
      <c r="BS1694" s="12"/>
      <c r="BT1694" s="13"/>
      <c r="BU1694" s="8"/>
    </row>
    <row r="1695" s="1" customFormat="1" customHeight="1" spans="1:73">
      <c r="A1695" s="5"/>
      <c r="B1695" s="6"/>
      <c r="C1695" s="6"/>
      <c r="D1695" s="5"/>
      <c r="E1695" s="5"/>
      <c r="F1695" s="5"/>
      <c r="G1695" s="228"/>
      <c r="H1695" s="5"/>
      <c r="I1695" s="5"/>
      <c r="J1695" s="10"/>
      <c r="K1695" s="10"/>
      <c r="L1695" s="10"/>
      <c r="M1695" s="10"/>
      <c r="N1695" s="10"/>
      <c r="O1695" s="10"/>
      <c r="P1695" s="236"/>
      <c r="Q1695" s="10"/>
      <c r="R1695" s="236"/>
      <c r="S1695" s="10"/>
      <c r="T1695" s="10"/>
      <c r="U1695" s="10"/>
      <c r="V1695" s="236"/>
      <c r="W1695" s="236"/>
      <c r="X1695" s="10"/>
      <c r="Y1695" s="236"/>
      <c r="Z1695" s="10"/>
      <c r="AA1695" s="10"/>
      <c r="AB1695" s="10"/>
      <c r="AC1695" s="236"/>
      <c r="AD1695" s="10"/>
      <c r="AE1695" s="10"/>
      <c r="AF1695" s="10"/>
      <c r="AG1695" s="236"/>
      <c r="AH1695" s="10"/>
      <c r="AI1695" s="10"/>
      <c r="AJ1695" s="10"/>
      <c r="AK1695" s="10"/>
      <c r="AL1695" s="10"/>
      <c r="AM1695" s="236"/>
      <c r="AN1695" s="10"/>
      <c r="AO1695" s="236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236"/>
      <c r="AZ1695" s="10"/>
      <c r="BA1695" s="10"/>
      <c r="BB1695" s="10"/>
      <c r="BC1695" s="10"/>
      <c r="BD1695" s="10"/>
      <c r="BE1695" s="236"/>
      <c r="BF1695" s="10"/>
      <c r="BG1695" s="10"/>
      <c r="BH1695" s="10"/>
      <c r="BI1695" s="236"/>
      <c r="BJ1695" s="10"/>
      <c r="BK1695" s="10"/>
      <c r="BL1695" s="10"/>
      <c r="BM1695" s="10"/>
      <c r="BN1695" s="8"/>
      <c r="BO1695" s="10"/>
      <c r="BP1695" s="8"/>
      <c r="BQ1695" s="10"/>
      <c r="BR1695" s="11"/>
      <c r="BS1695" s="12"/>
      <c r="BT1695" s="13"/>
      <c r="BU1695" s="8"/>
    </row>
    <row r="1696" s="1" customFormat="1" customHeight="1" spans="1:73">
      <c r="A1696" s="5"/>
      <c r="B1696" s="6"/>
      <c r="C1696" s="6"/>
      <c r="D1696" s="5"/>
      <c r="E1696" s="5"/>
      <c r="F1696" s="5"/>
      <c r="G1696" s="228"/>
      <c r="H1696" s="5"/>
      <c r="I1696" s="5"/>
      <c r="J1696" s="10"/>
      <c r="K1696" s="10"/>
      <c r="L1696" s="10"/>
      <c r="M1696" s="10"/>
      <c r="N1696" s="10"/>
      <c r="O1696" s="10"/>
      <c r="P1696" s="236"/>
      <c r="Q1696" s="10"/>
      <c r="R1696" s="236"/>
      <c r="S1696" s="10"/>
      <c r="T1696" s="10"/>
      <c r="U1696" s="10"/>
      <c r="V1696" s="236"/>
      <c r="W1696" s="236"/>
      <c r="X1696" s="10"/>
      <c r="Y1696" s="236"/>
      <c r="Z1696" s="10"/>
      <c r="AA1696" s="10"/>
      <c r="AB1696" s="10"/>
      <c r="AC1696" s="236"/>
      <c r="AD1696" s="10"/>
      <c r="AE1696" s="10"/>
      <c r="AF1696" s="10"/>
      <c r="AG1696" s="236"/>
      <c r="AH1696" s="10"/>
      <c r="AI1696" s="10"/>
      <c r="AJ1696" s="10"/>
      <c r="AK1696" s="10"/>
      <c r="AL1696" s="10"/>
      <c r="AM1696" s="236"/>
      <c r="AN1696" s="10"/>
      <c r="AO1696" s="236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236"/>
      <c r="AZ1696" s="10"/>
      <c r="BA1696" s="10"/>
      <c r="BB1696" s="10"/>
      <c r="BC1696" s="10"/>
      <c r="BD1696" s="10"/>
      <c r="BE1696" s="236"/>
      <c r="BF1696" s="10"/>
      <c r="BG1696" s="10"/>
      <c r="BH1696" s="10"/>
      <c r="BI1696" s="236"/>
      <c r="BJ1696" s="10"/>
      <c r="BK1696" s="10"/>
      <c r="BL1696" s="10"/>
      <c r="BM1696" s="10"/>
      <c r="BN1696" s="8"/>
      <c r="BO1696" s="10"/>
      <c r="BP1696" s="8"/>
      <c r="BQ1696" s="10"/>
      <c r="BR1696" s="11"/>
      <c r="BS1696" s="12"/>
      <c r="BT1696" s="13"/>
      <c r="BU1696" s="8"/>
    </row>
    <row r="1697" s="1" customFormat="1" customHeight="1" spans="1:73">
      <c r="A1697" s="5"/>
      <c r="B1697" s="6"/>
      <c r="C1697" s="6"/>
      <c r="D1697" s="5"/>
      <c r="E1697" s="5"/>
      <c r="F1697" s="5"/>
      <c r="G1697" s="228"/>
      <c r="H1697" s="5"/>
      <c r="I1697" s="5"/>
      <c r="J1697" s="10"/>
      <c r="K1697" s="10"/>
      <c r="L1697" s="10"/>
      <c r="M1697" s="10"/>
      <c r="N1697" s="10"/>
      <c r="O1697" s="10"/>
      <c r="P1697" s="236"/>
      <c r="Q1697" s="10"/>
      <c r="R1697" s="236"/>
      <c r="S1697" s="10"/>
      <c r="T1697" s="10"/>
      <c r="U1697" s="10"/>
      <c r="V1697" s="236"/>
      <c r="W1697" s="236"/>
      <c r="X1697" s="10"/>
      <c r="Y1697" s="236"/>
      <c r="Z1697" s="10"/>
      <c r="AA1697" s="10"/>
      <c r="AB1697" s="10"/>
      <c r="AC1697" s="236"/>
      <c r="AD1697" s="10"/>
      <c r="AE1697" s="10"/>
      <c r="AF1697" s="10"/>
      <c r="AG1697" s="236"/>
      <c r="AH1697" s="10"/>
      <c r="AI1697" s="10"/>
      <c r="AJ1697" s="10"/>
      <c r="AK1697" s="10"/>
      <c r="AL1697" s="10"/>
      <c r="AM1697" s="236"/>
      <c r="AN1697" s="10"/>
      <c r="AO1697" s="236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236"/>
      <c r="AZ1697" s="10"/>
      <c r="BA1697" s="10"/>
      <c r="BB1697" s="10"/>
      <c r="BC1697" s="10"/>
      <c r="BD1697" s="10"/>
      <c r="BE1697" s="236"/>
      <c r="BF1697" s="10"/>
      <c r="BG1697" s="10"/>
      <c r="BH1697" s="10"/>
      <c r="BI1697" s="236"/>
      <c r="BJ1697" s="10"/>
      <c r="BK1697" s="10"/>
      <c r="BL1697" s="10"/>
      <c r="BM1697" s="10"/>
      <c r="BN1697" s="8"/>
      <c r="BO1697" s="10"/>
      <c r="BP1697" s="8"/>
      <c r="BQ1697" s="10"/>
      <c r="BR1697" s="11"/>
      <c r="BS1697" s="12"/>
      <c r="BT1697" s="13"/>
      <c r="BU1697" s="8"/>
    </row>
    <row r="1698" s="1" customFormat="1" customHeight="1" spans="1:73">
      <c r="A1698" s="5"/>
      <c r="B1698" s="6"/>
      <c r="C1698" s="6"/>
      <c r="D1698" s="5"/>
      <c r="E1698" s="5"/>
      <c r="F1698" s="5"/>
      <c r="G1698" s="228"/>
      <c r="H1698" s="5"/>
      <c r="I1698" s="5"/>
      <c r="J1698" s="10"/>
      <c r="K1698" s="10"/>
      <c r="L1698" s="10"/>
      <c r="M1698" s="10"/>
      <c r="N1698" s="10"/>
      <c r="O1698" s="10"/>
      <c r="P1698" s="236"/>
      <c r="Q1698" s="10"/>
      <c r="R1698" s="236"/>
      <c r="S1698" s="10"/>
      <c r="T1698" s="10"/>
      <c r="U1698" s="10"/>
      <c r="V1698" s="236"/>
      <c r="W1698" s="236"/>
      <c r="X1698" s="10"/>
      <c r="Y1698" s="236"/>
      <c r="Z1698" s="10"/>
      <c r="AA1698" s="10"/>
      <c r="AB1698" s="10"/>
      <c r="AC1698" s="236"/>
      <c r="AD1698" s="10"/>
      <c r="AE1698" s="10"/>
      <c r="AF1698" s="10"/>
      <c r="AG1698" s="236"/>
      <c r="AH1698" s="10"/>
      <c r="AI1698" s="10"/>
      <c r="AJ1698" s="10"/>
      <c r="AK1698" s="10"/>
      <c r="AL1698" s="10"/>
      <c r="AM1698" s="236"/>
      <c r="AN1698" s="10"/>
      <c r="AO1698" s="236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236"/>
      <c r="AZ1698" s="10"/>
      <c r="BA1698" s="10"/>
      <c r="BB1698" s="10"/>
      <c r="BC1698" s="10"/>
      <c r="BD1698" s="10"/>
      <c r="BE1698" s="236"/>
      <c r="BF1698" s="10"/>
      <c r="BG1698" s="10"/>
      <c r="BH1698" s="10"/>
      <c r="BI1698" s="236"/>
      <c r="BJ1698" s="10"/>
      <c r="BK1698" s="10"/>
      <c r="BL1698" s="10"/>
      <c r="BM1698" s="10"/>
      <c r="BN1698" s="8"/>
      <c r="BO1698" s="10"/>
      <c r="BP1698" s="8"/>
      <c r="BQ1698" s="10"/>
      <c r="BR1698" s="11"/>
      <c r="BS1698" s="12"/>
      <c r="BT1698" s="13"/>
      <c r="BU1698" s="8"/>
    </row>
    <row r="1699" s="1" customFormat="1" customHeight="1" spans="1:73">
      <c r="A1699" s="5"/>
      <c r="B1699" s="6"/>
      <c r="C1699" s="6"/>
      <c r="D1699" s="5"/>
      <c r="E1699" s="5"/>
      <c r="F1699" s="5"/>
      <c r="G1699" s="228"/>
      <c r="H1699" s="5"/>
      <c r="I1699" s="5"/>
      <c r="J1699" s="10"/>
      <c r="K1699" s="10"/>
      <c r="L1699" s="10"/>
      <c r="M1699" s="10"/>
      <c r="N1699" s="10"/>
      <c r="O1699" s="10"/>
      <c r="P1699" s="236"/>
      <c r="Q1699" s="10"/>
      <c r="R1699" s="236"/>
      <c r="S1699" s="10"/>
      <c r="T1699" s="10"/>
      <c r="U1699" s="10"/>
      <c r="V1699" s="236"/>
      <c r="W1699" s="236"/>
      <c r="X1699" s="10"/>
      <c r="Y1699" s="236"/>
      <c r="Z1699" s="10"/>
      <c r="AA1699" s="10"/>
      <c r="AB1699" s="10"/>
      <c r="AC1699" s="236"/>
      <c r="AD1699" s="10"/>
      <c r="AE1699" s="10"/>
      <c r="AF1699" s="10"/>
      <c r="AG1699" s="236"/>
      <c r="AH1699" s="10"/>
      <c r="AI1699" s="10"/>
      <c r="AJ1699" s="10"/>
      <c r="AK1699" s="10"/>
      <c r="AL1699" s="10"/>
      <c r="AM1699" s="236"/>
      <c r="AN1699" s="10"/>
      <c r="AO1699" s="236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236"/>
      <c r="AZ1699" s="10"/>
      <c r="BA1699" s="10"/>
      <c r="BB1699" s="10"/>
      <c r="BC1699" s="10"/>
      <c r="BD1699" s="10"/>
      <c r="BE1699" s="236"/>
      <c r="BF1699" s="10"/>
      <c r="BG1699" s="10"/>
      <c r="BH1699" s="10"/>
      <c r="BI1699" s="236"/>
      <c r="BJ1699" s="10"/>
      <c r="BK1699" s="10"/>
      <c r="BL1699" s="10"/>
      <c r="BM1699" s="10"/>
      <c r="BN1699" s="8"/>
      <c r="BO1699" s="10"/>
      <c r="BP1699" s="8"/>
      <c r="BQ1699" s="10"/>
      <c r="BR1699" s="11"/>
      <c r="BS1699" s="12"/>
      <c r="BT1699" s="13"/>
      <c r="BU1699" s="8"/>
    </row>
    <row r="1700" s="1" customFormat="1" customHeight="1" spans="1:73">
      <c r="A1700" s="5"/>
      <c r="B1700" s="6"/>
      <c r="C1700" s="6"/>
      <c r="D1700" s="5"/>
      <c r="E1700" s="5"/>
      <c r="F1700" s="5"/>
      <c r="G1700" s="228"/>
      <c r="H1700" s="5"/>
      <c r="I1700" s="5"/>
      <c r="J1700" s="10"/>
      <c r="K1700" s="10"/>
      <c r="L1700" s="10"/>
      <c r="M1700" s="10"/>
      <c r="N1700" s="10"/>
      <c r="O1700" s="10"/>
      <c r="P1700" s="236"/>
      <c r="Q1700" s="10"/>
      <c r="R1700" s="236"/>
      <c r="S1700" s="10"/>
      <c r="T1700" s="10"/>
      <c r="U1700" s="10"/>
      <c r="V1700" s="236"/>
      <c r="W1700" s="236"/>
      <c r="X1700" s="10"/>
      <c r="Y1700" s="236"/>
      <c r="Z1700" s="10"/>
      <c r="AA1700" s="10"/>
      <c r="AB1700" s="10"/>
      <c r="AC1700" s="236"/>
      <c r="AD1700" s="10"/>
      <c r="AE1700" s="10"/>
      <c r="AF1700" s="10"/>
      <c r="AG1700" s="236"/>
      <c r="AH1700" s="10"/>
      <c r="AI1700" s="10"/>
      <c r="AJ1700" s="10"/>
      <c r="AK1700" s="10"/>
      <c r="AL1700" s="10"/>
      <c r="AM1700" s="236"/>
      <c r="AN1700" s="10"/>
      <c r="AO1700" s="236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236"/>
      <c r="AZ1700" s="10"/>
      <c r="BA1700" s="10"/>
      <c r="BB1700" s="10"/>
      <c r="BC1700" s="10"/>
      <c r="BD1700" s="10"/>
      <c r="BE1700" s="236"/>
      <c r="BF1700" s="10"/>
      <c r="BG1700" s="10"/>
      <c r="BH1700" s="10"/>
      <c r="BI1700" s="236"/>
      <c r="BJ1700" s="10"/>
      <c r="BK1700" s="10"/>
      <c r="BL1700" s="10"/>
      <c r="BM1700" s="10"/>
      <c r="BN1700" s="8"/>
      <c r="BO1700" s="10"/>
      <c r="BP1700" s="8"/>
      <c r="BQ1700" s="10"/>
      <c r="BR1700" s="11"/>
      <c r="BS1700" s="12"/>
      <c r="BT1700" s="13"/>
      <c r="BU1700" s="8"/>
    </row>
    <row r="1701" s="1" customFormat="1" customHeight="1" spans="1:73">
      <c r="A1701" s="5"/>
      <c r="B1701" s="6"/>
      <c r="C1701" s="6"/>
      <c r="D1701" s="5"/>
      <c r="E1701" s="5"/>
      <c r="F1701" s="5"/>
      <c r="G1701" s="228"/>
      <c r="H1701" s="5"/>
      <c r="I1701" s="5"/>
      <c r="J1701" s="10"/>
      <c r="K1701" s="10"/>
      <c r="L1701" s="10"/>
      <c r="M1701" s="10"/>
      <c r="N1701" s="10"/>
      <c r="O1701" s="10"/>
      <c r="P1701" s="236"/>
      <c r="Q1701" s="10"/>
      <c r="R1701" s="236"/>
      <c r="S1701" s="10"/>
      <c r="T1701" s="10"/>
      <c r="U1701" s="10"/>
      <c r="V1701" s="236"/>
      <c r="W1701" s="236"/>
      <c r="X1701" s="10"/>
      <c r="Y1701" s="236"/>
      <c r="Z1701" s="10"/>
      <c r="AA1701" s="10"/>
      <c r="AB1701" s="10"/>
      <c r="AC1701" s="236"/>
      <c r="AD1701" s="10"/>
      <c r="AE1701" s="10"/>
      <c r="AF1701" s="10"/>
      <c r="AG1701" s="236"/>
      <c r="AH1701" s="10"/>
      <c r="AI1701" s="10"/>
      <c r="AJ1701" s="10"/>
      <c r="AK1701" s="10"/>
      <c r="AL1701" s="10"/>
      <c r="AM1701" s="236"/>
      <c r="AN1701" s="10"/>
      <c r="AO1701" s="236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236"/>
      <c r="AZ1701" s="10"/>
      <c r="BA1701" s="10"/>
      <c r="BB1701" s="10"/>
      <c r="BC1701" s="10"/>
      <c r="BD1701" s="10"/>
      <c r="BE1701" s="236"/>
      <c r="BF1701" s="10"/>
      <c r="BG1701" s="10"/>
      <c r="BH1701" s="10"/>
      <c r="BI1701" s="236"/>
      <c r="BJ1701" s="10"/>
      <c r="BK1701" s="10"/>
      <c r="BL1701" s="10"/>
      <c r="BM1701" s="10"/>
      <c r="BN1701" s="8"/>
      <c r="BO1701" s="10"/>
      <c r="BP1701" s="8"/>
      <c r="BQ1701" s="10"/>
      <c r="BR1701" s="11"/>
      <c r="BS1701" s="12"/>
      <c r="BT1701" s="13"/>
      <c r="BU1701" s="8"/>
    </row>
    <row r="1702" s="1" customFormat="1" customHeight="1" spans="1:73">
      <c r="A1702" s="5"/>
      <c r="B1702" s="6"/>
      <c r="C1702" s="6"/>
      <c r="D1702" s="5"/>
      <c r="E1702" s="5"/>
      <c r="F1702" s="5"/>
      <c r="G1702" s="228"/>
      <c r="H1702" s="5"/>
      <c r="I1702" s="5"/>
      <c r="J1702" s="10"/>
      <c r="K1702" s="10"/>
      <c r="L1702" s="10"/>
      <c r="M1702" s="10"/>
      <c r="N1702" s="10"/>
      <c r="O1702" s="10"/>
      <c r="P1702" s="236"/>
      <c r="Q1702" s="10"/>
      <c r="R1702" s="236"/>
      <c r="S1702" s="10"/>
      <c r="T1702" s="10"/>
      <c r="U1702" s="10"/>
      <c r="V1702" s="236"/>
      <c r="W1702" s="236"/>
      <c r="X1702" s="10"/>
      <c r="Y1702" s="236"/>
      <c r="Z1702" s="10"/>
      <c r="AA1702" s="10"/>
      <c r="AB1702" s="10"/>
      <c r="AC1702" s="236"/>
      <c r="AD1702" s="10"/>
      <c r="AE1702" s="10"/>
      <c r="AF1702" s="10"/>
      <c r="AG1702" s="236"/>
      <c r="AH1702" s="10"/>
      <c r="AI1702" s="10"/>
      <c r="AJ1702" s="10"/>
      <c r="AK1702" s="10"/>
      <c r="AL1702" s="10"/>
      <c r="AM1702" s="236"/>
      <c r="AN1702" s="10"/>
      <c r="AO1702" s="236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236"/>
      <c r="AZ1702" s="10"/>
      <c r="BA1702" s="10"/>
      <c r="BB1702" s="10"/>
      <c r="BC1702" s="10"/>
      <c r="BD1702" s="10"/>
      <c r="BE1702" s="236"/>
      <c r="BF1702" s="10"/>
      <c r="BG1702" s="10"/>
      <c r="BH1702" s="10"/>
      <c r="BI1702" s="236"/>
      <c r="BJ1702" s="10"/>
      <c r="BK1702" s="10"/>
      <c r="BL1702" s="10"/>
      <c r="BM1702" s="10"/>
      <c r="BN1702" s="8"/>
      <c r="BO1702" s="10"/>
      <c r="BP1702" s="8"/>
      <c r="BQ1702" s="10"/>
      <c r="BR1702" s="11"/>
      <c r="BS1702" s="12"/>
      <c r="BT1702" s="13"/>
      <c r="BU1702" s="8"/>
    </row>
    <row r="1703" s="1" customFormat="1" customHeight="1" spans="1:73">
      <c r="A1703" s="5"/>
      <c r="B1703" s="6"/>
      <c r="C1703" s="6"/>
      <c r="D1703" s="5"/>
      <c r="E1703" s="5"/>
      <c r="F1703" s="5"/>
      <c r="G1703" s="228"/>
      <c r="H1703" s="5"/>
      <c r="I1703" s="5"/>
      <c r="J1703" s="10"/>
      <c r="K1703" s="10"/>
      <c r="L1703" s="10"/>
      <c r="M1703" s="10"/>
      <c r="N1703" s="10"/>
      <c r="O1703" s="10"/>
      <c r="P1703" s="236"/>
      <c r="Q1703" s="10"/>
      <c r="R1703" s="236"/>
      <c r="S1703" s="10"/>
      <c r="T1703" s="10"/>
      <c r="U1703" s="10"/>
      <c r="V1703" s="236"/>
      <c r="W1703" s="236"/>
      <c r="X1703" s="10"/>
      <c r="Y1703" s="236"/>
      <c r="Z1703" s="10"/>
      <c r="AA1703" s="10"/>
      <c r="AB1703" s="10"/>
      <c r="AC1703" s="236"/>
      <c r="AD1703" s="10"/>
      <c r="AE1703" s="10"/>
      <c r="AF1703" s="10"/>
      <c r="AG1703" s="236"/>
      <c r="AH1703" s="10"/>
      <c r="AI1703" s="10"/>
      <c r="AJ1703" s="10"/>
      <c r="AK1703" s="10"/>
      <c r="AL1703" s="10"/>
      <c r="AM1703" s="236"/>
      <c r="AN1703" s="10"/>
      <c r="AO1703" s="236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236"/>
      <c r="AZ1703" s="10"/>
      <c r="BA1703" s="10"/>
      <c r="BB1703" s="10"/>
      <c r="BC1703" s="10"/>
      <c r="BD1703" s="10"/>
      <c r="BE1703" s="236"/>
      <c r="BF1703" s="10"/>
      <c r="BG1703" s="10"/>
      <c r="BH1703" s="10"/>
      <c r="BI1703" s="236"/>
      <c r="BJ1703" s="10"/>
      <c r="BK1703" s="10"/>
      <c r="BL1703" s="10"/>
      <c r="BM1703" s="10"/>
      <c r="BN1703" s="8"/>
      <c r="BO1703" s="10"/>
      <c r="BP1703" s="8"/>
      <c r="BQ1703" s="10"/>
      <c r="BR1703" s="11"/>
      <c r="BS1703" s="12"/>
      <c r="BT1703" s="13"/>
      <c r="BU1703" s="8"/>
    </row>
    <row r="1704" s="1" customFormat="1" customHeight="1" spans="1:73">
      <c r="A1704" s="5"/>
      <c r="B1704" s="6"/>
      <c r="C1704" s="6"/>
      <c r="D1704" s="5"/>
      <c r="E1704" s="5"/>
      <c r="F1704" s="5"/>
      <c r="G1704" s="228"/>
      <c r="H1704" s="5"/>
      <c r="I1704" s="5"/>
      <c r="J1704" s="10"/>
      <c r="K1704" s="10"/>
      <c r="L1704" s="10"/>
      <c r="M1704" s="10"/>
      <c r="N1704" s="10"/>
      <c r="O1704" s="10"/>
      <c r="P1704" s="236"/>
      <c r="Q1704" s="10"/>
      <c r="R1704" s="236"/>
      <c r="S1704" s="10"/>
      <c r="T1704" s="10"/>
      <c r="U1704" s="10"/>
      <c r="V1704" s="236"/>
      <c r="W1704" s="236"/>
      <c r="X1704" s="10"/>
      <c r="Y1704" s="236"/>
      <c r="Z1704" s="10"/>
      <c r="AA1704" s="10"/>
      <c r="AB1704" s="10"/>
      <c r="AC1704" s="236"/>
      <c r="AD1704" s="10"/>
      <c r="AE1704" s="10"/>
      <c r="AF1704" s="10"/>
      <c r="AG1704" s="236"/>
      <c r="AH1704" s="10"/>
      <c r="AI1704" s="10"/>
      <c r="AJ1704" s="10"/>
      <c r="AK1704" s="10"/>
      <c r="AL1704" s="10"/>
      <c r="AM1704" s="236"/>
      <c r="AN1704" s="10"/>
      <c r="AO1704" s="236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236"/>
      <c r="AZ1704" s="10"/>
      <c r="BA1704" s="10"/>
      <c r="BB1704" s="10"/>
      <c r="BC1704" s="10"/>
      <c r="BD1704" s="10"/>
      <c r="BE1704" s="236"/>
      <c r="BF1704" s="10"/>
      <c r="BG1704" s="10"/>
      <c r="BH1704" s="10"/>
      <c r="BI1704" s="236"/>
      <c r="BJ1704" s="10"/>
      <c r="BK1704" s="10"/>
      <c r="BL1704" s="10"/>
      <c r="BM1704" s="10"/>
      <c r="BN1704" s="8"/>
      <c r="BO1704" s="10"/>
      <c r="BP1704" s="8"/>
      <c r="BQ1704" s="10"/>
      <c r="BR1704" s="11"/>
      <c r="BS1704" s="12"/>
      <c r="BT1704" s="13"/>
      <c r="BU1704" s="8"/>
    </row>
    <row r="1705" s="1" customFormat="1" customHeight="1" spans="1:73">
      <c r="A1705" s="5"/>
      <c r="B1705" s="6"/>
      <c r="C1705" s="6"/>
      <c r="D1705" s="5"/>
      <c r="E1705" s="5"/>
      <c r="F1705" s="5"/>
      <c r="G1705" s="228"/>
      <c r="H1705" s="5"/>
      <c r="I1705" s="5"/>
      <c r="J1705" s="10"/>
      <c r="K1705" s="10"/>
      <c r="L1705" s="10"/>
      <c r="M1705" s="10"/>
      <c r="N1705" s="10"/>
      <c r="O1705" s="10"/>
      <c r="P1705" s="236"/>
      <c r="Q1705" s="10"/>
      <c r="R1705" s="236"/>
      <c r="S1705" s="10"/>
      <c r="T1705" s="10"/>
      <c r="U1705" s="10"/>
      <c r="V1705" s="236"/>
      <c r="W1705" s="236"/>
      <c r="X1705" s="10"/>
      <c r="Y1705" s="236"/>
      <c r="Z1705" s="10"/>
      <c r="AA1705" s="10"/>
      <c r="AB1705" s="10"/>
      <c r="AC1705" s="236"/>
      <c r="AD1705" s="10"/>
      <c r="AE1705" s="10"/>
      <c r="AF1705" s="10"/>
      <c r="AG1705" s="236"/>
      <c r="AH1705" s="10"/>
      <c r="AI1705" s="10"/>
      <c r="AJ1705" s="10"/>
      <c r="AK1705" s="10"/>
      <c r="AL1705" s="10"/>
      <c r="AM1705" s="236"/>
      <c r="AN1705" s="10"/>
      <c r="AO1705" s="236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236"/>
      <c r="AZ1705" s="10"/>
      <c r="BA1705" s="10"/>
      <c r="BB1705" s="10"/>
      <c r="BC1705" s="10"/>
      <c r="BD1705" s="10"/>
      <c r="BE1705" s="236"/>
      <c r="BF1705" s="10"/>
      <c r="BG1705" s="10"/>
      <c r="BH1705" s="10"/>
      <c r="BI1705" s="236"/>
      <c r="BJ1705" s="10"/>
      <c r="BK1705" s="10"/>
      <c r="BL1705" s="10"/>
      <c r="BM1705" s="10"/>
      <c r="BN1705" s="8"/>
      <c r="BO1705" s="10"/>
      <c r="BP1705" s="8"/>
      <c r="BQ1705" s="10"/>
      <c r="BR1705" s="11"/>
      <c r="BS1705" s="12"/>
      <c r="BT1705" s="13"/>
      <c r="BU1705" s="8"/>
    </row>
    <row r="1706" s="1" customFormat="1" customHeight="1" spans="1:73">
      <c r="A1706" s="5"/>
      <c r="B1706" s="6"/>
      <c r="C1706" s="6"/>
      <c r="D1706" s="5"/>
      <c r="E1706" s="5"/>
      <c r="F1706" s="5"/>
      <c r="G1706" s="228"/>
      <c r="H1706" s="5"/>
      <c r="I1706" s="5"/>
      <c r="J1706" s="10"/>
      <c r="K1706" s="10"/>
      <c r="L1706" s="10"/>
      <c r="M1706" s="10"/>
      <c r="N1706" s="10"/>
      <c r="O1706" s="10"/>
      <c r="P1706" s="236"/>
      <c r="Q1706" s="10"/>
      <c r="R1706" s="236"/>
      <c r="S1706" s="10"/>
      <c r="T1706" s="10"/>
      <c r="U1706" s="10"/>
      <c r="V1706" s="236"/>
      <c r="W1706" s="236"/>
      <c r="X1706" s="10"/>
      <c r="Y1706" s="236"/>
      <c r="Z1706" s="10"/>
      <c r="AA1706" s="10"/>
      <c r="AB1706" s="10"/>
      <c r="AC1706" s="236"/>
      <c r="AD1706" s="10"/>
      <c r="AE1706" s="10"/>
      <c r="AF1706" s="10"/>
      <c r="AG1706" s="236"/>
      <c r="AH1706" s="10"/>
      <c r="AI1706" s="10"/>
      <c r="AJ1706" s="10"/>
      <c r="AK1706" s="10"/>
      <c r="AL1706" s="10"/>
      <c r="AM1706" s="236"/>
      <c r="AN1706" s="10"/>
      <c r="AO1706" s="236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236"/>
      <c r="AZ1706" s="10"/>
      <c r="BA1706" s="10"/>
      <c r="BB1706" s="10"/>
      <c r="BC1706" s="10"/>
      <c r="BD1706" s="10"/>
      <c r="BE1706" s="236"/>
      <c r="BF1706" s="10"/>
      <c r="BG1706" s="10"/>
      <c r="BH1706" s="10"/>
      <c r="BI1706" s="236"/>
      <c r="BJ1706" s="10"/>
      <c r="BK1706" s="10"/>
      <c r="BL1706" s="10"/>
      <c r="BM1706" s="10"/>
      <c r="BN1706" s="8"/>
      <c r="BO1706" s="10"/>
      <c r="BP1706" s="8"/>
      <c r="BQ1706" s="10"/>
      <c r="BR1706" s="11"/>
      <c r="BS1706" s="12"/>
      <c r="BT1706" s="13"/>
      <c r="BU1706" s="8"/>
    </row>
    <row r="1707" s="1" customFormat="1" customHeight="1" spans="1:73">
      <c r="A1707" s="5"/>
      <c r="B1707" s="6"/>
      <c r="C1707" s="6"/>
      <c r="D1707" s="5"/>
      <c r="E1707" s="5"/>
      <c r="F1707" s="5"/>
      <c r="G1707" s="228"/>
      <c r="H1707" s="5"/>
      <c r="I1707" s="5"/>
      <c r="J1707" s="10"/>
      <c r="K1707" s="10"/>
      <c r="L1707" s="10"/>
      <c r="M1707" s="10"/>
      <c r="N1707" s="10"/>
      <c r="O1707" s="10"/>
      <c r="P1707" s="236"/>
      <c r="Q1707" s="10"/>
      <c r="R1707" s="236"/>
      <c r="S1707" s="10"/>
      <c r="T1707" s="10"/>
      <c r="U1707" s="10"/>
      <c r="V1707" s="236"/>
      <c r="W1707" s="236"/>
      <c r="X1707" s="10"/>
      <c r="Y1707" s="236"/>
      <c r="Z1707" s="10"/>
      <c r="AA1707" s="10"/>
      <c r="AB1707" s="10"/>
      <c r="AC1707" s="236"/>
      <c r="AD1707" s="10"/>
      <c r="AE1707" s="10"/>
      <c r="AF1707" s="10"/>
      <c r="AG1707" s="236"/>
      <c r="AH1707" s="10"/>
      <c r="AI1707" s="10"/>
      <c r="AJ1707" s="10"/>
      <c r="AK1707" s="10"/>
      <c r="AL1707" s="10"/>
      <c r="AM1707" s="236"/>
      <c r="AN1707" s="10"/>
      <c r="AO1707" s="236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236"/>
      <c r="AZ1707" s="10"/>
      <c r="BA1707" s="10"/>
      <c r="BB1707" s="10"/>
      <c r="BC1707" s="10"/>
      <c r="BD1707" s="10"/>
      <c r="BE1707" s="236"/>
      <c r="BF1707" s="10"/>
      <c r="BG1707" s="10"/>
      <c r="BH1707" s="10"/>
      <c r="BI1707" s="236"/>
      <c r="BJ1707" s="10"/>
      <c r="BK1707" s="10"/>
      <c r="BL1707" s="10"/>
      <c r="BM1707" s="10"/>
      <c r="BN1707" s="8"/>
      <c r="BO1707" s="10"/>
      <c r="BP1707" s="8"/>
      <c r="BQ1707" s="10"/>
      <c r="BR1707" s="11"/>
      <c r="BS1707" s="12"/>
      <c r="BT1707" s="13"/>
      <c r="BU1707" s="8"/>
    </row>
    <row r="1708" s="1" customFormat="1" customHeight="1" spans="1:73">
      <c r="A1708" s="5"/>
      <c r="B1708" s="6"/>
      <c r="C1708" s="6"/>
      <c r="D1708" s="5"/>
      <c r="E1708" s="5"/>
      <c r="F1708" s="5"/>
      <c r="G1708" s="228"/>
      <c r="H1708" s="5"/>
      <c r="I1708" s="5"/>
      <c r="J1708" s="10"/>
      <c r="K1708" s="10"/>
      <c r="L1708" s="10"/>
      <c r="M1708" s="10"/>
      <c r="N1708" s="10"/>
      <c r="O1708" s="10"/>
      <c r="P1708" s="236"/>
      <c r="Q1708" s="10"/>
      <c r="R1708" s="236"/>
      <c r="S1708" s="10"/>
      <c r="T1708" s="10"/>
      <c r="U1708" s="10"/>
      <c r="V1708" s="236"/>
      <c r="W1708" s="236"/>
      <c r="X1708" s="10"/>
      <c r="Y1708" s="236"/>
      <c r="Z1708" s="10"/>
      <c r="AA1708" s="10"/>
      <c r="AB1708" s="10"/>
      <c r="AC1708" s="236"/>
      <c r="AD1708" s="10"/>
      <c r="AE1708" s="10"/>
      <c r="AF1708" s="10"/>
      <c r="AG1708" s="236"/>
      <c r="AH1708" s="10"/>
      <c r="AI1708" s="10"/>
      <c r="AJ1708" s="10"/>
      <c r="AK1708" s="10"/>
      <c r="AL1708" s="10"/>
      <c r="AM1708" s="236"/>
      <c r="AN1708" s="10"/>
      <c r="AO1708" s="236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236"/>
      <c r="AZ1708" s="10"/>
      <c r="BA1708" s="10"/>
      <c r="BB1708" s="10"/>
      <c r="BC1708" s="10"/>
      <c r="BD1708" s="10"/>
      <c r="BE1708" s="236"/>
      <c r="BF1708" s="10"/>
      <c r="BG1708" s="10"/>
      <c r="BH1708" s="10"/>
      <c r="BI1708" s="236"/>
      <c r="BJ1708" s="10"/>
      <c r="BK1708" s="10"/>
      <c r="BL1708" s="10"/>
      <c r="BM1708" s="10"/>
      <c r="BN1708" s="8"/>
      <c r="BO1708" s="10"/>
      <c r="BP1708" s="8"/>
      <c r="BQ1708" s="10"/>
      <c r="BR1708" s="11"/>
      <c r="BS1708" s="12"/>
      <c r="BT1708" s="13"/>
      <c r="BU1708" s="8"/>
    </row>
    <row r="1709" s="1" customFormat="1" customHeight="1" spans="1:73">
      <c r="A1709" s="5"/>
      <c r="B1709" s="6"/>
      <c r="C1709" s="6"/>
      <c r="D1709" s="5"/>
      <c r="E1709" s="5"/>
      <c r="F1709" s="5"/>
      <c r="G1709" s="228"/>
      <c r="H1709" s="5"/>
      <c r="I1709" s="5"/>
      <c r="J1709" s="10"/>
      <c r="K1709" s="10"/>
      <c r="L1709" s="10"/>
      <c r="M1709" s="10"/>
      <c r="N1709" s="10"/>
      <c r="O1709" s="10"/>
      <c r="P1709" s="236"/>
      <c r="Q1709" s="10"/>
      <c r="R1709" s="236"/>
      <c r="S1709" s="10"/>
      <c r="T1709" s="10"/>
      <c r="U1709" s="10"/>
      <c r="V1709" s="236"/>
      <c r="W1709" s="236"/>
      <c r="X1709" s="10"/>
      <c r="Y1709" s="236"/>
      <c r="Z1709" s="10"/>
      <c r="AA1709" s="10"/>
      <c r="AB1709" s="10"/>
      <c r="AC1709" s="236"/>
      <c r="AD1709" s="10"/>
      <c r="AE1709" s="10"/>
      <c r="AF1709" s="10"/>
      <c r="AG1709" s="236"/>
      <c r="AH1709" s="10"/>
      <c r="AI1709" s="10"/>
      <c r="AJ1709" s="10"/>
      <c r="AK1709" s="10"/>
      <c r="AL1709" s="10"/>
      <c r="AM1709" s="236"/>
      <c r="AN1709" s="10"/>
      <c r="AO1709" s="236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236"/>
      <c r="AZ1709" s="10"/>
      <c r="BA1709" s="10"/>
      <c r="BB1709" s="10"/>
      <c r="BC1709" s="10"/>
      <c r="BD1709" s="10"/>
      <c r="BE1709" s="236"/>
      <c r="BF1709" s="10"/>
      <c r="BG1709" s="10"/>
      <c r="BH1709" s="10"/>
      <c r="BI1709" s="236"/>
      <c r="BJ1709" s="10"/>
      <c r="BK1709" s="10"/>
      <c r="BL1709" s="10"/>
      <c r="BM1709" s="10"/>
      <c r="BN1709" s="8"/>
      <c r="BO1709" s="10"/>
      <c r="BP1709" s="8"/>
      <c r="BQ1709" s="10"/>
      <c r="BR1709" s="11"/>
      <c r="BS1709" s="12"/>
      <c r="BT1709" s="13"/>
      <c r="BU1709" s="8"/>
    </row>
    <row r="1710" s="1" customFormat="1" customHeight="1" spans="1:73">
      <c r="A1710" s="5"/>
      <c r="B1710" s="6"/>
      <c r="C1710" s="6"/>
      <c r="D1710" s="5"/>
      <c r="E1710" s="5"/>
      <c r="F1710" s="5"/>
      <c r="G1710" s="228"/>
      <c r="H1710" s="5"/>
      <c r="I1710" s="5"/>
      <c r="J1710" s="10"/>
      <c r="K1710" s="10"/>
      <c r="L1710" s="10"/>
      <c r="M1710" s="10"/>
      <c r="N1710" s="10"/>
      <c r="O1710" s="10"/>
      <c r="P1710" s="236"/>
      <c r="Q1710" s="10"/>
      <c r="R1710" s="236"/>
      <c r="S1710" s="10"/>
      <c r="T1710" s="10"/>
      <c r="U1710" s="10"/>
      <c r="V1710" s="236"/>
      <c r="W1710" s="236"/>
      <c r="X1710" s="10"/>
      <c r="Y1710" s="236"/>
      <c r="Z1710" s="10"/>
      <c r="AA1710" s="10"/>
      <c r="AB1710" s="10"/>
      <c r="AC1710" s="236"/>
      <c r="AD1710" s="10"/>
      <c r="AE1710" s="10"/>
      <c r="AF1710" s="10"/>
      <c r="AG1710" s="236"/>
      <c r="AH1710" s="10"/>
      <c r="AI1710" s="10"/>
      <c r="AJ1710" s="10"/>
      <c r="AK1710" s="10"/>
      <c r="AL1710" s="10"/>
      <c r="AM1710" s="236"/>
      <c r="AN1710" s="10"/>
      <c r="AO1710" s="236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236"/>
      <c r="AZ1710" s="10"/>
      <c r="BA1710" s="10"/>
      <c r="BB1710" s="10"/>
      <c r="BC1710" s="10"/>
      <c r="BD1710" s="10"/>
      <c r="BE1710" s="236"/>
      <c r="BF1710" s="10"/>
      <c r="BG1710" s="10"/>
      <c r="BH1710" s="10"/>
      <c r="BI1710" s="236"/>
      <c r="BJ1710" s="10"/>
      <c r="BK1710" s="10"/>
      <c r="BL1710" s="10"/>
      <c r="BM1710" s="10"/>
      <c r="BN1710" s="8"/>
      <c r="BO1710" s="10"/>
      <c r="BP1710" s="8"/>
      <c r="BQ1710" s="10"/>
      <c r="BR1710" s="11"/>
      <c r="BS1710" s="12"/>
      <c r="BT1710" s="13"/>
      <c r="BU1710" s="8"/>
    </row>
    <row r="1711" s="1" customFormat="1" customHeight="1" spans="1:73">
      <c r="A1711" s="5"/>
      <c r="B1711" s="6"/>
      <c r="C1711" s="6"/>
      <c r="D1711" s="5"/>
      <c r="E1711" s="5"/>
      <c r="F1711" s="5"/>
      <c r="G1711" s="228"/>
      <c r="H1711" s="5"/>
      <c r="I1711" s="5"/>
      <c r="J1711" s="10"/>
      <c r="K1711" s="10"/>
      <c r="L1711" s="10"/>
      <c r="M1711" s="10"/>
      <c r="N1711" s="10"/>
      <c r="O1711" s="10"/>
      <c r="P1711" s="236"/>
      <c r="Q1711" s="10"/>
      <c r="R1711" s="236"/>
      <c r="S1711" s="10"/>
      <c r="T1711" s="10"/>
      <c r="U1711" s="10"/>
      <c r="V1711" s="236"/>
      <c r="W1711" s="236"/>
      <c r="X1711" s="10"/>
      <c r="Y1711" s="236"/>
      <c r="Z1711" s="10"/>
      <c r="AA1711" s="10"/>
      <c r="AB1711" s="10"/>
      <c r="AC1711" s="236"/>
      <c r="AD1711" s="10"/>
      <c r="AE1711" s="10"/>
      <c r="AF1711" s="10"/>
      <c r="AG1711" s="236"/>
      <c r="AH1711" s="10"/>
      <c r="AI1711" s="10"/>
      <c r="AJ1711" s="10"/>
      <c r="AK1711" s="10"/>
      <c r="AL1711" s="10"/>
      <c r="AM1711" s="236"/>
      <c r="AN1711" s="10"/>
      <c r="AO1711" s="236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236"/>
      <c r="AZ1711" s="10"/>
      <c r="BA1711" s="10"/>
      <c r="BB1711" s="10"/>
      <c r="BC1711" s="10"/>
      <c r="BD1711" s="10"/>
      <c r="BE1711" s="236"/>
      <c r="BF1711" s="10"/>
      <c r="BG1711" s="10"/>
      <c r="BH1711" s="10"/>
      <c r="BI1711" s="236"/>
      <c r="BJ1711" s="10"/>
      <c r="BK1711" s="10"/>
      <c r="BL1711" s="10"/>
      <c r="BM1711" s="10"/>
      <c r="BN1711" s="8"/>
      <c r="BO1711" s="10"/>
      <c r="BP1711" s="8"/>
      <c r="BQ1711" s="10"/>
      <c r="BR1711" s="11"/>
      <c r="BS1711" s="12"/>
      <c r="BT1711" s="13"/>
      <c r="BU1711" s="8"/>
    </row>
    <row r="1712" s="1" customFormat="1" customHeight="1" spans="1:73">
      <c r="A1712" s="5"/>
      <c r="B1712" s="6"/>
      <c r="C1712" s="6"/>
      <c r="D1712" s="5"/>
      <c r="E1712" s="5"/>
      <c r="F1712" s="5"/>
      <c r="G1712" s="228"/>
      <c r="H1712" s="5"/>
      <c r="I1712" s="5"/>
      <c r="J1712" s="10"/>
      <c r="K1712" s="10"/>
      <c r="L1712" s="10"/>
      <c r="M1712" s="10"/>
      <c r="N1712" s="10"/>
      <c r="O1712" s="10"/>
      <c r="P1712" s="236"/>
      <c r="Q1712" s="10"/>
      <c r="R1712" s="236"/>
      <c r="S1712" s="10"/>
      <c r="T1712" s="10"/>
      <c r="U1712" s="10"/>
      <c r="V1712" s="236"/>
      <c r="W1712" s="236"/>
      <c r="X1712" s="10"/>
      <c r="Y1712" s="236"/>
      <c r="Z1712" s="10"/>
      <c r="AA1712" s="10"/>
      <c r="AB1712" s="10"/>
      <c r="AC1712" s="236"/>
      <c r="AD1712" s="10"/>
      <c r="AE1712" s="10"/>
      <c r="AF1712" s="10"/>
      <c r="AG1712" s="236"/>
      <c r="AH1712" s="10"/>
      <c r="AI1712" s="10"/>
      <c r="AJ1712" s="10"/>
      <c r="AK1712" s="10"/>
      <c r="AL1712" s="10"/>
      <c r="AM1712" s="236"/>
      <c r="AN1712" s="10"/>
      <c r="AO1712" s="236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236"/>
      <c r="AZ1712" s="10"/>
      <c r="BA1712" s="10"/>
      <c r="BB1712" s="10"/>
      <c r="BC1712" s="10"/>
      <c r="BD1712" s="10"/>
      <c r="BE1712" s="236"/>
      <c r="BF1712" s="10"/>
      <c r="BG1712" s="10"/>
      <c r="BH1712" s="10"/>
      <c r="BI1712" s="236"/>
      <c r="BJ1712" s="10"/>
      <c r="BK1712" s="10"/>
      <c r="BL1712" s="10"/>
      <c r="BM1712" s="10"/>
      <c r="BN1712" s="8"/>
      <c r="BO1712" s="10"/>
      <c r="BP1712" s="8"/>
      <c r="BQ1712" s="10"/>
      <c r="BR1712" s="11"/>
      <c r="BS1712" s="12"/>
      <c r="BT1712" s="13"/>
      <c r="BU1712" s="8"/>
    </row>
    <row r="1713" s="1" customFormat="1" customHeight="1" spans="1:73">
      <c r="A1713" s="5"/>
      <c r="B1713" s="6"/>
      <c r="C1713" s="6"/>
      <c r="D1713" s="5"/>
      <c r="E1713" s="5"/>
      <c r="F1713" s="5"/>
      <c r="G1713" s="228"/>
      <c r="H1713" s="5"/>
      <c r="I1713" s="5"/>
      <c r="J1713" s="10"/>
      <c r="K1713" s="10"/>
      <c r="L1713" s="10"/>
      <c r="M1713" s="10"/>
      <c r="N1713" s="10"/>
      <c r="O1713" s="10"/>
      <c r="P1713" s="236"/>
      <c r="Q1713" s="10"/>
      <c r="R1713" s="236"/>
      <c r="S1713" s="10"/>
      <c r="T1713" s="10"/>
      <c r="U1713" s="10"/>
      <c r="V1713" s="236"/>
      <c r="W1713" s="236"/>
      <c r="X1713" s="10"/>
      <c r="Y1713" s="236"/>
      <c r="Z1713" s="10"/>
      <c r="AA1713" s="10"/>
      <c r="AB1713" s="10"/>
      <c r="AC1713" s="236"/>
      <c r="AD1713" s="10"/>
      <c r="AE1713" s="10"/>
      <c r="AF1713" s="10"/>
      <c r="AG1713" s="236"/>
      <c r="AH1713" s="10"/>
      <c r="AI1713" s="10"/>
      <c r="AJ1713" s="10"/>
      <c r="AK1713" s="10"/>
      <c r="AL1713" s="10"/>
      <c r="AM1713" s="236"/>
      <c r="AN1713" s="10"/>
      <c r="AO1713" s="236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236"/>
      <c r="AZ1713" s="10"/>
      <c r="BA1713" s="10"/>
      <c r="BB1713" s="10"/>
      <c r="BC1713" s="10"/>
      <c r="BD1713" s="10"/>
      <c r="BE1713" s="236"/>
      <c r="BF1713" s="10"/>
      <c r="BG1713" s="10"/>
      <c r="BH1713" s="10"/>
      <c r="BI1713" s="236"/>
      <c r="BJ1713" s="10"/>
      <c r="BK1713" s="10"/>
      <c r="BL1713" s="10"/>
      <c r="BM1713" s="10"/>
      <c r="BN1713" s="8"/>
      <c r="BO1713" s="10"/>
      <c r="BP1713" s="8"/>
      <c r="BQ1713" s="10"/>
      <c r="BR1713" s="11"/>
      <c r="BS1713" s="12"/>
      <c r="BT1713" s="13"/>
      <c r="BU1713" s="8"/>
    </row>
    <row r="1714" s="1" customFormat="1" customHeight="1" spans="1:73">
      <c r="A1714" s="5"/>
      <c r="B1714" s="6"/>
      <c r="C1714" s="6"/>
      <c r="D1714" s="5"/>
      <c r="E1714" s="5"/>
      <c r="F1714" s="5"/>
      <c r="G1714" s="228"/>
      <c r="H1714" s="5"/>
      <c r="I1714" s="5"/>
      <c r="J1714" s="10"/>
      <c r="K1714" s="10"/>
      <c r="L1714" s="10"/>
      <c r="M1714" s="10"/>
      <c r="N1714" s="10"/>
      <c r="O1714" s="10"/>
      <c r="P1714" s="236"/>
      <c r="Q1714" s="10"/>
      <c r="R1714" s="236"/>
      <c r="S1714" s="10"/>
      <c r="T1714" s="10"/>
      <c r="U1714" s="10"/>
      <c r="V1714" s="236"/>
      <c r="W1714" s="236"/>
      <c r="X1714" s="10"/>
      <c r="Y1714" s="236"/>
      <c r="Z1714" s="10"/>
      <c r="AA1714" s="10"/>
      <c r="AB1714" s="10"/>
      <c r="AC1714" s="236"/>
      <c r="AD1714" s="10"/>
      <c r="AE1714" s="10"/>
      <c r="AF1714" s="10"/>
      <c r="AG1714" s="236"/>
      <c r="AH1714" s="10"/>
      <c r="AI1714" s="10"/>
      <c r="AJ1714" s="10"/>
      <c r="AK1714" s="10"/>
      <c r="AL1714" s="10"/>
      <c r="AM1714" s="236"/>
      <c r="AN1714" s="10"/>
      <c r="AO1714" s="236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236"/>
      <c r="AZ1714" s="10"/>
      <c r="BA1714" s="10"/>
      <c r="BB1714" s="10"/>
      <c r="BC1714" s="10"/>
      <c r="BD1714" s="10"/>
      <c r="BE1714" s="236"/>
      <c r="BF1714" s="10"/>
      <c r="BG1714" s="10"/>
      <c r="BH1714" s="10"/>
      <c r="BI1714" s="236"/>
      <c r="BJ1714" s="10"/>
      <c r="BK1714" s="10"/>
      <c r="BL1714" s="10"/>
      <c r="BM1714" s="10"/>
      <c r="BN1714" s="8"/>
      <c r="BO1714" s="10"/>
      <c r="BP1714" s="8"/>
      <c r="BQ1714" s="10"/>
      <c r="BR1714" s="11"/>
      <c r="BS1714" s="12"/>
      <c r="BT1714" s="13"/>
      <c r="BU1714" s="8"/>
    </row>
    <row r="1715" s="1" customFormat="1" customHeight="1" spans="1:73">
      <c r="A1715" s="5"/>
      <c r="B1715" s="6"/>
      <c r="C1715" s="6"/>
      <c r="D1715" s="5"/>
      <c r="E1715" s="5"/>
      <c r="F1715" s="5"/>
      <c r="G1715" s="228"/>
      <c r="H1715" s="5"/>
      <c r="I1715" s="5"/>
      <c r="J1715" s="10"/>
      <c r="K1715" s="10"/>
      <c r="L1715" s="10"/>
      <c r="M1715" s="10"/>
      <c r="N1715" s="10"/>
      <c r="O1715" s="10"/>
      <c r="P1715" s="236"/>
      <c r="Q1715" s="10"/>
      <c r="R1715" s="236"/>
      <c r="S1715" s="10"/>
      <c r="T1715" s="10"/>
      <c r="U1715" s="10"/>
      <c r="V1715" s="236"/>
      <c r="W1715" s="236"/>
      <c r="X1715" s="10"/>
      <c r="Y1715" s="236"/>
      <c r="Z1715" s="10"/>
      <c r="AA1715" s="10"/>
      <c r="AB1715" s="10"/>
      <c r="AC1715" s="236"/>
      <c r="AD1715" s="10"/>
      <c r="AE1715" s="10"/>
      <c r="AF1715" s="10"/>
      <c r="AG1715" s="236"/>
      <c r="AH1715" s="10"/>
      <c r="AI1715" s="10"/>
      <c r="AJ1715" s="10"/>
      <c r="AK1715" s="10"/>
      <c r="AL1715" s="10"/>
      <c r="AM1715" s="236"/>
      <c r="AN1715" s="10"/>
      <c r="AO1715" s="236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236"/>
      <c r="AZ1715" s="10"/>
      <c r="BA1715" s="10"/>
      <c r="BB1715" s="10"/>
      <c r="BC1715" s="10"/>
      <c r="BD1715" s="10"/>
      <c r="BE1715" s="236"/>
      <c r="BF1715" s="10"/>
      <c r="BG1715" s="10"/>
      <c r="BH1715" s="10"/>
      <c r="BI1715" s="236"/>
      <c r="BJ1715" s="10"/>
      <c r="BK1715" s="10"/>
      <c r="BL1715" s="10"/>
      <c r="BM1715" s="10"/>
      <c r="BN1715" s="8"/>
      <c r="BO1715" s="10"/>
      <c r="BP1715" s="8"/>
      <c r="BQ1715" s="10"/>
      <c r="BR1715" s="11"/>
      <c r="BS1715" s="12"/>
      <c r="BT1715" s="13"/>
      <c r="BU1715" s="8"/>
    </row>
    <row r="1716" s="1" customFormat="1" customHeight="1" spans="1:73">
      <c r="A1716" s="5"/>
      <c r="B1716" s="6"/>
      <c r="C1716" s="6"/>
      <c r="D1716" s="5"/>
      <c r="E1716" s="5"/>
      <c r="F1716" s="5"/>
      <c r="G1716" s="228"/>
      <c r="H1716" s="5"/>
      <c r="I1716" s="5"/>
      <c r="J1716" s="10"/>
      <c r="K1716" s="10"/>
      <c r="L1716" s="10"/>
      <c r="M1716" s="10"/>
      <c r="N1716" s="10"/>
      <c r="O1716" s="10"/>
      <c r="P1716" s="236"/>
      <c r="Q1716" s="10"/>
      <c r="R1716" s="236"/>
      <c r="S1716" s="10"/>
      <c r="T1716" s="10"/>
      <c r="U1716" s="10"/>
      <c r="V1716" s="236"/>
      <c r="W1716" s="236"/>
      <c r="X1716" s="10"/>
      <c r="Y1716" s="236"/>
      <c r="Z1716" s="10"/>
      <c r="AA1716" s="10"/>
      <c r="AB1716" s="10"/>
      <c r="AC1716" s="236"/>
      <c r="AD1716" s="10"/>
      <c r="AE1716" s="10"/>
      <c r="AF1716" s="10"/>
      <c r="AG1716" s="236"/>
      <c r="AH1716" s="10"/>
      <c r="AI1716" s="10"/>
      <c r="AJ1716" s="10"/>
      <c r="AK1716" s="10"/>
      <c r="AL1716" s="10"/>
      <c r="AM1716" s="236"/>
      <c r="AN1716" s="10"/>
      <c r="AO1716" s="236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236"/>
      <c r="AZ1716" s="10"/>
      <c r="BA1716" s="10"/>
      <c r="BB1716" s="10"/>
      <c r="BC1716" s="10"/>
      <c r="BD1716" s="10"/>
      <c r="BE1716" s="236"/>
      <c r="BF1716" s="10"/>
      <c r="BG1716" s="10"/>
      <c r="BH1716" s="10"/>
      <c r="BI1716" s="236"/>
      <c r="BJ1716" s="10"/>
      <c r="BK1716" s="10"/>
      <c r="BL1716" s="10"/>
      <c r="BM1716" s="10"/>
      <c r="BN1716" s="8"/>
      <c r="BO1716" s="10"/>
      <c r="BP1716" s="8"/>
      <c r="BQ1716" s="10"/>
      <c r="BR1716" s="11"/>
      <c r="BS1716" s="12"/>
      <c r="BT1716" s="13"/>
      <c r="BU1716" s="8"/>
    </row>
    <row r="1717" s="1" customFormat="1" customHeight="1" spans="1:73">
      <c r="A1717" s="5"/>
      <c r="B1717" s="6"/>
      <c r="C1717" s="6"/>
      <c r="D1717" s="5"/>
      <c r="E1717" s="5"/>
      <c r="F1717" s="5"/>
      <c r="G1717" s="228"/>
      <c r="H1717" s="5"/>
      <c r="I1717" s="5"/>
      <c r="J1717" s="10"/>
      <c r="K1717" s="10"/>
      <c r="L1717" s="10"/>
      <c r="M1717" s="10"/>
      <c r="N1717" s="10"/>
      <c r="O1717" s="10"/>
      <c r="P1717" s="236"/>
      <c r="Q1717" s="10"/>
      <c r="R1717" s="236"/>
      <c r="S1717" s="10"/>
      <c r="T1717" s="10"/>
      <c r="U1717" s="10"/>
      <c r="V1717" s="236"/>
      <c r="W1717" s="236"/>
      <c r="X1717" s="10"/>
      <c r="Y1717" s="236"/>
      <c r="Z1717" s="10"/>
      <c r="AA1717" s="10"/>
      <c r="AB1717" s="10"/>
      <c r="AC1717" s="236"/>
      <c r="AD1717" s="10"/>
      <c r="AE1717" s="10"/>
      <c r="AF1717" s="10"/>
      <c r="AG1717" s="236"/>
      <c r="AH1717" s="10"/>
      <c r="AI1717" s="10"/>
      <c r="AJ1717" s="10"/>
      <c r="AK1717" s="10"/>
      <c r="AL1717" s="10"/>
      <c r="AM1717" s="236"/>
      <c r="AN1717" s="10"/>
      <c r="AO1717" s="236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236"/>
      <c r="AZ1717" s="10"/>
      <c r="BA1717" s="10"/>
      <c r="BB1717" s="10"/>
      <c r="BC1717" s="10"/>
      <c r="BD1717" s="10"/>
      <c r="BE1717" s="236"/>
      <c r="BF1717" s="10"/>
      <c r="BG1717" s="10"/>
      <c r="BH1717" s="10"/>
      <c r="BI1717" s="236"/>
      <c r="BJ1717" s="10"/>
      <c r="BK1717" s="10"/>
      <c r="BL1717" s="10"/>
      <c r="BM1717" s="10"/>
      <c r="BN1717" s="8"/>
      <c r="BO1717" s="10"/>
      <c r="BP1717" s="8"/>
      <c r="BQ1717" s="10"/>
      <c r="BR1717" s="11"/>
      <c r="BS1717" s="12"/>
      <c r="BT1717" s="13"/>
      <c r="BU1717" s="8"/>
    </row>
    <row r="1718" s="1" customFormat="1" customHeight="1" spans="1:73">
      <c r="A1718" s="5"/>
      <c r="B1718" s="6"/>
      <c r="C1718" s="6"/>
      <c r="D1718" s="5"/>
      <c r="E1718" s="5"/>
      <c r="F1718" s="5"/>
      <c r="G1718" s="228"/>
      <c r="H1718" s="5"/>
      <c r="I1718" s="5"/>
      <c r="J1718" s="10"/>
      <c r="K1718" s="10"/>
      <c r="L1718" s="10"/>
      <c r="M1718" s="10"/>
      <c r="N1718" s="10"/>
      <c r="O1718" s="10"/>
      <c r="P1718" s="236"/>
      <c r="Q1718" s="10"/>
      <c r="R1718" s="236"/>
      <c r="S1718" s="10"/>
      <c r="T1718" s="10"/>
      <c r="U1718" s="10"/>
      <c r="V1718" s="236"/>
      <c r="W1718" s="236"/>
      <c r="X1718" s="10"/>
      <c r="Y1718" s="236"/>
      <c r="Z1718" s="10"/>
      <c r="AA1718" s="10"/>
      <c r="AB1718" s="10"/>
      <c r="AC1718" s="236"/>
      <c r="AD1718" s="10"/>
      <c r="AE1718" s="10"/>
      <c r="AF1718" s="10"/>
      <c r="AG1718" s="236"/>
      <c r="AH1718" s="10"/>
      <c r="AI1718" s="10"/>
      <c r="AJ1718" s="10"/>
      <c r="AK1718" s="10"/>
      <c r="AL1718" s="10"/>
      <c r="AM1718" s="236"/>
      <c r="AN1718" s="10"/>
      <c r="AO1718" s="236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236"/>
      <c r="AZ1718" s="10"/>
      <c r="BA1718" s="10"/>
      <c r="BB1718" s="10"/>
      <c r="BC1718" s="10"/>
      <c r="BD1718" s="10"/>
      <c r="BE1718" s="236"/>
      <c r="BF1718" s="10"/>
      <c r="BG1718" s="10"/>
      <c r="BH1718" s="10"/>
      <c r="BI1718" s="236"/>
      <c r="BJ1718" s="10"/>
      <c r="BK1718" s="10"/>
      <c r="BL1718" s="10"/>
      <c r="BM1718" s="10"/>
      <c r="BN1718" s="8"/>
      <c r="BO1718" s="10"/>
      <c r="BP1718" s="8"/>
      <c r="BQ1718" s="10"/>
      <c r="BR1718" s="11"/>
      <c r="BS1718" s="12"/>
      <c r="BT1718" s="13"/>
      <c r="BU1718" s="8"/>
    </row>
    <row r="1719" s="1" customFormat="1" customHeight="1" spans="1:73">
      <c r="A1719" s="5"/>
      <c r="B1719" s="6"/>
      <c r="C1719" s="6"/>
      <c r="D1719" s="5"/>
      <c r="E1719" s="5"/>
      <c r="F1719" s="5"/>
      <c r="G1719" s="228"/>
      <c r="H1719" s="5"/>
      <c r="I1719" s="5"/>
      <c r="J1719" s="10"/>
      <c r="K1719" s="10"/>
      <c r="L1719" s="10"/>
      <c r="M1719" s="10"/>
      <c r="N1719" s="10"/>
      <c r="O1719" s="10"/>
      <c r="P1719" s="236"/>
      <c r="Q1719" s="10"/>
      <c r="R1719" s="236"/>
      <c r="S1719" s="10"/>
      <c r="T1719" s="10"/>
      <c r="U1719" s="10"/>
      <c r="V1719" s="236"/>
      <c r="W1719" s="236"/>
      <c r="X1719" s="10"/>
      <c r="Y1719" s="236"/>
      <c r="Z1719" s="10"/>
      <c r="AA1719" s="10"/>
      <c r="AB1719" s="10"/>
      <c r="AC1719" s="236"/>
      <c r="AD1719" s="10"/>
      <c r="AE1719" s="10"/>
      <c r="AF1719" s="10"/>
      <c r="AG1719" s="236"/>
      <c r="AH1719" s="10"/>
      <c r="AI1719" s="10"/>
      <c r="AJ1719" s="10"/>
      <c r="AK1719" s="10"/>
      <c r="AL1719" s="10"/>
      <c r="AM1719" s="236"/>
      <c r="AN1719" s="10"/>
      <c r="AO1719" s="236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236"/>
      <c r="AZ1719" s="10"/>
      <c r="BA1719" s="10"/>
      <c r="BB1719" s="10"/>
      <c r="BC1719" s="10"/>
      <c r="BD1719" s="10"/>
      <c r="BE1719" s="236"/>
      <c r="BF1719" s="10"/>
      <c r="BG1719" s="10"/>
      <c r="BH1719" s="10"/>
      <c r="BI1719" s="236"/>
      <c r="BJ1719" s="10"/>
      <c r="BK1719" s="10"/>
      <c r="BL1719" s="10"/>
      <c r="BM1719" s="10"/>
      <c r="BN1719" s="8"/>
      <c r="BO1719" s="10"/>
      <c r="BP1719" s="8"/>
      <c r="BQ1719" s="10"/>
      <c r="BR1719" s="11"/>
      <c r="BS1719" s="12"/>
      <c r="BT1719" s="13"/>
      <c r="BU1719" s="8"/>
    </row>
    <row r="1720" s="1" customFormat="1" customHeight="1" spans="1:73">
      <c r="A1720" s="5"/>
      <c r="B1720" s="6"/>
      <c r="C1720" s="6"/>
      <c r="D1720" s="5"/>
      <c r="E1720" s="5"/>
      <c r="F1720" s="5"/>
      <c r="G1720" s="228"/>
      <c r="H1720" s="5"/>
      <c r="I1720" s="5"/>
      <c r="J1720" s="10"/>
      <c r="K1720" s="10"/>
      <c r="L1720" s="10"/>
      <c r="M1720" s="10"/>
      <c r="N1720" s="10"/>
      <c r="O1720" s="10"/>
      <c r="P1720" s="236"/>
      <c r="Q1720" s="10"/>
      <c r="R1720" s="236"/>
      <c r="S1720" s="10"/>
      <c r="T1720" s="10"/>
      <c r="U1720" s="10"/>
      <c r="V1720" s="236"/>
      <c r="W1720" s="236"/>
      <c r="X1720" s="10"/>
      <c r="Y1720" s="236"/>
      <c r="Z1720" s="10"/>
      <c r="AA1720" s="10"/>
      <c r="AB1720" s="10"/>
      <c r="AC1720" s="236"/>
      <c r="AD1720" s="10"/>
      <c r="AE1720" s="10"/>
      <c r="AF1720" s="10"/>
      <c r="AG1720" s="236"/>
      <c r="AH1720" s="10"/>
      <c r="AI1720" s="10"/>
      <c r="AJ1720" s="10"/>
      <c r="AK1720" s="10"/>
      <c r="AL1720" s="10"/>
      <c r="AM1720" s="236"/>
      <c r="AN1720" s="10"/>
      <c r="AO1720" s="236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236"/>
      <c r="AZ1720" s="10"/>
      <c r="BA1720" s="10"/>
      <c r="BB1720" s="10"/>
      <c r="BC1720" s="10"/>
      <c r="BD1720" s="10"/>
      <c r="BE1720" s="236"/>
      <c r="BF1720" s="10"/>
      <c r="BG1720" s="10"/>
      <c r="BH1720" s="10"/>
      <c r="BI1720" s="236"/>
      <c r="BJ1720" s="10"/>
      <c r="BK1720" s="10"/>
      <c r="BL1720" s="10"/>
      <c r="BM1720" s="10"/>
      <c r="BN1720" s="8"/>
      <c r="BO1720" s="10"/>
      <c r="BP1720" s="8"/>
      <c r="BQ1720" s="10"/>
      <c r="BR1720" s="11"/>
      <c r="BS1720" s="12"/>
      <c r="BT1720" s="13"/>
      <c r="BU1720" s="8"/>
    </row>
    <row r="1721" s="1" customFormat="1" customHeight="1" spans="1:73">
      <c r="A1721" s="5"/>
      <c r="B1721" s="6"/>
      <c r="C1721" s="6"/>
      <c r="D1721" s="5"/>
      <c r="E1721" s="5"/>
      <c r="F1721" s="5"/>
      <c r="G1721" s="228"/>
      <c r="H1721" s="5"/>
      <c r="I1721" s="5"/>
      <c r="J1721" s="10"/>
      <c r="K1721" s="10"/>
      <c r="L1721" s="10"/>
      <c r="M1721" s="10"/>
      <c r="N1721" s="10"/>
      <c r="O1721" s="10"/>
      <c r="P1721" s="236"/>
      <c r="Q1721" s="10"/>
      <c r="R1721" s="236"/>
      <c r="S1721" s="10"/>
      <c r="T1721" s="10"/>
      <c r="U1721" s="10"/>
      <c r="V1721" s="236"/>
      <c r="W1721" s="236"/>
      <c r="X1721" s="10"/>
      <c r="Y1721" s="236"/>
      <c r="Z1721" s="10"/>
      <c r="AA1721" s="10"/>
      <c r="AB1721" s="10"/>
      <c r="AC1721" s="236"/>
      <c r="AD1721" s="10"/>
      <c r="AE1721" s="10"/>
      <c r="AF1721" s="10"/>
      <c r="AG1721" s="236"/>
      <c r="AH1721" s="10"/>
      <c r="AI1721" s="10"/>
      <c r="AJ1721" s="10"/>
      <c r="AK1721" s="10"/>
      <c r="AL1721" s="10"/>
      <c r="AM1721" s="236"/>
      <c r="AN1721" s="10"/>
      <c r="AO1721" s="236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236"/>
      <c r="AZ1721" s="10"/>
      <c r="BA1721" s="10"/>
      <c r="BB1721" s="10"/>
      <c r="BC1721" s="10"/>
      <c r="BD1721" s="10"/>
      <c r="BE1721" s="236"/>
      <c r="BF1721" s="10"/>
      <c r="BG1721" s="10"/>
      <c r="BH1721" s="10"/>
      <c r="BI1721" s="236"/>
      <c r="BJ1721" s="10"/>
      <c r="BK1721" s="10"/>
      <c r="BL1721" s="10"/>
      <c r="BM1721" s="10"/>
      <c r="BN1721" s="8"/>
      <c r="BO1721" s="10"/>
      <c r="BP1721" s="8"/>
      <c r="BQ1721" s="10"/>
      <c r="BR1721" s="11"/>
      <c r="BS1721" s="12"/>
      <c r="BT1721" s="13"/>
      <c r="BU1721" s="8"/>
    </row>
    <row r="1722" s="1" customFormat="1" customHeight="1" spans="1:73">
      <c r="A1722" s="5"/>
      <c r="B1722" s="6"/>
      <c r="C1722" s="6"/>
      <c r="D1722" s="5"/>
      <c r="E1722" s="5"/>
      <c r="F1722" s="5"/>
      <c r="G1722" s="228"/>
      <c r="H1722" s="5"/>
      <c r="I1722" s="5"/>
      <c r="J1722" s="10"/>
      <c r="K1722" s="10"/>
      <c r="L1722" s="10"/>
      <c r="M1722" s="10"/>
      <c r="N1722" s="10"/>
      <c r="O1722" s="10"/>
      <c r="P1722" s="236"/>
      <c r="Q1722" s="10"/>
      <c r="R1722" s="236"/>
      <c r="S1722" s="10"/>
      <c r="T1722" s="10"/>
      <c r="U1722" s="10"/>
      <c r="V1722" s="236"/>
      <c r="W1722" s="236"/>
      <c r="X1722" s="10"/>
      <c r="Y1722" s="236"/>
      <c r="Z1722" s="10"/>
      <c r="AA1722" s="10"/>
      <c r="AB1722" s="10"/>
      <c r="AC1722" s="236"/>
      <c r="AD1722" s="10"/>
      <c r="AE1722" s="10"/>
      <c r="AF1722" s="10"/>
      <c r="AG1722" s="236"/>
      <c r="AH1722" s="10"/>
      <c r="AI1722" s="10"/>
      <c r="AJ1722" s="10"/>
      <c r="AK1722" s="10"/>
      <c r="AL1722" s="10"/>
      <c r="AM1722" s="236"/>
      <c r="AN1722" s="10"/>
      <c r="AO1722" s="236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236"/>
      <c r="AZ1722" s="10"/>
      <c r="BA1722" s="10"/>
      <c r="BB1722" s="10"/>
      <c r="BC1722" s="10"/>
      <c r="BD1722" s="10"/>
      <c r="BE1722" s="236"/>
      <c r="BF1722" s="10"/>
      <c r="BG1722" s="10"/>
      <c r="BH1722" s="10"/>
      <c r="BI1722" s="236"/>
      <c r="BJ1722" s="10"/>
      <c r="BK1722" s="10"/>
      <c r="BL1722" s="10"/>
      <c r="BM1722" s="10"/>
      <c r="BN1722" s="8"/>
      <c r="BO1722" s="10"/>
      <c r="BP1722" s="8"/>
      <c r="BQ1722" s="10"/>
      <c r="BR1722" s="11"/>
      <c r="BS1722" s="12"/>
      <c r="BT1722" s="13"/>
      <c r="BU1722" s="8"/>
    </row>
    <row r="1723" s="1" customFormat="1" customHeight="1" spans="1:73">
      <c r="A1723" s="5"/>
      <c r="B1723" s="6"/>
      <c r="C1723" s="6"/>
      <c r="D1723" s="5"/>
      <c r="E1723" s="5"/>
      <c r="F1723" s="5"/>
      <c r="G1723" s="228"/>
      <c r="H1723" s="5"/>
      <c r="I1723" s="5"/>
      <c r="J1723" s="10"/>
      <c r="K1723" s="10"/>
      <c r="L1723" s="10"/>
      <c r="M1723" s="10"/>
      <c r="N1723" s="10"/>
      <c r="O1723" s="10"/>
      <c r="P1723" s="236"/>
      <c r="Q1723" s="10"/>
      <c r="R1723" s="236"/>
      <c r="S1723" s="10"/>
      <c r="T1723" s="10"/>
      <c r="U1723" s="10"/>
      <c r="V1723" s="236"/>
      <c r="W1723" s="236"/>
      <c r="X1723" s="10"/>
      <c r="Y1723" s="236"/>
      <c r="Z1723" s="10"/>
      <c r="AA1723" s="10"/>
      <c r="AB1723" s="10"/>
      <c r="AC1723" s="236"/>
      <c r="AD1723" s="10"/>
      <c r="AE1723" s="10"/>
      <c r="AF1723" s="10"/>
      <c r="AG1723" s="236"/>
      <c r="AH1723" s="10"/>
      <c r="AI1723" s="10"/>
      <c r="AJ1723" s="10"/>
      <c r="AK1723" s="10"/>
      <c r="AL1723" s="10"/>
      <c r="AM1723" s="236"/>
      <c r="AN1723" s="10"/>
      <c r="AO1723" s="236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236"/>
      <c r="AZ1723" s="10"/>
      <c r="BA1723" s="10"/>
      <c r="BB1723" s="10"/>
      <c r="BC1723" s="10"/>
      <c r="BD1723" s="10"/>
      <c r="BE1723" s="236"/>
      <c r="BF1723" s="10"/>
      <c r="BG1723" s="10"/>
      <c r="BH1723" s="10"/>
      <c r="BI1723" s="236"/>
      <c r="BJ1723" s="10"/>
      <c r="BK1723" s="10"/>
      <c r="BL1723" s="10"/>
      <c r="BM1723" s="10"/>
      <c r="BN1723" s="8"/>
      <c r="BO1723" s="10"/>
      <c r="BP1723" s="8"/>
      <c r="BQ1723" s="10"/>
      <c r="BR1723" s="11"/>
      <c r="BS1723" s="12"/>
      <c r="BT1723" s="13"/>
      <c r="BU1723" s="8"/>
    </row>
    <row r="1724" s="1" customFormat="1" customHeight="1" spans="1:73">
      <c r="A1724" s="5"/>
      <c r="B1724" s="6"/>
      <c r="C1724" s="6"/>
      <c r="D1724" s="5"/>
      <c r="E1724" s="5"/>
      <c r="F1724" s="5"/>
      <c r="G1724" s="228"/>
      <c r="H1724" s="5"/>
      <c r="I1724" s="5"/>
      <c r="J1724" s="10"/>
      <c r="K1724" s="10"/>
      <c r="L1724" s="10"/>
      <c r="M1724" s="10"/>
      <c r="N1724" s="10"/>
      <c r="O1724" s="10"/>
      <c r="P1724" s="236"/>
      <c r="Q1724" s="10"/>
      <c r="R1724" s="236"/>
      <c r="S1724" s="10"/>
      <c r="T1724" s="10"/>
      <c r="U1724" s="10"/>
      <c r="V1724" s="236"/>
      <c r="W1724" s="236"/>
      <c r="X1724" s="10"/>
      <c r="Y1724" s="236"/>
      <c r="Z1724" s="10"/>
      <c r="AA1724" s="10"/>
      <c r="AB1724" s="10"/>
      <c r="AC1724" s="236"/>
      <c r="AD1724" s="10"/>
      <c r="AE1724" s="10"/>
      <c r="AF1724" s="10"/>
      <c r="AG1724" s="236"/>
      <c r="AH1724" s="10"/>
      <c r="AI1724" s="10"/>
      <c r="AJ1724" s="10"/>
      <c r="AK1724" s="10"/>
      <c r="AL1724" s="10"/>
      <c r="AM1724" s="236"/>
      <c r="AN1724" s="10"/>
      <c r="AO1724" s="236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236"/>
      <c r="AZ1724" s="10"/>
      <c r="BA1724" s="10"/>
      <c r="BB1724" s="10"/>
      <c r="BC1724" s="10"/>
      <c r="BD1724" s="10"/>
      <c r="BE1724" s="236"/>
      <c r="BF1724" s="10"/>
      <c r="BG1724" s="10"/>
      <c r="BH1724" s="10"/>
      <c r="BI1724" s="236"/>
      <c r="BJ1724" s="10"/>
      <c r="BK1724" s="10"/>
      <c r="BL1724" s="10"/>
      <c r="BM1724" s="10"/>
      <c r="BN1724" s="8"/>
      <c r="BO1724" s="10"/>
      <c r="BP1724" s="8"/>
      <c r="BQ1724" s="10"/>
      <c r="BR1724" s="11"/>
      <c r="BS1724" s="12"/>
      <c r="BT1724" s="13"/>
      <c r="BU1724" s="8"/>
    </row>
    <row r="1725" s="1" customFormat="1" customHeight="1" spans="1:73">
      <c r="A1725" s="5"/>
      <c r="B1725" s="6"/>
      <c r="C1725" s="6"/>
      <c r="D1725" s="5"/>
      <c r="E1725" s="5"/>
      <c r="F1725" s="5"/>
      <c r="G1725" s="228"/>
      <c r="H1725" s="5"/>
      <c r="I1725" s="5"/>
      <c r="J1725" s="10"/>
      <c r="K1725" s="10"/>
      <c r="L1725" s="10"/>
      <c r="M1725" s="10"/>
      <c r="N1725" s="10"/>
      <c r="O1725" s="10"/>
      <c r="P1725" s="236"/>
      <c r="Q1725" s="10"/>
      <c r="R1725" s="236"/>
      <c r="S1725" s="10"/>
      <c r="T1725" s="10"/>
      <c r="U1725" s="10"/>
      <c r="V1725" s="236"/>
      <c r="W1725" s="236"/>
      <c r="X1725" s="10"/>
      <c r="Y1725" s="236"/>
      <c r="Z1725" s="10"/>
      <c r="AA1725" s="10"/>
      <c r="AB1725" s="10"/>
      <c r="AC1725" s="236"/>
      <c r="AD1725" s="10"/>
      <c r="AE1725" s="10"/>
      <c r="AF1725" s="10"/>
      <c r="AG1725" s="236"/>
      <c r="AH1725" s="10"/>
      <c r="AI1725" s="10"/>
      <c r="AJ1725" s="10"/>
      <c r="AK1725" s="10"/>
      <c r="AL1725" s="10"/>
      <c r="AM1725" s="236"/>
      <c r="AN1725" s="10"/>
      <c r="AO1725" s="236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236"/>
      <c r="AZ1725" s="10"/>
      <c r="BA1725" s="10"/>
      <c r="BB1725" s="10"/>
      <c r="BC1725" s="10"/>
      <c r="BD1725" s="10"/>
      <c r="BE1725" s="236"/>
      <c r="BF1725" s="10"/>
      <c r="BG1725" s="10"/>
      <c r="BH1725" s="10"/>
      <c r="BI1725" s="236"/>
      <c r="BJ1725" s="10"/>
      <c r="BK1725" s="10"/>
      <c r="BL1725" s="10"/>
      <c r="BM1725" s="10"/>
      <c r="BN1725" s="8"/>
      <c r="BO1725" s="10"/>
      <c r="BP1725" s="8"/>
      <c r="BQ1725" s="10"/>
      <c r="BR1725" s="11"/>
      <c r="BS1725" s="12"/>
      <c r="BT1725" s="13"/>
      <c r="BU1725" s="8"/>
    </row>
    <row r="1726" s="1" customFormat="1" customHeight="1" spans="1:73">
      <c r="A1726" s="5"/>
      <c r="B1726" s="6"/>
      <c r="C1726" s="6"/>
      <c r="D1726" s="5"/>
      <c r="E1726" s="5"/>
      <c r="F1726" s="5"/>
      <c r="G1726" s="228"/>
      <c r="H1726" s="5"/>
      <c r="I1726" s="5"/>
      <c r="J1726" s="10"/>
      <c r="K1726" s="10"/>
      <c r="L1726" s="10"/>
      <c r="M1726" s="10"/>
      <c r="N1726" s="10"/>
      <c r="O1726" s="10"/>
      <c r="P1726" s="236"/>
      <c r="Q1726" s="10"/>
      <c r="R1726" s="236"/>
      <c r="S1726" s="10"/>
      <c r="T1726" s="10"/>
      <c r="U1726" s="10"/>
      <c r="V1726" s="236"/>
      <c r="W1726" s="236"/>
      <c r="X1726" s="10"/>
      <c r="Y1726" s="236"/>
      <c r="Z1726" s="10"/>
      <c r="AA1726" s="10"/>
      <c r="AB1726" s="10"/>
      <c r="AC1726" s="236"/>
      <c r="AD1726" s="10"/>
      <c r="AE1726" s="10"/>
      <c r="AF1726" s="10"/>
      <c r="AG1726" s="236"/>
      <c r="AH1726" s="10"/>
      <c r="AI1726" s="10"/>
      <c r="AJ1726" s="10"/>
      <c r="AK1726" s="10"/>
      <c r="AL1726" s="10"/>
      <c r="AM1726" s="236"/>
      <c r="AN1726" s="10"/>
      <c r="AO1726" s="236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236"/>
      <c r="AZ1726" s="10"/>
      <c r="BA1726" s="10"/>
      <c r="BB1726" s="10"/>
      <c r="BC1726" s="10"/>
      <c r="BD1726" s="10"/>
      <c r="BE1726" s="236"/>
      <c r="BF1726" s="10"/>
      <c r="BG1726" s="10"/>
      <c r="BH1726" s="10"/>
      <c r="BI1726" s="236"/>
      <c r="BJ1726" s="10"/>
      <c r="BK1726" s="10"/>
      <c r="BL1726" s="10"/>
      <c r="BM1726" s="10"/>
      <c r="BN1726" s="8"/>
      <c r="BO1726" s="10"/>
      <c r="BP1726" s="8"/>
      <c r="BQ1726" s="10"/>
      <c r="BR1726" s="11"/>
      <c r="BS1726" s="12"/>
      <c r="BT1726" s="13"/>
      <c r="BU1726" s="8"/>
    </row>
    <row r="1727" s="1" customFormat="1" customHeight="1" spans="1:73">
      <c r="A1727" s="5"/>
      <c r="B1727" s="6"/>
      <c r="C1727" s="6"/>
      <c r="D1727" s="5"/>
      <c r="E1727" s="5"/>
      <c r="F1727" s="5"/>
      <c r="G1727" s="228"/>
      <c r="H1727" s="5"/>
      <c r="I1727" s="5"/>
      <c r="J1727" s="10"/>
      <c r="K1727" s="10"/>
      <c r="L1727" s="10"/>
      <c r="M1727" s="10"/>
      <c r="N1727" s="10"/>
      <c r="O1727" s="10"/>
      <c r="P1727" s="236"/>
      <c r="Q1727" s="10"/>
      <c r="R1727" s="236"/>
      <c r="S1727" s="10"/>
      <c r="T1727" s="10"/>
      <c r="U1727" s="10"/>
      <c r="V1727" s="236"/>
      <c r="W1727" s="236"/>
      <c r="X1727" s="10"/>
      <c r="Y1727" s="236"/>
      <c r="Z1727" s="10"/>
      <c r="AA1727" s="10"/>
      <c r="AB1727" s="10"/>
      <c r="AC1727" s="236"/>
      <c r="AD1727" s="10"/>
      <c r="AE1727" s="10"/>
      <c r="AF1727" s="10"/>
      <c r="AG1727" s="236"/>
      <c r="AH1727" s="10"/>
      <c r="AI1727" s="10"/>
      <c r="AJ1727" s="10"/>
      <c r="AK1727" s="10"/>
      <c r="AL1727" s="10"/>
      <c r="AM1727" s="236"/>
      <c r="AN1727" s="10"/>
      <c r="AO1727" s="236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236"/>
      <c r="AZ1727" s="10"/>
      <c r="BA1727" s="10"/>
      <c r="BB1727" s="10"/>
      <c r="BC1727" s="10"/>
      <c r="BD1727" s="10"/>
      <c r="BE1727" s="236"/>
      <c r="BF1727" s="10"/>
      <c r="BG1727" s="10"/>
      <c r="BH1727" s="10"/>
      <c r="BI1727" s="236"/>
      <c r="BJ1727" s="10"/>
      <c r="BK1727" s="10"/>
      <c r="BL1727" s="10"/>
      <c r="BM1727" s="10"/>
      <c r="BN1727" s="8"/>
      <c r="BO1727" s="10"/>
      <c r="BP1727" s="8"/>
      <c r="BQ1727" s="10"/>
      <c r="BR1727" s="11"/>
      <c r="BS1727" s="12"/>
      <c r="BT1727" s="13"/>
      <c r="BU1727" s="8"/>
    </row>
    <row r="1728" s="1" customFormat="1" customHeight="1" spans="1:73">
      <c r="A1728" s="5"/>
      <c r="B1728" s="6"/>
      <c r="C1728" s="6"/>
      <c r="D1728" s="5"/>
      <c r="E1728" s="5"/>
      <c r="F1728" s="5"/>
      <c r="G1728" s="228"/>
      <c r="H1728" s="5"/>
      <c r="I1728" s="5"/>
      <c r="J1728" s="10"/>
      <c r="K1728" s="10"/>
      <c r="L1728" s="10"/>
      <c r="M1728" s="10"/>
      <c r="N1728" s="10"/>
      <c r="O1728" s="10"/>
      <c r="P1728" s="236"/>
      <c r="Q1728" s="10"/>
      <c r="R1728" s="236"/>
      <c r="S1728" s="10"/>
      <c r="T1728" s="10"/>
      <c r="U1728" s="10"/>
      <c r="V1728" s="236"/>
      <c r="W1728" s="236"/>
      <c r="X1728" s="10"/>
      <c r="Y1728" s="236"/>
      <c r="Z1728" s="10"/>
      <c r="AA1728" s="10"/>
      <c r="AB1728" s="10"/>
      <c r="AC1728" s="236"/>
      <c r="AD1728" s="10"/>
      <c r="AE1728" s="10"/>
      <c r="AF1728" s="10"/>
      <c r="AG1728" s="236"/>
      <c r="AH1728" s="10"/>
      <c r="AI1728" s="10"/>
      <c r="AJ1728" s="10"/>
      <c r="AK1728" s="10"/>
      <c r="AL1728" s="10"/>
      <c r="AM1728" s="236"/>
      <c r="AN1728" s="10"/>
      <c r="AO1728" s="236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236"/>
      <c r="AZ1728" s="10"/>
      <c r="BA1728" s="10"/>
      <c r="BB1728" s="10"/>
      <c r="BC1728" s="10"/>
      <c r="BD1728" s="10"/>
      <c r="BE1728" s="236"/>
      <c r="BF1728" s="10"/>
      <c r="BG1728" s="10"/>
      <c r="BH1728" s="10"/>
      <c r="BI1728" s="236"/>
      <c r="BJ1728" s="10"/>
      <c r="BK1728" s="10"/>
      <c r="BL1728" s="10"/>
      <c r="BM1728" s="10"/>
      <c r="BN1728" s="8"/>
      <c r="BO1728" s="10"/>
      <c r="BP1728" s="8"/>
      <c r="BQ1728" s="10"/>
      <c r="BR1728" s="11"/>
      <c r="BS1728" s="12"/>
      <c r="BT1728" s="13"/>
      <c r="BU1728" s="8"/>
    </row>
    <row r="1729" s="1" customFormat="1" customHeight="1" spans="1:73">
      <c r="A1729" s="5"/>
      <c r="B1729" s="6"/>
      <c r="C1729" s="6"/>
      <c r="D1729" s="5"/>
      <c r="E1729" s="5"/>
      <c r="F1729" s="5"/>
      <c r="G1729" s="228"/>
      <c r="H1729" s="5"/>
      <c r="I1729" s="5"/>
      <c r="J1729" s="10"/>
      <c r="K1729" s="10"/>
      <c r="L1729" s="10"/>
      <c r="M1729" s="10"/>
      <c r="N1729" s="10"/>
      <c r="O1729" s="10"/>
      <c r="P1729" s="236"/>
      <c r="Q1729" s="10"/>
      <c r="R1729" s="236"/>
      <c r="S1729" s="10"/>
      <c r="T1729" s="10"/>
      <c r="U1729" s="10"/>
      <c r="V1729" s="236"/>
      <c r="W1729" s="236"/>
      <c r="X1729" s="10"/>
      <c r="Y1729" s="236"/>
      <c r="Z1729" s="10"/>
      <c r="AA1729" s="10"/>
      <c r="AB1729" s="10"/>
      <c r="AC1729" s="236"/>
      <c r="AD1729" s="10"/>
      <c r="AE1729" s="10"/>
      <c r="AF1729" s="10"/>
      <c r="AG1729" s="236"/>
      <c r="AH1729" s="10"/>
      <c r="AI1729" s="10"/>
      <c r="AJ1729" s="10"/>
      <c r="AK1729" s="10"/>
      <c r="AL1729" s="10"/>
      <c r="AM1729" s="236"/>
      <c r="AN1729" s="10"/>
      <c r="AO1729" s="236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236"/>
      <c r="AZ1729" s="10"/>
      <c r="BA1729" s="10"/>
      <c r="BB1729" s="10"/>
      <c r="BC1729" s="10"/>
      <c r="BD1729" s="10"/>
      <c r="BE1729" s="236"/>
      <c r="BF1729" s="10"/>
      <c r="BG1729" s="10"/>
      <c r="BH1729" s="10"/>
      <c r="BI1729" s="236"/>
      <c r="BJ1729" s="10"/>
      <c r="BK1729" s="10"/>
      <c r="BL1729" s="10"/>
      <c r="BM1729" s="10"/>
      <c r="BN1729" s="8"/>
      <c r="BO1729" s="10"/>
      <c r="BP1729" s="8"/>
      <c r="BQ1729" s="10"/>
      <c r="BR1729" s="11"/>
      <c r="BS1729" s="12"/>
      <c r="BT1729" s="13"/>
      <c r="BU1729" s="8"/>
    </row>
    <row r="1730" s="1" customFormat="1" customHeight="1" spans="1:73">
      <c r="A1730" s="5"/>
      <c r="B1730" s="6"/>
      <c r="C1730" s="6"/>
      <c r="D1730" s="5"/>
      <c r="E1730" s="5"/>
      <c r="F1730" s="5"/>
      <c r="G1730" s="228"/>
      <c r="H1730" s="5"/>
      <c r="I1730" s="5"/>
      <c r="J1730" s="10"/>
      <c r="K1730" s="10"/>
      <c r="L1730" s="10"/>
      <c r="M1730" s="10"/>
      <c r="N1730" s="10"/>
      <c r="O1730" s="10"/>
      <c r="P1730" s="236"/>
      <c r="Q1730" s="10"/>
      <c r="R1730" s="236"/>
      <c r="S1730" s="10"/>
      <c r="T1730" s="10"/>
      <c r="U1730" s="10"/>
      <c r="V1730" s="236"/>
      <c r="W1730" s="236"/>
      <c r="X1730" s="10"/>
      <c r="Y1730" s="236"/>
      <c r="Z1730" s="10"/>
      <c r="AA1730" s="10"/>
      <c r="AB1730" s="10"/>
      <c r="AC1730" s="236"/>
      <c r="AD1730" s="10"/>
      <c r="AE1730" s="10"/>
      <c r="AF1730" s="10"/>
      <c r="AG1730" s="236"/>
      <c r="AH1730" s="10"/>
      <c r="AI1730" s="10"/>
      <c r="AJ1730" s="10"/>
      <c r="AK1730" s="10"/>
      <c r="AL1730" s="10"/>
      <c r="AM1730" s="236"/>
      <c r="AN1730" s="10"/>
      <c r="AO1730" s="236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236"/>
      <c r="AZ1730" s="10"/>
      <c r="BA1730" s="10"/>
      <c r="BB1730" s="10"/>
      <c r="BC1730" s="10"/>
      <c r="BD1730" s="10"/>
      <c r="BE1730" s="236"/>
      <c r="BF1730" s="10"/>
      <c r="BG1730" s="10"/>
      <c r="BH1730" s="10"/>
      <c r="BI1730" s="236"/>
      <c r="BJ1730" s="10"/>
      <c r="BK1730" s="10"/>
      <c r="BL1730" s="10"/>
      <c r="BM1730" s="10"/>
      <c r="BN1730" s="8"/>
      <c r="BO1730" s="10"/>
      <c r="BP1730" s="8"/>
      <c r="BQ1730" s="10"/>
      <c r="BR1730" s="11"/>
      <c r="BS1730" s="12"/>
      <c r="BT1730" s="13"/>
      <c r="BU1730" s="8"/>
    </row>
    <row r="1731" s="1" customFormat="1" customHeight="1" spans="1:73">
      <c r="A1731" s="5"/>
      <c r="B1731" s="6"/>
      <c r="C1731" s="6"/>
      <c r="D1731" s="5"/>
      <c r="E1731" s="5"/>
      <c r="F1731" s="5"/>
      <c r="G1731" s="228"/>
      <c r="H1731" s="5"/>
      <c r="I1731" s="5"/>
      <c r="J1731" s="10"/>
      <c r="K1731" s="10"/>
      <c r="L1731" s="10"/>
      <c r="M1731" s="10"/>
      <c r="N1731" s="10"/>
      <c r="O1731" s="10"/>
      <c r="P1731" s="236"/>
      <c r="Q1731" s="10"/>
      <c r="R1731" s="236"/>
      <c r="S1731" s="10"/>
      <c r="T1731" s="10"/>
      <c r="U1731" s="10"/>
      <c r="V1731" s="236"/>
      <c r="W1731" s="236"/>
      <c r="X1731" s="10"/>
      <c r="Y1731" s="236"/>
      <c r="Z1731" s="10"/>
      <c r="AA1731" s="10"/>
      <c r="AB1731" s="10"/>
      <c r="AC1731" s="236"/>
      <c r="AD1731" s="10"/>
      <c r="AE1731" s="10"/>
      <c r="AF1731" s="10"/>
      <c r="AG1731" s="236"/>
      <c r="AH1731" s="10"/>
      <c r="AI1731" s="10"/>
      <c r="AJ1731" s="10"/>
      <c r="AK1731" s="10"/>
      <c r="AL1731" s="10"/>
      <c r="AM1731" s="236"/>
      <c r="AN1731" s="10"/>
      <c r="AO1731" s="236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236"/>
      <c r="AZ1731" s="10"/>
      <c r="BA1731" s="10"/>
      <c r="BB1731" s="10"/>
      <c r="BC1731" s="10"/>
      <c r="BD1731" s="10"/>
      <c r="BE1731" s="236"/>
      <c r="BF1731" s="10"/>
      <c r="BG1731" s="10"/>
      <c r="BH1731" s="10"/>
      <c r="BI1731" s="236"/>
      <c r="BJ1731" s="10"/>
      <c r="BK1731" s="10"/>
      <c r="BL1731" s="10"/>
      <c r="BM1731" s="10"/>
      <c r="BN1731" s="8"/>
      <c r="BO1731" s="10"/>
      <c r="BP1731" s="8"/>
      <c r="BQ1731" s="10"/>
      <c r="BR1731" s="11"/>
      <c r="BS1731" s="12"/>
      <c r="BT1731" s="13"/>
      <c r="BU1731" s="8"/>
    </row>
    <row r="1732" s="1" customFormat="1" customHeight="1" spans="1:73">
      <c r="A1732" s="5"/>
      <c r="B1732" s="6"/>
      <c r="C1732" s="6"/>
      <c r="D1732" s="5"/>
      <c r="E1732" s="5"/>
      <c r="F1732" s="5"/>
      <c r="G1732" s="228"/>
      <c r="H1732" s="5"/>
      <c r="I1732" s="5"/>
      <c r="J1732" s="10"/>
      <c r="K1732" s="10"/>
      <c r="L1732" s="10"/>
      <c r="M1732" s="10"/>
      <c r="N1732" s="10"/>
      <c r="O1732" s="10"/>
      <c r="P1732" s="236"/>
      <c r="Q1732" s="10"/>
      <c r="R1732" s="236"/>
      <c r="S1732" s="10"/>
      <c r="T1732" s="10"/>
      <c r="U1732" s="10"/>
      <c r="V1732" s="236"/>
      <c r="W1732" s="236"/>
      <c r="X1732" s="10"/>
      <c r="Y1732" s="236"/>
      <c r="Z1732" s="10"/>
      <c r="AA1732" s="10"/>
      <c r="AB1732" s="10"/>
      <c r="AC1732" s="236"/>
      <c r="AD1732" s="10"/>
      <c r="AE1732" s="10"/>
      <c r="AF1732" s="10"/>
      <c r="AG1732" s="236"/>
      <c r="AH1732" s="10"/>
      <c r="AI1732" s="10"/>
      <c r="AJ1732" s="10"/>
      <c r="AK1732" s="10"/>
      <c r="AL1732" s="10"/>
      <c r="AM1732" s="236"/>
      <c r="AN1732" s="10"/>
      <c r="AO1732" s="236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236"/>
      <c r="AZ1732" s="10"/>
      <c r="BA1732" s="10"/>
      <c r="BB1732" s="10"/>
      <c r="BC1732" s="10"/>
      <c r="BD1732" s="10"/>
      <c r="BE1732" s="236"/>
      <c r="BF1732" s="10"/>
      <c r="BG1732" s="10"/>
      <c r="BH1732" s="10"/>
      <c r="BI1732" s="236"/>
      <c r="BJ1732" s="10"/>
      <c r="BK1732" s="10"/>
      <c r="BL1732" s="10"/>
      <c r="BM1732" s="10"/>
      <c r="BN1732" s="8"/>
      <c r="BO1732" s="10"/>
      <c r="BP1732" s="8"/>
      <c r="BQ1732" s="10"/>
      <c r="BR1732" s="11"/>
      <c r="BS1732" s="12"/>
      <c r="BT1732" s="13"/>
      <c r="BU1732" s="8"/>
    </row>
    <row r="1733" s="1" customFormat="1" customHeight="1" spans="1:73">
      <c r="A1733" s="5"/>
      <c r="B1733" s="6"/>
      <c r="C1733" s="6"/>
      <c r="D1733" s="5"/>
      <c r="E1733" s="5"/>
      <c r="F1733" s="5"/>
      <c r="G1733" s="228"/>
      <c r="H1733" s="5"/>
      <c r="I1733" s="5"/>
      <c r="J1733" s="10"/>
      <c r="K1733" s="10"/>
      <c r="L1733" s="10"/>
      <c r="M1733" s="10"/>
      <c r="N1733" s="10"/>
      <c r="O1733" s="10"/>
      <c r="P1733" s="236"/>
      <c r="Q1733" s="10"/>
      <c r="R1733" s="236"/>
      <c r="S1733" s="10"/>
      <c r="T1733" s="10"/>
      <c r="U1733" s="10"/>
      <c r="V1733" s="236"/>
      <c r="W1733" s="236"/>
      <c r="X1733" s="10"/>
      <c r="Y1733" s="236"/>
      <c r="Z1733" s="10"/>
      <c r="AA1733" s="10"/>
      <c r="AB1733" s="10"/>
      <c r="AC1733" s="236"/>
      <c r="AD1733" s="10"/>
      <c r="AE1733" s="10"/>
      <c r="AF1733" s="10"/>
      <c r="AG1733" s="236"/>
      <c r="AH1733" s="10"/>
      <c r="AI1733" s="10"/>
      <c r="AJ1733" s="10"/>
      <c r="AK1733" s="10"/>
      <c r="AL1733" s="10"/>
      <c r="AM1733" s="236"/>
      <c r="AN1733" s="10"/>
      <c r="AO1733" s="236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236"/>
      <c r="AZ1733" s="10"/>
      <c r="BA1733" s="10"/>
      <c r="BB1733" s="10"/>
      <c r="BC1733" s="10"/>
      <c r="BD1733" s="10"/>
      <c r="BE1733" s="236"/>
      <c r="BF1733" s="10"/>
      <c r="BG1733" s="10"/>
      <c r="BH1733" s="10"/>
      <c r="BI1733" s="236"/>
      <c r="BJ1733" s="10"/>
      <c r="BK1733" s="10"/>
      <c r="BL1733" s="10"/>
      <c r="BM1733" s="10"/>
      <c r="BN1733" s="8"/>
      <c r="BO1733" s="10"/>
      <c r="BP1733" s="8"/>
      <c r="BQ1733" s="10"/>
      <c r="BR1733" s="11"/>
      <c r="BS1733" s="12"/>
      <c r="BT1733" s="13"/>
      <c r="BU1733" s="8"/>
    </row>
    <row r="1734" s="1" customFormat="1" customHeight="1" spans="1:73">
      <c r="A1734" s="5"/>
      <c r="B1734" s="6"/>
      <c r="C1734" s="6"/>
      <c r="D1734" s="5"/>
      <c r="E1734" s="5"/>
      <c r="F1734" s="5"/>
      <c r="G1734" s="228"/>
      <c r="H1734" s="5"/>
      <c r="I1734" s="5"/>
      <c r="J1734" s="10"/>
      <c r="K1734" s="10"/>
      <c r="L1734" s="10"/>
      <c r="M1734" s="10"/>
      <c r="N1734" s="10"/>
      <c r="O1734" s="10"/>
      <c r="P1734" s="236"/>
      <c r="Q1734" s="10"/>
      <c r="R1734" s="236"/>
      <c r="S1734" s="10"/>
      <c r="T1734" s="10"/>
      <c r="U1734" s="10"/>
      <c r="V1734" s="236"/>
      <c r="W1734" s="236"/>
      <c r="X1734" s="10"/>
      <c r="Y1734" s="236"/>
      <c r="Z1734" s="10"/>
      <c r="AA1734" s="10"/>
      <c r="AB1734" s="10"/>
      <c r="AC1734" s="236"/>
      <c r="AD1734" s="10"/>
      <c r="AE1734" s="10"/>
      <c r="AF1734" s="10"/>
      <c r="AG1734" s="236"/>
      <c r="AH1734" s="10"/>
      <c r="AI1734" s="10"/>
      <c r="AJ1734" s="10"/>
      <c r="AK1734" s="10"/>
      <c r="AL1734" s="10"/>
      <c r="AM1734" s="236"/>
      <c r="AN1734" s="10"/>
      <c r="AO1734" s="236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236"/>
      <c r="AZ1734" s="10"/>
      <c r="BA1734" s="10"/>
      <c r="BB1734" s="10"/>
      <c r="BC1734" s="10"/>
      <c r="BD1734" s="10"/>
      <c r="BE1734" s="236"/>
      <c r="BF1734" s="10"/>
      <c r="BG1734" s="10"/>
      <c r="BH1734" s="10"/>
      <c r="BI1734" s="236"/>
      <c r="BJ1734" s="10"/>
      <c r="BK1734" s="10"/>
      <c r="BL1734" s="10"/>
      <c r="BM1734" s="10"/>
      <c r="BN1734" s="8"/>
      <c r="BO1734" s="10"/>
      <c r="BP1734" s="8"/>
      <c r="BQ1734" s="10"/>
      <c r="BR1734" s="11"/>
      <c r="BS1734" s="12"/>
      <c r="BT1734" s="13"/>
      <c r="BU1734" s="8"/>
    </row>
    <row r="1735" s="1" customFormat="1" customHeight="1" spans="1:73">
      <c r="A1735" s="5"/>
      <c r="B1735" s="6"/>
      <c r="C1735" s="6"/>
      <c r="D1735" s="5"/>
      <c r="E1735" s="5"/>
      <c r="F1735" s="5"/>
      <c r="G1735" s="228"/>
      <c r="H1735" s="5"/>
      <c r="I1735" s="5"/>
      <c r="J1735" s="10"/>
      <c r="K1735" s="10"/>
      <c r="L1735" s="10"/>
      <c r="M1735" s="10"/>
      <c r="N1735" s="10"/>
      <c r="O1735" s="10"/>
      <c r="P1735" s="236"/>
      <c r="Q1735" s="10"/>
      <c r="R1735" s="236"/>
      <c r="S1735" s="10"/>
      <c r="T1735" s="10"/>
      <c r="U1735" s="10"/>
      <c r="V1735" s="236"/>
      <c r="W1735" s="236"/>
      <c r="X1735" s="10"/>
      <c r="Y1735" s="236"/>
      <c r="Z1735" s="10"/>
      <c r="AA1735" s="10"/>
      <c r="AB1735" s="10"/>
      <c r="AC1735" s="236"/>
      <c r="AD1735" s="10"/>
      <c r="AE1735" s="10"/>
      <c r="AF1735" s="10"/>
      <c r="AG1735" s="236"/>
      <c r="AH1735" s="10"/>
      <c r="AI1735" s="10"/>
      <c r="AJ1735" s="10"/>
      <c r="AK1735" s="10"/>
      <c r="AL1735" s="10"/>
      <c r="AM1735" s="236"/>
      <c r="AN1735" s="10"/>
      <c r="AO1735" s="236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236"/>
      <c r="AZ1735" s="10"/>
      <c r="BA1735" s="10"/>
      <c r="BB1735" s="10"/>
      <c r="BC1735" s="10"/>
      <c r="BD1735" s="10"/>
      <c r="BE1735" s="236"/>
      <c r="BF1735" s="10"/>
      <c r="BG1735" s="10"/>
      <c r="BH1735" s="10"/>
      <c r="BI1735" s="236"/>
      <c r="BJ1735" s="10"/>
      <c r="BK1735" s="10"/>
      <c r="BL1735" s="10"/>
      <c r="BM1735" s="10"/>
      <c r="BN1735" s="8"/>
      <c r="BO1735" s="10"/>
      <c r="BP1735" s="8"/>
      <c r="BQ1735" s="10"/>
      <c r="BR1735" s="11"/>
      <c r="BS1735" s="12"/>
      <c r="BT1735" s="13"/>
      <c r="BU1735" s="8"/>
    </row>
    <row r="1736" s="1" customFormat="1" customHeight="1" spans="1:73">
      <c r="A1736" s="5"/>
      <c r="B1736" s="6"/>
      <c r="C1736" s="6"/>
      <c r="D1736" s="5"/>
      <c r="E1736" s="5"/>
      <c r="F1736" s="5"/>
      <c r="G1736" s="228"/>
      <c r="H1736" s="5"/>
      <c r="I1736" s="5"/>
      <c r="J1736" s="10"/>
      <c r="K1736" s="10"/>
      <c r="L1736" s="10"/>
      <c r="M1736" s="10"/>
      <c r="N1736" s="10"/>
      <c r="O1736" s="10"/>
      <c r="P1736" s="236"/>
      <c r="Q1736" s="10"/>
      <c r="R1736" s="236"/>
      <c r="S1736" s="10"/>
      <c r="T1736" s="10"/>
      <c r="U1736" s="10"/>
      <c r="V1736" s="236"/>
      <c r="W1736" s="236"/>
      <c r="X1736" s="10"/>
      <c r="Y1736" s="236"/>
      <c r="Z1736" s="10"/>
      <c r="AA1736" s="10"/>
      <c r="AB1736" s="10"/>
      <c r="AC1736" s="236"/>
      <c r="AD1736" s="10"/>
      <c r="AE1736" s="10"/>
      <c r="AF1736" s="10"/>
      <c r="AG1736" s="236"/>
      <c r="AH1736" s="10"/>
      <c r="AI1736" s="10"/>
      <c r="AJ1736" s="10"/>
      <c r="AK1736" s="10"/>
      <c r="AL1736" s="10"/>
      <c r="AM1736" s="236"/>
      <c r="AN1736" s="10"/>
      <c r="AO1736" s="236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236"/>
      <c r="AZ1736" s="10"/>
      <c r="BA1736" s="10"/>
      <c r="BB1736" s="10"/>
      <c r="BC1736" s="10"/>
      <c r="BD1736" s="10"/>
      <c r="BE1736" s="236"/>
      <c r="BF1736" s="10"/>
      <c r="BG1736" s="10"/>
      <c r="BH1736" s="10"/>
      <c r="BI1736" s="236"/>
      <c r="BJ1736" s="10"/>
      <c r="BK1736" s="10"/>
      <c r="BL1736" s="10"/>
      <c r="BM1736" s="10"/>
      <c r="BN1736" s="8"/>
      <c r="BO1736" s="10"/>
      <c r="BP1736" s="8"/>
      <c r="BQ1736" s="10"/>
      <c r="BR1736" s="11"/>
      <c r="BS1736" s="12"/>
      <c r="BT1736" s="13"/>
      <c r="BU1736" s="8"/>
    </row>
    <row r="1737" s="1" customFormat="1" customHeight="1" spans="1:73">
      <c r="A1737" s="5"/>
      <c r="B1737" s="6"/>
      <c r="C1737" s="6"/>
      <c r="D1737" s="5"/>
      <c r="E1737" s="5"/>
      <c r="F1737" s="5"/>
      <c r="G1737" s="228"/>
      <c r="H1737" s="5"/>
      <c r="I1737" s="5"/>
      <c r="J1737" s="10"/>
      <c r="K1737" s="10"/>
      <c r="L1737" s="10"/>
      <c r="M1737" s="10"/>
      <c r="N1737" s="10"/>
      <c r="O1737" s="10"/>
      <c r="P1737" s="236"/>
      <c r="Q1737" s="10"/>
      <c r="R1737" s="236"/>
      <c r="S1737" s="10"/>
      <c r="T1737" s="10"/>
      <c r="U1737" s="10"/>
      <c r="V1737" s="236"/>
      <c r="W1737" s="236"/>
      <c r="X1737" s="10"/>
      <c r="Y1737" s="236"/>
      <c r="Z1737" s="10"/>
      <c r="AA1737" s="10"/>
      <c r="AB1737" s="10"/>
      <c r="AC1737" s="236"/>
      <c r="AD1737" s="10"/>
      <c r="AE1737" s="10"/>
      <c r="AF1737" s="10"/>
      <c r="AG1737" s="236"/>
      <c r="AH1737" s="10"/>
      <c r="AI1737" s="10"/>
      <c r="AJ1737" s="10"/>
      <c r="AK1737" s="10"/>
      <c r="AL1737" s="10"/>
      <c r="AM1737" s="236"/>
      <c r="AN1737" s="10"/>
      <c r="AO1737" s="236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236"/>
      <c r="AZ1737" s="10"/>
      <c r="BA1737" s="10"/>
      <c r="BB1737" s="10"/>
      <c r="BC1737" s="10"/>
      <c r="BD1737" s="10"/>
      <c r="BE1737" s="236"/>
      <c r="BF1737" s="10"/>
      <c r="BG1737" s="10"/>
      <c r="BH1737" s="10"/>
      <c r="BI1737" s="236"/>
      <c r="BJ1737" s="10"/>
      <c r="BK1737" s="10"/>
      <c r="BL1737" s="10"/>
      <c r="BM1737" s="10"/>
      <c r="BN1737" s="8"/>
      <c r="BO1737" s="10"/>
      <c r="BP1737" s="8"/>
      <c r="BQ1737" s="10"/>
      <c r="BR1737" s="11"/>
      <c r="BS1737" s="12"/>
      <c r="BT1737" s="13"/>
      <c r="BU1737" s="8"/>
    </row>
    <row r="1738" s="1" customFormat="1" customHeight="1" spans="1:73">
      <c r="A1738" s="5"/>
      <c r="B1738" s="6"/>
      <c r="C1738" s="6"/>
      <c r="D1738" s="5"/>
      <c r="E1738" s="5"/>
      <c r="F1738" s="5"/>
      <c r="G1738" s="228"/>
      <c r="H1738" s="5"/>
      <c r="I1738" s="5"/>
      <c r="J1738" s="10"/>
      <c r="K1738" s="10"/>
      <c r="L1738" s="10"/>
      <c r="M1738" s="10"/>
      <c r="N1738" s="10"/>
      <c r="O1738" s="10"/>
      <c r="P1738" s="236"/>
      <c r="Q1738" s="10"/>
      <c r="R1738" s="236"/>
      <c r="S1738" s="10"/>
      <c r="T1738" s="10"/>
      <c r="U1738" s="10"/>
      <c r="V1738" s="236"/>
      <c r="W1738" s="236"/>
      <c r="X1738" s="10"/>
      <c r="Y1738" s="236"/>
      <c r="Z1738" s="10"/>
      <c r="AA1738" s="10"/>
      <c r="AB1738" s="10"/>
      <c r="AC1738" s="236"/>
      <c r="AD1738" s="10"/>
      <c r="AE1738" s="10"/>
      <c r="AF1738" s="10"/>
      <c r="AG1738" s="236"/>
      <c r="AH1738" s="10"/>
      <c r="AI1738" s="10"/>
      <c r="AJ1738" s="10"/>
      <c r="AK1738" s="10"/>
      <c r="AL1738" s="10"/>
      <c r="AM1738" s="236"/>
      <c r="AN1738" s="10"/>
      <c r="AO1738" s="236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236"/>
      <c r="AZ1738" s="10"/>
      <c r="BA1738" s="10"/>
      <c r="BB1738" s="10"/>
      <c r="BC1738" s="10"/>
      <c r="BD1738" s="10"/>
      <c r="BE1738" s="236"/>
      <c r="BF1738" s="10"/>
      <c r="BG1738" s="10"/>
      <c r="BH1738" s="10"/>
      <c r="BI1738" s="236"/>
      <c r="BJ1738" s="10"/>
      <c r="BK1738" s="10"/>
      <c r="BL1738" s="10"/>
      <c r="BM1738" s="10"/>
      <c r="BN1738" s="8"/>
      <c r="BO1738" s="10"/>
      <c r="BP1738" s="8"/>
      <c r="BQ1738" s="10"/>
      <c r="BR1738" s="11"/>
      <c r="BS1738" s="12"/>
      <c r="BT1738" s="13"/>
      <c r="BU1738" s="8"/>
    </row>
    <row r="1739" s="1" customFormat="1" customHeight="1" spans="1:73">
      <c r="A1739" s="5"/>
      <c r="B1739" s="6"/>
      <c r="C1739" s="6"/>
      <c r="D1739" s="5"/>
      <c r="E1739" s="5"/>
      <c r="F1739" s="5"/>
      <c r="G1739" s="228"/>
      <c r="H1739" s="5"/>
      <c r="I1739" s="5"/>
      <c r="J1739" s="10"/>
      <c r="K1739" s="10"/>
      <c r="L1739" s="10"/>
      <c r="M1739" s="10"/>
      <c r="N1739" s="10"/>
      <c r="O1739" s="10"/>
      <c r="P1739" s="236"/>
      <c r="Q1739" s="10"/>
      <c r="R1739" s="236"/>
      <c r="S1739" s="10"/>
      <c r="T1739" s="10"/>
      <c r="U1739" s="10"/>
      <c r="V1739" s="236"/>
      <c r="W1739" s="236"/>
      <c r="X1739" s="10"/>
      <c r="Y1739" s="236"/>
      <c r="Z1739" s="10"/>
      <c r="AA1739" s="10"/>
      <c r="AB1739" s="10"/>
      <c r="AC1739" s="236"/>
      <c r="AD1739" s="10"/>
      <c r="AE1739" s="10"/>
      <c r="AF1739" s="10"/>
      <c r="AG1739" s="236"/>
      <c r="AH1739" s="10"/>
      <c r="AI1739" s="10"/>
      <c r="AJ1739" s="10"/>
      <c r="AK1739" s="10"/>
      <c r="AL1739" s="10"/>
      <c r="AM1739" s="236"/>
      <c r="AN1739" s="10"/>
      <c r="AO1739" s="236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236"/>
      <c r="AZ1739" s="10"/>
      <c r="BA1739" s="10"/>
      <c r="BB1739" s="10"/>
      <c r="BC1739" s="10"/>
      <c r="BD1739" s="10"/>
      <c r="BE1739" s="236"/>
      <c r="BF1739" s="10"/>
      <c r="BG1739" s="10"/>
      <c r="BH1739" s="10"/>
      <c r="BI1739" s="236"/>
      <c r="BJ1739" s="10"/>
      <c r="BK1739" s="10"/>
      <c r="BL1739" s="10"/>
      <c r="BM1739" s="10"/>
      <c r="BN1739" s="8"/>
      <c r="BO1739" s="10"/>
      <c r="BP1739" s="8"/>
      <c r="BQ1739" s="10"/>
      <c r="BR1739" s="11"/>
      <c r="BS1739" s="12"/>
      <c r="BT1739" s="13"/>
      <c r="BU1739" s="8"/>
    </row>
    <row r="1740" s="1" customFormat="1" customHeight="1" spans="1:73">
      <c r="A1740" s="5"/>
      <c r="B1740" s="6"/>
      <c r="C1740" s="6"/>
      <c r="D1740" s="5"/>
      <c r="E1740" s="5"/>
      <c r="F1740" s="5"/>
      <c r="G1740" s="228"/>
      <c r="H1740" s="5"/>
      <c r="I1740" s="5"/>
      <c r="J1740" s="10"/>
      <c r="K1740" s="10"/>
      <c r="L1740" s="10"/>
      <c r="M1740" s="10"/>
      <c r="N1740" s="10"/>
      <c r="O1740" s="10"/>
      <c r="P1740" s="236"/>
      <c r="Q1740" s="10"/>
      <c r="R1740" s="236"/>
      <c r="S1740" s="10"/>
      <c r="T1740" s="10"/>
      <c r="U1740" s="10"/>
      <c r="V1740" s="236"/>
      <c r="W1740" s="236"/>
      <c r="X1740" s="10"/>
      <c r="Y1740" s="236"/>
      <c r="Z1740" s="10"/>
      <c r="AA1740" s="10"/>
      <c r="AB1740" s="10"/>
      <c r="AC1740" s="236"/>
      <c r="AD1740" s="10"/>
      <c r="AE1740" s="10"/>
      <c r="AF1740" s="10"/>
      <c r="AG1740" s="236"/>
      <c r="AH1740" s="10"/>
      <c r="AI1740" s="10"/>
      <c r="AJ1740" s="10"/>
      <c r="AK1740" s="10"/>
      <c r="AL1740" s="10"/>
      <c r="AM1740" s="236"/>
      <c r="AN1740" s="10"/>
      <c r="AO1740" s="236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236"/>
      <c r="AZ1740" s="10"/>
      <c r="BA1740" s="10"/>
      <c r="BB1740" s="10"/>
      <c r="BC1740" s="10"/>
      <c r="BD1740" s="10"/>
      <c r="BE1740" s="236"/>
      <c r="BF1740" s="10"/>
      <c r="BG1740" s="10"/>
      <c r="BH1740" s="10"/>
      <c r="BI1740" s="236"/>
      <c r="BJ1740" s="10"/>
      <c r="BK1740" s="10"/>
      <c r="BL1740" s="10"/>
      <c r="BM1740" s="10"/>
      <c r="BN1740" s="8"/>
      <c r="BO1740" s="10"/>
      <c r="BP1740" s="8"/>
      <c r="BQ1740" s="10"/>
      <c r="BR1740" s="11"/>
      <c r="BS1740" s="12"/>
      <c r="BT1740" s="13"/>
      <c r="BU1740" s="8"/>
    </row>
    <row r="1741" s="1" customFormat="1" customHeight="1" spans="1:73">
      <c r="A1741" s="5"/>
      <c r="B1741" s="6"/>
      <c r="C1741" s="6"/>
      <c r="D1741" s="5"/>
      <c r="E1741" s="5"/>
      <c r="F1741" s="5"/>
      <c r="G1741" s="228"/>
      <c r="H1741" s="5"/>
      <c r="I1741" s="5"/>
      <c r="J1741" s="10"/>
      <c r="K1741" s="10"/>
      <c r="L1741" s="10"/>
      <c r="M1741" s="10"/>
      <c r="N1741" s="10"/>
      <c r="O1741" s="10"/>
      <c r="P1741" s="236"/>
      <c r="Q1741" s="10"/>
      <c r="R1741" s="236"/>
      <c r="S1741" s="10"/>
      <c r="T1741" s="10"/>
      <c r="U1741" s="10"/>
      <c r="V1741" s="236"/>
      <c r="W1741" s="236"/>
      <c r="X1741" s="10"/>
      <c r="Y1741" s="236"/>
      <c r="Z1741" s="10"/>
      <c r="AA1741" s="10"/>
      <c r="AB1741" s="10"/>
      <c r="AC1741" s="236"/>
      <c r="AD1741" s="10"/>
      <c r="AE1741" s="10"/>
      <c r="AF1741" s="10"/>
      <c r="AG1741" s="236"/>
      <c r="AH1741" s="10"/>
      <c r="AI1741" s="10"/>
      <c r="AJ1741" s="10"/>
      <c r="AK1741" s="10"/>
      <c r="AL1741" s="10"/>
      <c r="AM1741" s="236"/>
      <c r="AN1741" s="10"/>
      <c r="AO1741" s="236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236"/>
      <c r="AZ1741" s="10"/>
      <c r="BA1741" s="10"/>
      <c r="BB1741" s="10"/>
      <c r="BC1741" s="10"/>
      <c r="BD1741" s="10"/>
      <c r="BE1741" s="236"/>
      <c r="BF1741" s="10"/>
      <c r="BG1741" s="10"/>
      <c r="BH1741" s="10"/>
      <c r="BI1741" s="236"/>
      <c r="BJ1741" s="10"/>
      <c r="BK1741" s="10"/>
      <c r="BL1741" s="10"/>
      <c r="BM1741" s="10"/>
      <c r="BN1741" s="8"/>
      <c r="BO1741" s="10"/>
      <c r="BP1741" s="8"/>
      <c r="BQ1741" s="10"/>
      <c r="BR1741" s="11"/>
      <c r="BS1741" s="12"/>
      <c r="BT1741" s="13"/>
      <c r="BU1741" s="8"/>
    </row>
    <row r="1742" s="1" customFormat="1" customHeight="1" spans="1:73">
      <c r="A1742" s="5"/>
      <c r="B1742" s="6"/>
      <c r="C1742" s="6"/>
      <c r="D1742" s="5"/>
      <c r="E1742" s="5"/>
      <c r="F1742" s="5"/>
      <c r="G1742" s="228"/>
      <c r="H1742" s="5"/>
      <c r="I1742" s="5"/>
      <c r="J1742" s="10"/>
      <c r="K1742" s="10"/>
      <c r="L1742" s="10"/>
      <c r="M1742" s="10"/>
      <c r="N1742" s="10"/>
      <c r="O1742" s="10"/>
      <c r="P1742" s="236"/>
      <c r="Q1742" s="10"/>
      <c r="R1742" s="236"/>
      <c r="S1742" s="10"/>
      <c r="T1742" s="10"/>
      <c r="U1742" s="10"/>
      <c r="V1742" s="236"/>
      <c r="W1742" s="236"/>
      <c r="X1742" s="10"/>
      <c r="Y1742" s="236"/>
      <c r="Z1742" s="10"/>
      <c r="AA1742" s="10"/>
      <c r="AB1742" s="10"/>
      <c r="AC1742" s="236"/>
      <c r="AD1742" s="10"/>
      <c r="AE1742" s="10"/>
      <c r="AF1742" s="10"/>
      <c r="AG1742" s="236"/>
      <c r="AH1742" s="10"/>
      <c r="AI1742" s="10"/>
      <c r="AJ1742" s="10"/>
      <c r="AK1742" s="10"/>
      <c r="AL1742" s="10"/>
      <c r="AM1742" s="236"/>
      <c r="AN1742" s="10"/>
      <c r="AO1742" s="236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236"/>
      <c r="AZ1742" s="10"/>
      <c r="BA1742" s="10"/>
      <c r="BB1742" s="10"/>
      <c r="BC1742" s="10"/>
      <c r="BD1742" s="10"/>
      <c r="BE1742" s="236"/>
      <c r="BF1742" s="10"/>
      <c r="BG1742" s="10"/>
      <c r="BH1742" s="10"/>
      <c r="BI1742" s="236"/>
      <c r="BJ1742" s="10"/>
      <c r="BK1742" s="10"/>
      <c r="BL1742" s="10"/>
      <c r="BM1742" s="10"/>
      <c r="BN1742" s="8"/>
      <c r="BO1742" s="10"/>
      <c r="BP1742" s="8"/>
      <c r="BQ1742" s="10"/>
      <c r="BR1742" s="11"/>
      <c r="BS1742" s="12"/>
      <c r="BT1742" s="13"/>
      <c r="BU1742" s="8"/>
    </row>
    <row r="1743" s="1" customFormat="1" customHeight="1" spans="1:73">
      <c r="A1743" s="5"/>
      <c r="B1743" s="6"/>
      <c r="C1743" s="6"/>
      <c r="D1743" s="5"/>
      <c r="E1743" s="5"/>
      <c r="F1743" s="5"/>
      <c r="G1743" s="228"/>
      <c r="H1743" s="5"/>
      <c r="I1743" s="5"/>
      <c r="J1743" s="10"/>
      <c r="K1743" s="10"/>
      <c r="L1743" s="10"/>
      <c r="M1743" s="10"/>
      <c r="N1743" s="10"/>
      <c r="O1743" s="10"/>
      <c r="P1743" s="236"/>
      <c r="Q1743" s="10"/>
      <c r="R1743" s="236"/>
      <c r="S1743" s="10"/>
      <c r="T1743" s="10"/>
      <c r="U1743" s="10"/>
      <c r="V1743" s="236"/>
      <c r="W1743" s="236"/>
      <c r="X1743" s="10"/>
      <c r="Y1743" s="236"/>
      <c r="Z1743" s="10"/>
      <c r="AA1743" s="10"/>
      <c r="AB1743" s="10"/>
      <c r="AC1743" s="236"/>
      <c r="AD1743" s="10"/>
      <c r="AE1743" s="10"/>
      <c r="AF1743" s="10"/>
      <c r="AG1743" s="236"/>
      <c r="AH1743" s="10"/>
      <c r="AI1743" s="10"/>
      <c r="AJ1743" s="10"/>
      <c r="AK1743" s="10"/>
      <c r="AL1743" s="10"/>
      <c r="AM1743" s="236"/>
      <c r="AN1743" s="10"/>
      <c r="AO1743" s="236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236"/>
      <c r="AZ1743" s="10"/>
      <c r="BA1743" s="10"/>
      <c r="BB1743" s="10"/>
      <c r="BC1743" s="10"/>
      <c r="BD1743" s="10"/>
      <c r="BE1743" s="236"/>
      <c r="BF1743" s="10"/>
      <c r="BG1743" s="10"/>
      <c r="BH1743" s="10"/>
      <c r="BI1743" s="236"/>
      <c r="BJ1743" s="10"/>
      <c r="BK1743" s="10"/>
      <c r="BL1743" s="10"/>
      <c r="BM1743" s="10"/>
      <c r="BN1743" s="8"/>
      <c r="BO1743" s="10"/>
      <c r="BP1743" s="8"/>
      <c r="BQ1743" s="10"/>
      <c r="BR1743" s="11"/>
      <c r="BS1743" s="12"/>
      <c r="BT1743" s="13"/>
      <c r="BU1743" s="8"/>
    </row>
    <row r="1744" s="1" customFormat="1" customHeight="1" spans="1:73">
      <c r="A1744" s="5"/>
      <c r="B1744" s="6"/>
      <c r="C1744" s="6"/>
      <c r="D1744" s="5"/>
      <c r="E1744" s="5"/>
      <c r="F1744" s="5"/>
      <c r="G1744" s="228"/>
      <c r="H1744" s="5"/>
      <c r="I1744" s="5"/>
      <c r="J1744" s="10"/>
      <c r="K1744" s="10"/>
      <c r="L1744" s="10"/>
      <c r="M1744" s="10"/>
      <c r="N1744" s="10"/>
      <c r="O1744" s="10"/>
      <c r="P1744" s="236"/>
      <c r="Q1744" s="10"/>
      <c r="R1744" s="236"/>
      <c r="S1744" s="10"/>
      <c r="T1744" s="10"/>
      <c r="U1744" s="10"/>
      <c r="V1744" s="236"/>
      <c r="W1744" s="236"/>
      <c r="X1744" s="10"/>
      <c r="Y1744" s="236"/>
      <c r="Z1744" s="10"/>
      <c r="AA1744" s="10"/>
      <c r="AB1744" s="10"/>
      <c r="AC1744" s="236"/>
      <c r="AD1744" s="10"/>
      <c r="AE1744" s="10"/>
      <c r="AF1744" s="10"/>
      <c r="AG1744" s="236"/>
      <c r="AH1744" s="10"/>
      <c r="AI1744" s="10"/>
      <c r="AJ1744" s="10"/>
      <c r="AK1744" s="10"/>
      <c r="AL1744" s="10"/>
      <c r="AM1744" s="236"/>
      <c r="AN1744" s="10"/>
      <c r="AO1744" s="236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236"/>
      <c r="AZ1744" s="10"/>
      <c r="BA1744" s="10"/>
      <c r="BB1744" s="10"/>
      <c r="BC1744" s="10"/>
      <c r="BD1744" s="10"/>
      <c r="BE1744" s="236"/>
      <c r="BF1744" s="10"/>
      <c r="BG1744" s="10"/>
      <c r="BH1744" s="10"/>
      <c r="BI1744" s="236"/>
      <c r="BJ1744" s="10"/>
      <c r="BK1744" s="10"/>
      <c r="BL1744" s="10"/>
      <c r="BM1744" s="10"/>
      <c r="BN1744" s="8"/>
      <c r="BO1744" s="10"/>
      <c r="BP1744" s="8"/>
      <c r="BQ1744" s="10"/>
      <c r="BR1744" s="11"/>
      <c r="BS1744" s="12"/>
      <c r="BT1744" s="13"/>
      <c r="BU1744" s="8"/>
    </row>
    <row r="1745" s="1" customFormat="1" customHeight="1" spans="1:73">
      <c r="A1745" s="5"/>
      <c r="B1745" s="6"/>
      <c r="C1745" s="6"/>
      <c r="D1745" s="5"/>
      <c r="E1745" s="5"/>
      <c r="F1745" s="5"/>
      <c r="G1745" s="228"/>
      <c r="H1745" s="5"/>
      <c r="I1745" s="5"/>
      <c r="J1745" s="10"/>
      <c r="K1745" s="10"/>
      <c r="L1745" s="10"/>
      <c r="M1745" s="10"/>
      <c r="N1745" s="10"/>
      <c r="O1745" s="10"/>
      <c r="P1745" s="236"/>
      <c r="Q1745" s="10"/>
      <c r="R1745" s="236"/>
      <c r="S1745" s="10"/>
      <c r="T1745" s="10"/>
      <c r="U1745" s="10"/>
      <c r="V1745" s="236"/>
      <c r="W1745" s="236"/>
      <c r="X1745" s="10"/>
      <c r="Y1745" s="236"/>
      <c r="Z1745" s="10"/>
      <c r="AA1745" s="10"/>
      <c r="AB1745" s="10"/>
      <c r="AC1745" s="236"/>
      <c r="AD1745" s="10"/>
      <c r="AE1745" s="10"/>
      <c r="AF1745" s="10"/>
      <c r="AG1745" s="236"/>
      <c r="AH1745" s="10"/>
      <c r="AI1745" s="10"/>
      <c r="AJ1745" s="10"/>
      <c r="AK1745" s="10"/>
      <c r="AL1745" s="10"/>
      <c r="AM1745" s="236"/>
      <c r="AN1745" s="10"/>
      <c r="AO1745" s="236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236"/>
      <c r="AZ1745" s="10"/>
      <c r="BA1745" s="10"/>
      <c r="BB1745" s="10"/>
      <c r="BC1745" s="10"/>
      <c r="BD1745" s="10"/>
      <c r="BE1745" s="236"/>
      <c r="BF1745" s="10"/>
      <c r="BG1745" s="10"/>
      <c r="BH1745" s="10"/>
      <c r="BI1745" s="236"/>
      <c r="BJ1745" s="10"/>
      <c r="BK1745" s="10"/>
      <c r="BL1745" s="10"/>
      <c r="BM1745" s="10"/>
      <c r="BN1745" s="8"/>
      <c r="BO1745" s="10"/>
      <c r="BP1745" s="8"/>
      <c r="BQ1745" s="10"/>
      <c r="BR1745" s="11"/>
      <c r="BS1745" s="12"/>
      <c r="BT1745" s="13"/>
      <c r="BU1745" s="8"/>
    </row>
    <row r="1746" s="1" customFormat="1" customHeight="1" spans="1:73">
      <c r="A1746" s="5"/>
      <c r="B1746" s="6"/>
      <c r="C1746" s="6"/>
      <c r="D1746" s="5"/>
      <c r="E1746" s="5"/>
      <c r="F1746" s="5"/>
      <c r="G1746" s="228"/>
      <c r="H1746" s="5"/>
      <c r="I1746" s="5"/>
      <c r="J1746" s="10"/>
      <c r="K1746" s="10"/>
      <c r="L1746" s="10"/>
      <c r="M1746" s="10"/>
      <c r="N1746" s="10"/>
      <c r="O1746" s="10"/>
      <c r="P1746" s="236"/>
      <c r="Q1746" s="10"/>
      <c r="R1746" s="236"/>
      <c r="S1746" s="10"/>
      <c r="T1746" s="10"/>
      <c r="U1746" s="10"/>
      <c r="V1746" s="236"/>
      <c r="W1746" s="236"/>
      <c r="X1746" s="10"/>
      <c r="Y1746" s="236"/>
      <c r="Z1746" s="10"/>
      <c r="AA1746" s="10"/>
      <c r="AB1746" s="10"/>
      <c r="AC1746" s="236"/>
      <c r="AD1746" s="10"/>
      <c r="AE1746" s="10"/>
      <c r="AF1746" s="10"/>
      <c r="AG1746" s="236"/>
      <c r="AH1746" s="10"/>
      <c r="AI1746" s="10"/>
      <c r="AJ1746" s="10"/>
      <c r="AK1746" s="10"/>
      <c r="AL1746" s="10"/>
      <c r="AM1746" s="236"/>
      <c r="AN1746" s="10"/>
      <c r="AO1746" s="236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236"/>
      <c r="AZ1746" s="10"/>
      <c r="BA1746" s="10"/>
      <c r="BB1746" s="10"/>
      <c r="BC1746" s="10"/>
      <c r="BD1746" s="10"/>
      <c r="BE1746" s="236"/>
      <c r="BF1746" s="10"/>
      <c r="BG1746" s="10"/>
      <c r="BH1746" s="10"/>
      <c r="BI1746" s="236"/>
      <c r="BJ1746" s="10"/>
      <c r="BK1746" s="10"/>
      <c r="BL1746" s="10"/>
      <c r="BM1746" s="10"/>
      <c r="BN1746" s="8"/>
      <c r="BO1746" s="10"/>
      <c r="BP1746" s="8"/>
      <c r="BQ1746" s="10"/>
      <c r="BR1746" s="11"/>
      <c r="BS1746" s="12"/>
      <c r="BT1746" s="13"/>
      <c r="BU1746" s="8"/>
    </row>
    <row r="1747" s="1" customFormat="1" customHeight="1" spans="1:73">
      <c r="A1747" s="5"/>
      <c r="B1747" s="6"/>
      <c r="C1747" s="6"/>
      <c r="D1747" s="5"/>
      <c r="E1747" s="5"/>
      <c r="F1747" s="5"/>
      <c r="G1747" s="228"/>
      <c r="H1747" s="5"/>
      <c r="I1747" s="5"/>
      <c r="J1747" s="10"/>
      <c r="K1747" s="10"/>
      <c r="L1747" s="10"/>
      <c r="M1747" s="10"/>
      <c r="N1747" s="10"/>
      <c r="O1747" s="10"/>
      <c r="P1747" s="236"/>
      <c r="Q1747" s="10"/>
      <c r="R1747" s="236"/>
      <c r="S1747" s="10"/>
      <c r="T1747" s="10"/>
      <c r="U1747" s="10"/>
      <c r="V1747" s="236"/>
      <c r="W1747" s="236"/>
      <c r="X1747" s="10"/>
      <c r="Y1747" s="236"/>
      <c r="Z1747" s="10"/>
      <c r="AA1747" s="10"/>
      <c r="AB1747" s="10"/>
      <c r="AC1747" s="236"/>
      <c r="AD1747" s="10"/>
      <c r="AE1747" s="10"/>
      <c r="AF1747" s="10"/>
      <c r="AG1747" s="236"/>
      <c r="AH1747" s="10"/>
      <c r="AI1747" s="10"/>
      <c r="AJ1747" s="10"/>
      <c r="AK1747" s="10"/>
      <c r="AL1747" s="10"/>
      <c r="AM1747" s="236"/>
      <c r="AN1747" s="10"/>
      <c r="AO1747" s="236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236"/>
      <c r="AZ1747" s="10"/>
      <c r="BA1747" s="10"/>
      <c r="BB1747" s="10"/>
      <c r="BC1747" s="10"/>
      <c r="BD1747" s="10"/>
      <c r="BE1747" s="236"/>
      <c r="BF1747" s="10"/>
      <c r="BG1747" s="10"/>
      <c r="BH1747" s="10"/>
      <c r="BI1747" s="236"/>
      <c r="BJ1747" s="10"/>
      <c r="BK1747" s="10"/>
      <c r="BL1747" s="10"/>
      <c r="BM1747" s="10"/>
      <c r="BN1747" s="8"/>
      <c r="BO1747" s="10"/>
      <c r="BP1747" s="8"/>
      <c r="BQ1747" s="10"/>
      <c r="BR1747" s="11"/>
      <c r="BS1747" s="12"/>
      <c r="BT1747" s="13"/>
      <c r="BU1747" s="8"/>
    </row>
    <row r="1748" s="1" customFormat="1" customHeight="1" spans="1:73">
      <c r="A1748" s="5"/>
      <c r="B1748" s="6"/>
      <c r="C1748" s="6"/>
      <c r="D1748" s="5"/>
      <c r="E1748" s="5"/>
      <c r="F1748" s="5"/>
      <c r="G1748" s="228"/>
      <c r="H1748" s="5"/>
      <c r="I1748" s="5"/>
      <c r="J1748" s="10"/>
      <c r="K1748" s="10"/>
      <c r="L1748" s="10"/>
      <c r="M1748" s="10"/>
      <c r="N1748" s="10"/>
      <c r="O1748" s="10"/>
      <c r="P1748" s="236"/>
      <c r="Q1748" s="10"/>
      <c r="R1748" s="236"/>
      <c r="S1748" s="10"/>
      <c r="T1748" s="10"/>
      <c r="U1748" s="10"/>
      <c r="V1748" s="236"/>
      <c r="W1748" s="236"/>
      <c r="X1748" s="10"/>
      <c r="Y1748" s="236"/>
      <c r="Z1748" s="10"/>
      <c r="AA1748" s="10"/>
      <c r="AB1748" s="10"/>
      <c r="AC1748" s="236"/>
      <c r="AD1748" s="10"/>
      <c r="AE1748" s="10"/>
      <c r="AF1748" s="10"/>
      <c r="AG1748" s="236"/>
      <c r="AH1748" s="10"/>
      <c r="AI1748" s="10"/>
      <c r="AJ1748" s="10"/>
      <c r="AK1748" s="10"/>
      <c r="AL1748" s="10"/>
      <c r="AM1748" s="236"/>
      <c r="AN1748" s="10"/>
      <c r="AO1748" s="236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236"/>
      <c r="AZ1748" s="10"/>
      <c r="BA1748" s="10"/>
      <c r="BB1748" s="10"/>
      <c r="BC1748" s="10"/>
      <c r="BD1748" s="10"/>
      <c r="BE1748" s="236"/>
      <c r="BF1748" s="10"/>
      <c r="BG1748" s="10"/>
      <c r="BH1748" s="10"/>
      <c r="BI1748" s="236"/>
      <c r="BJ1748" s="10"/>
      <c r="BK1748" s="10"/>
      <c r="BL1748" s="10"/>
      <c r="BM1748" s="10"/>
      <c r="BN1748" s="8"/>
      <c r="BO1748" s="10"/>
      <c r="BP1748" s="8"/>
      <c r="BQ1748" s="10"/>
      <c r="BR1748" s="11"/>
      <c r="BS1748" s="12"/>
      <c r="BT1748" s="13"/>
      <c r="BU1748" s="8"/>
    </row>
    <row r="1749" s="1" customFormat="1" customHeight="1" spans="1:73">
      <c r="A1749" s="5"/>
      <c r="B1749" s="6"/>
      <c r="C1749" s="6"/>
      <c r="D1749" s="5"/>
      <c r="E1749" s="5"/>
      <c r="F1749" s="5"/>
      <c r="G1749" s="228"/>
      <c r="H1749" s="5"/>
      <c r="I1749" s="5"/>
      <c r="J1749" s="10"/>
      <c r="K1749" s="10"/>
      <c r="L1749" s="10"/>
      <c r="M1749" s="10"/>
      <c r="N1749" s="10"/>
      <c r="O1749" s="10"/>
      <c r="P1749" s="236"/>
      <c r="Q1749" s="10"/>
      <c r="R1749" s="236"/>
      <c r="S1749" s="10"/>
      <c r="T1749" s="10"/>
      <c r="U1749" s="10"/>
      <c r="V1749" s="236"/>
      <c r="W1749" s="236"/>
      <c r="X1749" s="10"/>
      <c r="Y1749" s="236"/>
      <c r="Z1749" s="10"/>
      <c r="AA1749" s="10"/>
      <c r="AB1749" s="10"/>
      <c r="AC1749" s="236"/>
      <c r="AD1749" s="10"/>
      <c r="AE1749" s="10"/>
      <c r="AF1749" s="10"/>
      <c r="AG1749" s="236"/>
      <c r="AH1749" s="10"/>
      <c r="AI1749" s="10"/>
      <c r="AJ1749" s="10"/>
      <c r="AK1749" s="10"/>
      <c r="AL1749" s="10"/>
      <c r="AM1749" s="236"/>
      <c r="AN1749" s="10"/>
      <c r="AO1749" s="236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236"/>
      <c r="AZ1749" s="10"/>
      <c r="BA1749" s="10"/>
      <c r="BB1749" s="10"/>
      <c r="BC1749" s="10"/>
      <c r="BD1749" s="10"/>
      <c r="BE1749" s="236"/>
      <c r="BF1749" s="10"/>
      <c r="BG1749" s="10"/>
      <c r="BH1749" s="10"/>
      <c r="BI1749" s="236"/>
      <c r="BJ1749" s="10"/>
      <c r="BK1749" s="10"/>
      <c r="BL1749" s="10"/>
      <c r="BM1749" s="10"/>
      <c r="BN1749" s="8"/>
      <c r="BO1749" s="10"/>
      <c r="BP1749" s="8"/>
      <c r="BQ1749" s="10"/>
      <c r="BR1749" s="11"/>
      <c r="BS1749" s="12"/>
      <c r="BT1749" s="13"/>
      <c r="BU1749" s="8"/>
    </row>
    <row r="1750" s="1" customFormat="1" customHeight="1" spans="1:73">
      <c r="A1750" s="5"/>
      <c r="B1750" s="6"/>
      <c r="C1750" s="6"/>
      <c r="D1750" s="5"/>
      <c r="E1750" s="5"/>
      <c r="F1750" s="5"/>
      <c r="G1750" s="228"/>
      <c r="H1750" s="5"/>
      <c r="I1750" s="5"/>
      <c r="J1750" s="10"/>
      <c r="K1750" s="10"/>
      <c r="L1750" s="10"/>
      <c r="M1750" s="10"/>
      <c r="N1750" s="10"/>
      <c r="O1750" s="10"/>
      <c r="P1750" s="236"/>
      <c r="Q1750" s="10"/>
      <c r="R1750" s="236"/>
      <c r="S1750" s="10"/>
      <c r="T1750" s="10"/>
      <c r="U1750" s="10"/>
      <c r="V1750" s="236"/>
      <c r="W1750" s="236"/>
      <c r="X1750" s="10"/>
      <c r="Y1750" s="236"/>
      <c r="Z1750" s="10"/>
      <c r="AA1750" s="10"/>
      <c r="AB1750" s="10"/>
      <c r="AC1750" s="236"/>
      <c r="AD1750" s="10"/>
      <c r="AE1750" s="10"/>
      <c r="AF1750" s="10"/>
      <c r="AG1750" s="236"/>
      <c r="AH1750" s="10"/>
      <c r="AI1750" s="10"/>
      <c r="AJ1750" s="10"/>
      <c r="AK1750" s="10"/>
      <c r="AL1750" s="10"/>
      <c r="AM1750" s="236"/>
      <c r="AN1750" s="10"/>
      <c r="AO1750" s="236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236"/>
      <c r="AZ1750" s="10"/>
      <c r="BA1750" s="10"/>
      <c r="BB1750" s="10"/>
      <c r="BC1750" s="10"/>
      <c r="BD1750" s="10"/>
      <c r="BE1750" s="236"/>
      <c r="BF1750" s="10"/>
      <c r="BG1750" s="10"/>
      <c r="BH1750" s="10"/>
      <c r="BI1750" s="236"/>
      <c r="BJ1750" s="10"/>
      <c r="BK1750" s="10"/>
      <c r="BL1750" s="10"/>
      <c r="BM1750" s="10"/>
      <c r="BN1750" s="8"/>
      <c r="BO1750" s="10"/>
      <c r="BP1750" s="8"/>
      <c r="BQ1750" s="10"/>
      <c r="BR1750" s="11"/>
      <c r="BS1750" s="12"/>
      <c r="BT1750" s="13"/>
      <c r="BU1750" s="8"/>
    </row>
    <row r="1751" s="1" customFormat="1" customHeight="1" spans="1:73">
      <c r="A1751" s="5"/>
      <c r="B1751" s="6"/>
      <c r="C1751" s="6"/>
      <c r="D1751" s="5"/>
      <c r="E1751" s="5"/>
      <c r="F1751" s="5"/>
      <c r="G1751" s="228"/>
      <c r="H1751" s="5"/>
      <c r="I1751" s="5"/>
      <c r="J1751" s="10"/>
      <c r="K1751" s="10"/>
      <c r="L1751" s="10"/>
      <c r="M1751" s="10"/>
      <c r="N1751" s="10"/>
      <c r="O1751" s="10"/>
      <c r="P1751" s="236"/>
      <c r="Q1751" s="10"/>
      <c r="R1751" s="236"/>
      <c r="S1751" s="10"/>
      <c r="T1751" s="10"/>
      <c r="U1751" s="10"/>
      <c r="V1751" s="236"/>
      <c r="W1751" s="236"/>
      <c r="X1751" s="10"/>
      <c r="Y1751" s="236"/>
      <c r="Z1751" s="10"/>
      <c r="AA1751" s="10"/>
      <c r="AB1751" s="10"/>
      <c r="AC1751" s="236"/>
      <c r="AD1751" s="10"/>
      <c r="AE1751" s="10"/>
      <c r="AF1751" s="10"/>
      <c r="AG1751" s="236"/>
      <c r="AH1751" s="10"/>
      <c r="AI1751" s="10"/>
      <c r="AJ1751" s="10"/>
      <c r="AK1751" s="10"/>
      <c r="AL1751" s="10"/>
      <c r="AM1751" s="236"/>
      <c r="AN1751" s="10"/>
      <c r="AO1751" s="236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236"/>
      <c r="AZ1751" s="10"/>
      <c r="BA1751" s="10"/>
      <c r="BB1751" s="10"/>
      <c r="BC1751" s="10"/>
      <c r="BD1751" s="10"/>
      <c r="BE1751" s="236"/>
      <c r="BF1751" s="10"/>
      <c r="BG1751" s="10"/>
      <c r="BH1751" s="10"/>
      <c r="BI1751" s="236"/>
      <c r="BJ1751" s="10"/>
      <c r="BK1751" s="10"/>
      <c r="BL1751" s="10"/>
      <c r="BM1751" s="10"/>
      <c r="BN1751" s="8"/>
      <c r="BO1751" s="10"/>
      <c r="BP1751" s="8"/>
      <c r="BQ1751" s="10"/>
      <c r="BR1751" s="11"/>
      <c r="BS1751" s="12"/>
      <c r="BT1751" s="13"/>
      <c r="BU1751" s="8"/>
    </row>
    <row r="1752" s="1" customFormat="1" customHeight="1" spans="1:73">
      <c r="A1752" s="5"/>
      <c r="B1752" s="6"/>
      <c r="C1752" s="6"/>
      <c r="D1752" s="5"/>
      <c r="E1752" s="5"/>
      <c r="F1752" s="5"/>
      <c r="G1752" s="228"/>
      <c r="H1752" s="5"/>
      <c r="I1752" s="5"/>
      <c r="J1752" s="10"/>
      <c r="K1752" s="10"/>
      <c r="L1752" s="10"/>
      <c r="M1752" s="10"/>
      <c r="N1752" s="10"/>
      <c r="O1752" s="10"/>
      <c r="P1752" s="236"/>
      <c r="Q1752" s="10"/>
      <c r="R1752" s="236"/>
      <c r="S1752" s="10"/>
      <c r="T1752" s="10"/>
      <c r="U1752" s="10"/>
      <c r="V1752" s="236"/>
      <c r="W1752" s="236"/>
      <c r="X1752" s="10"/>
      <c r="Y1752" s="236"/>
      <c r="Z1752" s="10"/>
      <c r="AA1752" s="10"/>
      <c r="AB1752" s="10"/>
      <c r="AC1752" s="236"/>
      <c r="AD1752" s="10"/>
      <c r="AE1752" s="10"/>
      <c r="AF1752" s="10"/>
      <c r="AG1752" s="236"/>
      <c r="AH1752" s="10"/>
      <c r="AI1752" s="10"/>
      <c r="AJ1752" s="10"/>
      <c r="AK1752" s="10"/>
      <c r="AL1752" s="10"/>
      <c r="AM1752" s="236"/>
      <c r="AN1752" s="10"/>
      <c r="AO1752" s="236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236"/>
      <c r="AZ1752" s="10"/>
      <c r="BA1752" s="10"/>
      <c r="BB1752" s="10"/>
      <c r="BC1752" s="10"/>
      <c r="BD1752" s="10"/>
      <c r="BE1752" s="236"/>
      <c r="BF1752" s="10"/>
      <c r="BG1752" s="10"/>
      <c r="BH1752" s="10"/>
      <c r="BI1752" s="236"/>
      <c r="BJ1752" s="10"/>
      <c r="BK1752" s="10"/>
      <c r="BL1752" s="10"/>
      <c r="BM1752" s="10"/>
      <c r="BN1752" s="8"/>
      <c r="BO1752" s="10"/>
      <c r="BP1752" s="8"/>
      <c r="BQ1752" s="10"/>
      <c r="BR1752" s="11"/>
      <c r="BS1752" s="12"/>
      <c r="BT1752" s="13"/>
      <c r="BU1752" s="8"/>
    </row>
    <row r="1753" s="1" customFormat="1" customHeight="1" spans="1:73">
      <c r="A1753" s="5"/>
      <c r="B1753" s="6"/>
      <c r="C1753" s="6"/>
      <c r="D1753" s="5"/>
      <c r="E1753" s="5"/>
      <c r="F1753" s="5"/>
      <c r="G1753" s="228"/>
      <c r="H1753" s="5"/>
      <c r="I1753" s="5"/>
      <c r="J1753" s="10"/>
      <c r="K1753" s="10"/>
      <c r="L1753" s="10"/>
      <c r="M1753" s="10"/>
      <c r="N1753" s="10"/>
      <c r="O1753" s="10"/>
      <c r="P1753" s="236"/>
      <c r="Q1753" s="10"/>
      <c r="R1753" s="236"/>
      <c r="S1753" s="10"/>
      <c r="T1753" s="10"/>
      <c r="U1753" s="10"/>
      <c r="V1753" s="236"/>
      <c r="W1753" s="236"/>
      <c r="X1753" s="10"/>
      <c r="Y1753" s="236"/>
      <c r="Z1753" s="10"/>
      <c r="AA1753" s="10"/>
      <c r="AB1753" s="10"/>
      <c r="AC1753" s="236"/>
      <c r="AD1753" s="10"/>
      <c r="AE1753" s="10"/>
      <c r="AF1753" s="10"/>
      <c r="AG1753" s="236"/>
      <c r="AH1753" s="10"/>
      <c r="AI1753" s="10"/>
      <c r="AJ1753" s="10"/>
      <c r="AK1753" s="10"/>
      <c r="AL1753" s="10"/>
      <c r="AM1753" s="236"/>
      <c r="AN1753" s="10"/>
      <c r="AO1753" s="236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236"/>
      <c r="AZ1753" s="10"/>
      <c r="BA1753" s="10"/>
      <c r="BB1753" s="10"/>
      <c r="BC1753" s="10"/>
      <c r="BD1753" s="10"/>
      <c r="BE1753" s="236"/>
      <c r="BF1753" s="10"/>
      <c r="BG1753" s="10"/>
      <c r="BH1753" s="10"/>
      <c r="BI1753" s="236"/>
      <c r="BJ1753" s="10"/>
      <c r="BK1753" s="10"/>
      <c r="BL1753" s="10"/>
      <c r="BM1753" s="10"/>
      <c r="BN1753" s="8"/>
      <c r="BO1753" s="10"/>
      <c r="BP1753" s="8"/>
      <c r="BQ1753" s="10"/>
      <c r="BR1753" s="11"/>
      <c r="BS1753" s="12"/>
      <c r="BT1753" s="13"/>
      <c r="BU1753" s="8"/>
    </row>
    <row r="1754" s="1" customFormat="1" customHeight="1" spans="1:73">
      <c r="A1754" s="5"/>
      <c r="B1754" s="6"/>
      <c r="C1754" s="6"/>
      <c r="D1754" s="5"/>
      <c r="E1754" s="5"/>
      <c r="F1754" s="5"/>
      <c r="G1754" s="228"/>
      <c r="H1754" s="5"/>
      <c r="I1754" s="5"/>
      <c r="J1754" s="10"/>
      <c r="K1754" s="10"/>
      <c r="L1754" s="10"/>
      <c r="M1754" s="10"/>
      <c r="N1754" s="10"/>
      <c r="O1754" s="10"/>
      <c r="P1754" s="236"/>
      <c r="Q1754" s="10"/>
      <c r="R1754" s="236"/>
      <c r="S1754" s="10"/>
      <c r="T1754" s="10"/>
      <c r="U1754" s="10"/>
      <c r="V1754" s="236"/>
      <c r="W1754" s="236"/>
      <c r="X1754" s="10"/>
      <c r="Y1754" s="236"/>
      <c r="Z1754" s="10"/>
      <c r="AA1754" s="10"/>
      <c r="AB1754" s="10"/>
      <c r="AC1754" s="236"/>
      <c r="AD1754" s="10"/>
      <c r="AE1754" s="10"/>
      <c r="AF1754" s="10"/>
      <c r="AG1754" s="236"/>
      <c r="AH1754" s="10"/>
      <c r="AI1754" s="10"/>
      <c r="AJ1754" s="10"/>
      <c r="AK1754" s="10"/>
      <c r="AL1754" s="10"/>
      <c r="AM1754" s="236"/>
      <c r="AN1754" s="10"/>
      <c r="AO1754" s="236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236"/>
      <c r="AZ1754" s="10"/>
      <c r="BA1754" s="10"/>
      <c r="BB1754" s="10"/>
      <c r="BC1754" s="10"/>
      <c r="BD1754" s="10"/>
      <c r="BE1754" s="236"/>
      <c r="BF1754" s="10"/>
      <c r="BG1754" s="10"/>
      <c r="BH1754" s="10"/>
      <c r="BI1754" s="236"/>
      <c r="BJ1754" s="10"/>
      <c r="BK1754" s="10"/>
      <c r="BL1754" s="10"/>
      <c r="BM1754" s="10"/>
      <c r="BN1754" s="8"/>
      <c r="BO1754" s="10"/>
      <c r="BP1754" s="8"/>
      <c r="BQ1754" s="10"/>
      <c r="BR1754" s="11"/>
      <c r="BS1754" s="12"/>
      <c r="BT1754" s="13"/>
      <c r="BU1754" s="8"/>
    </row>
    <row r="1755" s="1" customFormat="1" customHeight="1" spans="1:73">
      <c r="A1755" s="5"/>
      <c r="B1755" s="6"/>
      <c r="C1755" s="6"/>
      <c r="D1755" s="5"/>
      <c r="E1755" s="5"/>
      <c r="F1755" s="5"/>
      <c r="G1755" s="228"/>
      <c r="H1755" s="5"/>
      <c r="I1755" s="5"/>
      <c r="J1755" s="10"/>
      <c r="K1755" s="10"/>
      <c r="L1755" s="10"/>
      <c r="M1755" s="10"/>
      <c r="N1755" s="10"/>
      <c r="O1755" s="10"/>
      <c r="P1755" s="236"/>
      <c r="Q1755" s="10"/>
      <c r="R1755" s="236"/>
      <c r="S1755" s="10"/>
      <c r="T1755" s="10"/>
      <c r="U1755" s="10"/>
      <c r="V1755" s="236"/>
      <c r="W1755" s="236"/>
      <c r="X1755" s="10"/>
      <c r="Y1755" s="236"/>
      <c r="Z1755" s="10"/>
      <c r="AA1755" s="10"/>
      <c r="AB1755" s="10"/>
      <c r="AC1755" s="236"/>
      <c r="AD1755" s="10"/>
      <c r="AE1755" s="10"/>
      <c r="AF1755" s="10"/>
      <c r="AG1755" s="236"/>
      <c r="AH1755" s="10"/>
      <c r="AI1755" s="10"/>
      <c r="AJ1755" s="10"/>
      <c r="AK1755" s="10"/>
      <c r="AL1755" s="10"/>
      <c r="AM1755" s="236"/>
      <c r="AN1755" s="10"/>
      <c r="AO1755" s="236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236"/>
      <c r="AZ1755" s="10"/>
      <c r="BA1755" s="10"/>
      <c r="BB1755" s="10"/>
      <c r="BC1755" s="10"/>
      <c r="BD1755" s="10"/>
      <c r="BE1755" s="236"/>
      <c r="BF1755" s="10"/>
      <c r="BG1755" s="10"/>
      <c r="BH1755" s="10"/>
      <c r="BI1755" s="236"/>
      <c r="BJ1755" s="10"/>
      <c r="BK1755" s="10"/>
      <c r="BL1755" s="10"/>
      <c r="BM1755" s="10"/>
      <c r="BN1755" s="8"/>
      <c r="BO1755" s="10"/>
      <c r="BP1755" s="8"/>
      <c r="BQ1755" s="10"/>
      <c r="BR1755" s="11"/>
      <c r="BS1755" s="12"/>
      <c r="BT1755" s="13"/>
      <c r="BU1755" s="8"/>
    </row>
    <row r="1756" s="1" customFormat="1" customHeight="1" spans="1:73">
      <c r="A1756" s="5"/>
      <c r="B1756" s="6"/>
      <c r="C1756" s="6"/>
      <c r="D1756" s="5"/>
      <c r="E1756" s="5"/>
      <c r="F1756" s="5"/>
      <c r="G1756" s="228"/>
      <c r="H1756" s="5"/>
      <c r="I1756" s="5"/>
      <c r="J1756" s="10"/>
      <c r="K1756" s="10"/>
      <c r="L1756" s="10"/>
      <c r="M1756" s="10"/>
      <c r="N1756" s="10"/>
      <c r="O1756" s="10"/>
      <c r="P1756" s="236"/>
      <c r="Q1756" s="10"/>
      <c r="R1756" s="236"/>
      <c r="S1756" s="10"/>
      <c r="T1756" s="10"/>
      <c r="U1756" s="10"/>
      <c r="V1756" s="236"/>
      <c r="W1756" s="236"/>
      <c r="X1756" s="10"/>
      <c r="Y1756" s="236"/>
      <c r="Z1756" s="10"/>
      <c r="AA1756" s="10"/>
      <c r="AB1756" s="10"/>
      <c r="AC1756" s="236"/>
      <c r="AD1756" s="10"/>
      <c r="AE1756" s="10"/>
      <c r="AF1756" s="10"/>
      <c r="AG1756" s="236"/>
      <c r="AH1756" s="10"/>
      <c r="AI1756" s="10"/>
      <c r="AJ1756" s="10"/>
      <c r="AK1756" s="10"/>
      <c r="AL1756" s="10"/>
      <c r="AM1756" s="236"/>
      <c r="AN1756" s="10"/>
      <c r="AO1756" s="236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236"/>
      <c r="AZ1756" s="10"/>
      <c r="BA1756" s="10"/>
      <c r="BB1756" s="10"/>
      <c r="BC1756" s="10"/>
      <c r="BD1756" s="10"/>
      <c r="BE1756" s="236"/>
      <c r="BF1756" s="10"/>
      <c r="BG1756" s="10"/>
      <c r="BH1756" s="10"/>
      <c r="BI1756" s="236"/>
      <c r="BJ1756" s="10"/>
      <c r="BK1756" s="10"/>
      <c r="BL1756" s="10"/>
      <c r="BM1756" s="10"/>
      <c r="BN1756" s="8"/>
      <c r="BO1756" s="10"/>
      <c r="BP1756" s="8"/>
      <c r="BQ1756" s="10"/>
      <c r="BR1756" s="11"/>
      <c r="BS1756" s="12"/>
      <c r="BT1756" s="13"/>
      <c r="BU1756" s="8"/>
    </row>
    <row r="1757" s="1" customFormat="1" customHeight="1" spans="1:73">
      <c r="A1757" s="5"/>
      <c r="B1757" s="6"/>
      <c r="C1757" s="6"/>
      <c r="D1757" s="5"/>
      <c r="E1757" s="5"/>
      <c r="F1757" s="5"/>
      <c r="G1757" s="228"/>
      <c r="H1757" s="5"/>
      <c r="I1757" s="5"/>
      <c r="J1757" s="10"/>
      <c r="K1757" s="10"/>
      <c r="L1757" s="10"/>
      <c r="M1757" s="10"/>
      <c r="N1757" s="10"/>
      <c r="O1757" s="10"/>
      <c r="P1757" s="236"/>
      <c r="Q1757" s="10"/>
      <c r="R1757" s="236"/>
      <c r="S1757" s="10"/>
      <c r="T1757" s="10"/>
      <c r="U1757" s="10"/>
      <c r="V1757" s="236"/>
      <c r="W1757" s="236"/>
      <c r="X1757" s="10"/>
      <c r="Y1757" s="236"/>
      <c r="Z1757" s="10"/>
      <c r="AA1757" s="10"/>
      <c r="AB1757" s="10"/>
      <c r="AC1757" s="236"/>
      <c r="AD1757" s="10"/>
      <c r="AE1757" s="10"/>
      <c r="AF1757" s="10"/>
      <c r="AG1757" s="236"/>
      <c r="AH1757" s="10"/>
      <c r="AI1757" s="10"/>
      <c r="AJ1757" s="10"/>
      <c r="AK1757" s="10"/>
      <c r="AL1757" s="10"/>
      <c r="AM1757" s="236"/>
      <c r="AN1757" s="10"/>
      <c r="AO1757" s="236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236"/>
      <c r="AZ1757" s="10"/>
      <c r="BA1757" s="10"/>
      <c r="BB1757" s="10"/>
      <c r="BC1757" s="10"/>
      <c r="BD1757" s="10"/>
      <c r="BE1757" s="236"/>
      <c r="BF1757" s="10"/>
      <c r="BG1757" s="10"/>
      <c r="BH1757" s="10"/>
      <c r="BI1757" s="236"/>
      <c r="BJ1757" s="10"/>
      <c r="BK1757" s="10"/>
      <c r="BL1757" s="10"/>
      <c r="BM1757" s="10"/>
      <c r="BN1757" s="8"/>
      <c r="BO1757" s="10"/>
      <c r="BP1757" s="8"/>
      <c r="BQ1757" s="10"/>
      <c r="BR1757" s="11"/>
      <c r="BS1757" s="12"/>
      <c r="BT1757" s="13"/>
      <c r="BU1757" s="8"/>
    </row>
    <row r="1758" s="1" customFormat="1" customHeight="1" spans="1:73">
      <c r="A1758" s="5"/>
      <c r="B1758" s="6"/>
      <c r="C1758" s="6"/>
      <c r="D1758" s="5"/>
      <c r="E1758" s="5"/>
      <c r="F1758" s="5"/>
      <c r="G1758" s="228"/>
      <c r="H1758" s="5"/>
      <c r="I1758" s="5"/>
      <c r="J1758" s="10"/>
      <c r="K1758" s="10"/>
      <c r="L1758" s="10"/>
      <c r="M1758" s="10"/>
      <c r="N1758" s="10"/>
      <c r="O1758" s="10"/>
      <c r="P1758" s="236"/>
      <c r="Q1758" s="10"/>
      <c r="R1758" s="236"/>
      <c r="S1758" s="10"/>
      <c r="T1758" s="10"/>
      <c r="U1758" s="10"/>
      <c r="V1758" s="236"/>
      <c r="W1758" s="236"/>
      <c r="X1758" s="10"/>
      <c r="Y1758" s="236"/>
      <c r="Z1758" s="10"/>
      <c r="AA1758" s="10"/>
      <c r="AB1758" s="10"/>
      <c r="AC1758" s="236"/>
      <c r="AD1758" s="10"/>
      <c r="AE1758" s="10"/>
      <c r="AF1758" s="10"/>
      <c r="AG1758" s="236"/>
      <c r="AH1758" s="10"/>
      <c r="AI1758" s="10"/>
      <c r="AJ1758" s="10"/>
      <c r="AK1758" s="10"/>
      <c r="AL1758" s="10"/>
      <c r="AM1758" s="236"/>
      <c r="AN1758" s="10"/>
      <c r="AO1758" s="236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236"/>
      <c r="AZ1758" s="10"/>
      <c r="BA1758" s="10"/>
      <c r="BB1758" s="10"/>
      <c r="BC1758" s="10"/>
      <c r="BD1758" s="10"/>
      <c r="BE1758" s="236"/>
      <c r="BF1758" s="10"/>
      <c r="BG1758" s="10"/>
      <c r="BH1758" s="10"/>
      <c r="BI1758" s="236"/>
      <c r="BJ1758" s="10"/>
      <c r="BK1758" s="10"/>
      <c r="BL1758" s="10"/>
      <c r="BM1758" s="10"/>
      <c r="BN1758" s="8"/>
      <c r="BO1758" s="10"/>
      <c r="BP1758" s="8"/>
      <c r="BQ1758" s="10"/>
      <c r="BR1758" s="11"/>
      <c r="BS1758" s="12"/>
      <c r="BT1758" s="13"/>
      <c r="BU1758" s="8"/>
    </row>
    <row r="1759" s="1" customFormat="1" customHeight="1" spans="1:73">
      <c r="A1759" s="5"/>
      <c r="B1759" s="6"/>
      <c r="C1759" s="6"/>
      <c r="D1759" s="5"/>
      <c r="E1759" s="5"/>
      <c r="F1759" s="5"/>
      <c r="G1759" s="228"/>
      <c r="H1759" s="5"/>
      <c r="I1759" s="5"/>
      <c r="J1759" s="10"/>
      <c r="K1759" s="10"/>
      <c r="L1759" s="10"/>
      <c r="M1759" s="10"/>
      <c r="N1759" s="10"/>
      <c r="O1759" s="10"/>
      <c r="P1759" s="236"/>
      <c r="Q1759" s="10"/>
      <c r="R1759" s="236"/>
      <c r="S1759" s="10"/>
      <c r="T1759" s="10"/>
      <c r="U1759" s="10"/>
      <c r="V1759" s="236"/>
      <c r="W1759" s="236"/>
      <c r="X1759" s="10"/>
      <c r="Y1759" s="236"/>
      <c r="Z1759" s="10"/>
      <c r="AA1759" s="10"/>
      <c r="AB1759" s="10"/>
      <c r="AC1759" s="236"/>
      <c r="AD1759" s="10"/>
      <c r="AE1759" s="10"/>
      <c r="AF1759" s="10"/>
      <c r="AG1759" s="236"/>
      <c r="AH1759" s="10"/>
      <c r="AI1759" s="10"/>
      <c r="AJ1759" s="10"/>
      <c r="AK1759" s="10"/>
      <c r="AL1759" s="10"/>
      <c r="AM1759" s="236"/>
      <c r="AN1759" s="10"/>
      <c r="AO1759" s="236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236"/>
      <c r="AZ1759" s="10"/>
      <c r="BA1759" s="10"/>
      <c r="BB1759" s="10"/>
      <c r="BC1759" s="10"/>
      <c r="BD1759" s="10"/>
      <c r="BE1759" s="236"/>
      <c r="BF1759" s="10"/>
      <c r="BG1759" s="10"/>
      <c r="BH1759" s="10"/>
      <c r="BI1759" s="236"/>
      <c r="BJ1759" s="10"/>
      <c r="BK1759" s="10"/>
      <c r="BL1759" s="10"/>
      <c r="BM1759" s="10"/>
      <c r="BN1759" s="8"/>
      <c r="BO1759" s="10"/>
      <c r="BP1759" s="8"/>
      <c r="BQ1759" s="10"/>
      <c r="BR1759" s="11"/>
      <c r="BS1759" s="12"/>
      <c r="BT1759" s="13"/>
      <c r="BU1759" s="8"/>
    </row>
    <row r="1760" s="1" customFormat="1" customHeight="1" spans="1:73">
      <c r="A1760" s="5"/>
      <c r="B1760" s="6"/>
      <c r="C1760" s="6"/>
      <c r="D1760" s="5"/>
      <c r="E1760" s="5"/>
      <c r="F1760" s="5"/>
      <c r="G1760" s="228"/>
      <c r="H1760" s="5"/>
      <c r="I1760" s="5"/>
      <c r="J1760" s="10"/>
      <c r="K1760" s="10"/>
      <c r="L1760" s="10"/>
      <c r="M1760" s="10"/>
      <c r="N1760" s="10"/>
      <c r="O1760" s="10"/>
      <c r="P1760" s="236"/>
      <c r="Q1760" s="10"/>
      <c r="R1760" s="236"/>
      <c r="S1760" s="10"/>
      <c r="T1760" s="10"/>
      <c r="U1760" s="10"/>
      <c r="V1760" s="236"/>
      <c r="W1760" s="236"/>
      <c r="X1760" s="10"/>
      <c r="Y1760" s="236"/>
      <c r="Z1760" s="10"/>
      <c r="AA1760" s="10"/>
      <c r="AB1760" s="10"/>
      <c r="AC1760" s="236"/>
      <c r="AD1760" s="10"/>
      <c r="AE1760" s="10"/>
      <c r="AF1760" s="10"/>
      <c r="AG1760" s="236"/>
      <c r="AH1760" s="10"/>
      <c r="AI1760" s="10"/>
      <c r="AJ1760" s="10"/>
      <c r="AK1760" s="10"/>
      <c r="AL1760" s="10"/>
      <c r="AM1760" s="236"/>
      <c r="AN1760" s="10"/>
      <c r="AO1760" s="236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236"/>
      <c r="AZ1760" s="10"/>
      <c r="BA1760" s="10"/>
      <c r="BB1760" s="10"/>
      <c r="BC1760" s="10"/>
      <c r="BD1760" s="10"/>
      <c r="BE1760" s="236"/>
      <c r="BF1760" s="10"/>
      <c r="BG1760" s="10"/>
      <c r="BH1760" s="10"/>
      <c r="BI1760" s="236"/>
      <c r="BJ1760" s="10"/>
      <c r="BK1760" s="10"/>
      <c r="BL1760" s="10"/>
      <c r="BM1760" s="10"/>
      <c r="BN1760" s="8"/>
      <c r="BO1760" s="10"/>
      <c r="BP1760" s="8"/>
      <c r="BQ1760" s="10"/>
      <c r="BR1760" s="11"/>
      <c r="BS1760" s="12"/>
      <c r="BT1760" s="13"/>
      <c r="BU1760" s="8"/>
    </row>
    <row r="1761" s="1" customFormat="1" customHeight="1" spans="1:73">
      <c r="A1761" s="5"/>
      <c r="B1761" s="6"/>
      <c r="C1761" s="6"/>
      <c r="D1761" s="5"/>
      <c r="E1761" s="5"/>
      <c r="F1761" s="5"/>
      <c r="G1761" s="228"/>
      <c r="H1761" s="5"/>
      <c r="I1761" s="5"/>
      <c r="J1761" s="10"/>
      <c r="K1761" s="10"/>
      <c r="L1761" s="10"/>
      <c r="M1761" s="10"/>
      <c r="N1761" s="10"/>
      <c r="O1761" s="10"/>
      <c r="P1761" s="236"/>
      <c r="Q1761" s="10"/>
      <c r="R1761" s="236"/>
      <c r="S1761" s="10"/>
      <c r="T1761" s="10"/>
      <c r="U1761" s="10"/>
      <c r="V1761" s="236"/>
      <c r="W1761" s="236"/>
      <c r="X1761" s="10"/>
      <c r="Y1761" s="236"/>
      <c r="Z1761" s="10"/>
      <c r="AA1761" s="10"/>
      <c r="AB1761" s="10"/>
      <c r="AC1761" s="236"/>
      <c r="AD1761" s="10"/>
      <c r="AE1761" s="10"/>
      <c r="AF1761" s="10"/>
      <c r="AG1761" s="236"/>
      <c r="AH1761" s="10"/>
      <c r="AI1761" s="10"/>
      <c r="AJ1761" s="10"/>
      <c r="AK1761" s="10"/>
      <c r="AL1761" s="10"/>
      <c r="AM1761" s="236"/>
      <c r="AN1761" s="10"/>
      <c r="AO1761" s="236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236"/>
      <c r="AZ1761" s="10"/>
      <c r="BA1761" s="10"/>
      <c r="BB1761" s="10"/>
      <c r="BC1761" s="10"/>
      <c r="BD1761" s="10"/>
      <c r="BE1761" s="236"/>
      <c r="BF1761" s="10"/>
      <c r="BG1761" s="10"/>
      <c r="BH1761" s="10"/>
      <c r="BI1761" s="236"/>
      <c r="BJ1761" s="10"/>
      <c r="BK1761" s="10"/>
      <c r="BL1761" s="10"/>
      <c r="BM1761" s="10"/>
      <c r="BN1761" s="8"/>
      <c r="BO1761" s="10"/>
      <c r="BP1761" s="8"/>
      <c r="BQ1761" s="10"/>
      <c r="BR1761" s="11"/>
      <c r="BS1761" s="12"/>
      <c r="BT1761" s="13"/>
      <c r="BU1761" s="8"/>
    </row>
    <row r="1762" s="1" customFormat="1" customHeight="1" spans="1:73">
      <c r="A1762" s="5"/>
      <c r="B1762" s="6"/>
      <c r="C1762" s="6"/>
      <c r="D1762" s="5"/>
      <c r="E1762" s="5"/>
      <c r="F1762" s="5"/>
      <c r="G1762" s="228"/>
      <c r="H1762" s="5"/>
      <c r="I1762" s="5"/>
      <c r="J1762" s="10"/>
      <c r="K1762" s="10"/>
      <c r="L1762" s="10"/>
      <c r="M1762" s="10"/>
      <c r="N1762" s="10"/>
      <c r="O1762" s="10"/>
      <c r="P1762" s="236"/>
      <c r="Q1762" s="10"/>
      <c r="R1762" s="236"/>
      <c r="S1762" s="10"/>
      <c r="T1762" s="10"/>
      <c r="U1762" s="10"/>
      <c r="V1762" s="236"/>
      <c r="W1762" s="236"/>
      <c r="X1762" s="10"/>
      <c r="Y1762" s="236"/>
      <c r="Z1762" s="10"/>
      <c r="AA1762" s="10"/>
      <c r="AB1762" s="10"/>
      <c r="AC1762" s="236"/>
      <c r="AD1762" s="10"/>
      <c r="AE1762" s="10"/>
      <c r="AF1762" s="10"/>
      <c r="AG1762" s="236"/>
      <c r="AH1762" s="10"/>
      <c r="AI1762" s="10"/>
      <c r="AJ1762" s="10"/>
      <c r="AK1762" s="10"/>
      <c r="AL1762" s="10"/>
      <c r="AM1762" s="236"/>
      <c r="AN1762" s="10"/>
      <c r="AO1762" s="236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236"/>
      <c r="AZ1762" s="10"/>
      <c r="BA1762" s="10"/>
      <c r="BB1762" s="10"/>
      <c r="BC1762" s="10"/>
      <c r="BD1762" s="10"/>
      <c r="BE1762" s="236"/>
      <c r="BF1762" s="10"/>
      <c r="BG1762" s="10"/>
      <c r="BH1762" s="10"/>
      <c r="BI1762" s="236"/>
      <c r="BJ1762" s="10"/>
      <c r="BK1762" s="10"/>
      <c r="BL1762" s="10"/>
      <c r="BM1762" s="10"/>
      <c r="BN1762" s="8"/>
      <c r="BO1762" s="10"/>
      <c r="BP1762" s="8"/>
      <c r="BQ1762" s="10"/>
      <c r="BR1762" s="11"/>
      <c r="BS1762" s="12"/>
      <c r="BT1762" s="13"/>
      <c r="BU1762" s="8"/>
    </row>
    <row r="1763" s="1" customFormat="1" customHeight="1" spans="1:73">
      <c r="A1763" s="5"/>
      <c r="B1763" s="6"/>
      <c r="C1763" s="6"/>
      <c r="D1763" s="5"/>
      <c r="E1763" s="5"/>
      <c r="F1763" s="5"/>
      <c r="G1763" s="228"/>
      <c r="H1763" s="5"/>
      <c r="I1763" s="5"/>
      <c r="J1763" s="10"/>
      <c r="K1763" s="10"/>
      <c r="L1763" s="10"/>
      <c r="M1763" s="10"/>
      <c r="N1763" s="10"/>
      <c r="O1763" s="10"/>
      <c r="P1763" s="236"/>
      <c r="Q1763" s="10"/>
      <c r="R1763" s="236"/>
      <c r="S1763" s="10"/>
      <c r="T1763" s="10"/>
      <c r="U1763" s="10"/>
      <c r="V1763" s="236"/>
      <c r="W1763" s="236"/>
      <c r="X1763" s="10"/>
      <c r="Y1763" s="236"/>
      <c r="Z1763" s="10"/>
      <c r="AA1763" s="10"/>
      <c r="AB1763" s="10"/>
      <c r="AC1763" s="236"/>
      <c r="AD1763" s="10"/>
      <c r="AE1763" s="10"/>
      <c r="AF1763" s="10"/>
      <c r="AG1763" s="236"/>
      <c r="AH1763" s="10"/>
      <c r="AI1763" s="10"/>
      <c r="AJ1763" s="10"/>
      <c r="AK1763" s="10"/>
      <c r="AL1763" s="10"/>
      <c r="AM1763" s="236"/>
      <c r="AN1763" s="10"/>
      <c r="AO1763" s="236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236"/>
      <c r="AZ1763" s="10"/>
      <c r="BA1763" s="10"/>
      <c r="BB1763" s="10"/>
      <c r="BC1763" s="10"/>
      <c r="BD1763" s="10"/>
      <c r="BE1763" s="236"/>
      <c r="BF1763" s="10"/>
      <c r="BG1763" s="10"/>
      <c r="BH1763" s="10"/>
      <c r="BI1763" s="236"/>
      <c r="BJ1763" s="10"/>
      <c r="BK1763" s="10"/>
      <c r="BL1763" s="10"/>
      <c r="BM1763" s="10"/>
      <c r="BN1763" s="8"/>
      <c r="BO1763" s="10"/>
      <c r="BP1763" s="8"/>
      <c r="BQ1763" s="10"/>
      <c r="BR1763" s="11"/>
      <c r="BS1763" s="12"/>
      <c r="BT1763" s="13"/>
      <c r="BU1763" s="8"/>
    </row>
    <row r="1764" s="1" customFormat="1" customHeight="1" spans="1:73">
      <c r="A1764" s="5"/>
      <c r="B1764" s="6"/>
      <c r="C1764" s="6"/>
      <c r="D1764" s="5"/>
      <c r="E1764" s="5"/>
      <c r="F1764" s="5"/>
      <c r="G1764" s="228"/>
      <c r="H1764" s="5"/>
      <c r="I1764" s="5"/>
      <c r="J1764" s="10"/>
      <c r="K1764" s="10"/>
      <c r="L1764" s="10"/>
      <c r="M1764" s="10"/>
      <c r="N1764" s="10"/>
      <c r="O1764" s="10"/>
      <c r="P1764" s="236"/>
      <c r="Q1764" s="10"/>
      <c r="R1764" s="236"/>
      <c r="S1764" s="10"/>
      <c r="T1764" s="10"/>
      <c r="U1764" s="10"/>
      <c r="V1764" s="236"/>
      <c r="W1764" s="236"/>
      <c r="X1764" s="10"/>
      <c r="Y1764" s="236"/>
      <c r="Z1764" s="10"/>
      <c r="AA1764" s="10"/>
      <c r="AB1764" s="10"/>
      <c r="AC1764" s="236"/>
      <c r="AD1764" s="10"/>
      <c r="AE1764" s="10"/>
      <c r="AF1764" s="10"/>
      <c r="AG1764" s="236"/>
      <c r="AH1764" s="10"/>
      <c r="AI1764" s="10"/>
      <c r="AJ1764" s="10"/>
      <c r="AK1764" s="10"/>
      <c r="AL1764" s="10"/>
      <c r="AM1764" s="236"/>
      <c r="AN1764" s="10"/>
      <c r="AO1764" s="236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236"/>
      <c r="AZ1764" s="10"/>
      <c r="BA1764" s="10"/>
      <c r="BB1764" s="10"/>
      <c r="BC1764" s="10"/>
      <c r="BD1764" s="10"/>
      <c r="BE1764" s="236"/>
      <c r="BF1764" s="10"/>
      <c r="BG1764" s="10"/>
      <c r="BH1764" s="10"/>
      <c r="BI1764" s="236"/>
      <c r="BJ1764" s="10"/>
      <c r="BK1764" s="10"/>
      <c r="BL1764" s="10"/>
      <c r="BM1764" s="10"/>
      <c r="BN1764" s="8"/>
      <c r="BO1764" s="10"/>
      <c r="BP1764" s="8"/>
      <c r="BQ1764" s="10"/>
      <c r="BR1764" s="11"/>
      <c r="BS1764" s="12"/>
      <c r="BT1764" s="13"/>
      <c r="BU1764" s="8"/>
    </row>
    <row r="1765" s="1" customFormat="1" customHeight="1" spans="1:73">
      <c r="A1765" s="5"/>
      <c r="B1765" s="6"/>
      <c r="C1765" s="6"/>
      <c r="D1765" s="5"/>
      <c r="E1765" s="5"/>
      <c r="F1765" s="5"/>
      <c r="G1765" s="228"/>
      <c r="H1765" s="5"/>
      <c r="I1765" s="5"/>
      <c r="J1765" s="10"/>
      <c r="K1765" s="10"/>
      <c r="L1765" s="10"/>
      <c r="M1765" s="10"/>
      <c r="N1765" s="10"/>
      <c r="O1765" s="10"/>
      <c r="P1765" s="236"/>
      <c r="Q1765" s="10"/>
      <c r="R1765" s="236"/>
      <c r="S1765" s="10"/>
      <c r="T1765" s="10"/>
      <c r="U1765" s="10"/>
      <c r="V1765" s="236"/>
      <c r="W1765" s="236"/>
      <c r="X1765" s="10"/>
      <c r="Y1765" s="236"/>
      <c r="Z1765" s="10"/>
      <c r="AA1765" s="10"/>
      <c r="AB1765" s="10"/>
      <c r="AC1765" s="236"/>
      <c r="AD1765" s="10"/>
      <c r="AE1765" s="10"/>
      <c r="AF1765" s="10"/>
      <c r="AG1765" s="236"/>
      <c r="AH1765" s="10"/>
      <c r="AI1765" s="10"/>
      <c r="AJ1765" s="10"/>
      <c r="AK1765" s="10"/>
      <c r="AL1765" s="10"/>
      <c r="AM1765" s="236"/>
      <c r="AN1765" s="10"/>
      <c r="AO1765" s="236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236"/>
      <c r="AZ1765" s="10"/>
      <c r="BA1765" s="10"/>
      <c r="BB1765" s="10"/>
      <c r="BC1765" s="10"/>
      <c r="BD1765" s="10"/>
      <c r="BE1765" s="236"/>
      <c r="BF1765" s="10"/>
      <c r="BG1765" s="10"/>
      <c r="BH1765" s="10"/>
      <c r="BI1765" s="236"/>
      <c r="BJ1765" s="10"/>
      <c r="BK1765" s="10"/>
      <c r="BL1765" s="10"/>
      <c r="BM1765" s="10"/>
      <c r="BN1765" s="8"/>
      <c r="BO1765" s="10"/>
      <c r="BP1765" s="8"/>
      <c r="BQ1765" s="10"/>
      <c r="BR1765" s="11"/>
      <c r="BS1765" s="12"/>
      <c r="BT1765" s="13"/>
      <c r="BU1765" s="8"/>
    </row>
    <row r="1766" s="1" customFormat="1" customHeight="1" spans="1:73">
      <c r="A1766" s="5"/>
      <c r="B1766" s="6"/>
      <c r="C1766" s="6"/>
      <c r="D1766" s="5"/>
      <c r="E1766" s="5"/>
      <c r="F1766" s="5"/>
      <c r="G1766" s="228"/>
      <c r="H1766" s="5"/>
      <c r="I1766" s="5"/>
      <c r="J1766" s="10"/>
      <c r="K1766" s="10"/>
      <c r="L1766" s="10"/>
      <c r="M1766" s="10"/>
      <c r="N1766" s="10"/>
      <c r="O1766" s="10"/>
      <c r="P1766" s="236"/>
      <c r="Q1766" s="10"/>
      <c r="R1766" s="236"/>
      <c r="S1766" s="10"/>
      <c r="T1766" s="10"/>
      <c r="U1766" s="10"/>
      <c r="V1766" s="236"/>
      <c r="W1766" s="236"/>
      <c r="X1766" s="10"/>
      <c r="Y1766" s="236"/>
      <c r="Z1766" s="10"/>
      <c r="AA1766" s="10"/>
      <c r="AB1766" s="10"/>
      <c r="AC1766" s="236"/>
      <c r="AD1766" s="10"/>
      <c r="AE1766" s="10"/>
      <c r="AF1766" s="10"/>
      <c r="AG1766" s="236"/>
      <c r="AH1766" s="10"/>
      <c r="AI1766" s="10"/>
      <c r="AJ1766" s="10"/>
      <c r="AK1766" s="10"/>
      <c r="AL1766" s="10"/>
      <c r="AM1766" s="236"/>
      <c r="AN1766" s="10"/>
      <c r="AO1766" s="236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236"/>
      <c r="AZ1766" s="10"/>
      <c r="BA1766" s="10"/>
      <c r="BB1766" s="10"/>
      <c r="BC1766" s="10"/>
      <c r="BD1766" s="10"/>
      <c r="BE1766" s="236"/>
      <c r="BF1766" s="10"/>
      <c r="BG1766" s="10"/>
      <c r="BH1766" s="10"/>
      <c r="BI1766" s="236"/>
      <c r="BJ1766" s="10"/>
      <c r="BK1766" s="10"/>
      <c r="BL1766" s="10"/>
      <c r="BM1766" s="10"/>
      <c r="BN1766" s="8"/>
      <c r="BO1766" s="10"/>
      <c r="BP1766" s="8"/>
      <c r="BQ1766" s="10"/>
      <c r="BR1766" s="11"/>
      <c r="BS1766" s="12"/>
      <c r="BT1766" s="13"/>
      <c r="BU1766" s="8"/>
    </row>
    <row r="1767" s="1" customFormat="1" customHeight="1" spans="1:73">
      <c r="A1767" s="5"/>
      <c r="B1767" s="6"/>
      <c r="C1767" s="6"/>
      <c r="D1767" s="5"/>
      <c r="E1767" s="5"/>
      <c r="F1767" s="5"/>
      <c r="G1767" s="228"/>
      <c r="H1767" s="5"/>
      <c r="I1767" s="5"/>
      <c r="J1767" s="10"/>
      <c r="K1767" s="10"/>
      <c r="L1767" s="10"/>
      <c r="M1767" s="10"/>
      <c r="N1767" s="10"/>
      <c r="O1767" s="10"/>
      <c r="P1767" s="236"/>
      <c r="Q1767" s="10"/>
      <c r="R1767" s="236"/>
      <c r="S1767" s="10"/>
      <c r="T1767" s="10"/>
      <c r="U1767" s="10"/>
      <c r="V1767" s="236"/>
      <c r="W1767" s="236"/>
      <c r="X1767" s="10"/>
      <c r="Y1767" s="236"/>
      <c r="Z1767" s="10"/>
      <c r="AA1767" s="10"/>
      <c r="AB1767" s="10"/>
      <c r="AC1767" s="236"/>
      <c r="AD1767" s="10"/>
      <c r="AE1767" s="10"/>
      <c r="AF1767" s="10"/>
      <c r="AG1767" s="236"/>
      <c r="AH1767" s="10"/>
      <c r="AI1767" s="10"/>
      <c r="AJ1767" s="10"/>
      <c r="AK1767" s="10"/>
      <c r="AL1767" s="10"/>
      <c r="AM1767" s="236"/>
      <c r="AN1767" s="10"/>
      <c r="AO1767" s="236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236"/>
      <c r="AZ1767" s="10"/>
      <c r="BA1767" s="10"/>
      <c r="BB1767" s="10"/>
      <c r="BC1767" s="10"/>
      <c r="BD1767" s="10"/>
      <c r="BE1767" s="236"/>
      <c r="BF1767" s="10"/>
      <c r="BG1767" s="10"/>
      <c r="BH1767" s="10"/>
      <c r="BI1767" s="236"/>
      <c r="BJ1767" s="10"/>
      <c r="BK1767" s="10"/>
      <c r="BL1767" s="10"/>
      <c r="BM1767" s="10"/>
      <c r="BN1767" s="8"/>
      <c r="BO1767" s="10"/>
      <c r="BP1767" s="8"/>
      <c r="BQ1767" s="10"/>
      <c r="BR1767" s="11"/>
      <c r="BS1767" s="12"/>
      <c r="BT1767" s="13"/>
      <c r="BU1767" s="8"/>
    </row>
    <row r="1768" s="1" customFormat="1" customHeight="1" spans="1:73">
      <c r="A1768" s="5"/>
      <c r="B1768" s="6"/>
      <c r="C1768" s="6"/>
      <c r="D1768" s="5"/>
      <c r="E1768" s="5"/>
      <c r="F1768" s="5"/>
      <c r="G1768" s="228"/>
      <c r="H1768" s="5"/>
      <c r="I1768" s="5"/>
      <c r="J1768" s="10"/>
      <c r="K1768" s="10"/>
      <c r="L1768" s="10"/>
      <c r="M1768" s="10"/>
      <c r="N1768" s="10"/>
      <c r="O1768" s="10"/>
      <c r="P1768" s="236"/>
      <c r="Q1768" s="10"/>
      <c r="R1768" s="236"/>
      <c r="S1768" s="10"/>
      <c r="T1768" s="10"/>
      <c r="U1768" s="10"/>
      <c r="V1768" s="236"/>
      <c r="W1768" s="236"/>
      <c r="X1768" s="10"/>
      <c r="Y1768" s="236"/>
      <c r="Z1768" s="10"/>
      <c r="AA1768" s="10"/>
      <c r="AB1768" s="10"/>
      <c r="AC1768" s="236"/>
      <c r="AD1768" s="10"/>
      <c r="AE1768" s="10"/>
      <c r="AF1768" s="10"/>
      <c r="AG1768" s="236"/>
      <c r="AH1768" s="10"/>
      <c r="AI1768" s="10"/>
      <c r="AJ1768" s="10"/>
      <c r="AK1768" s="10"/>
      <c r="AL1768" s="10"/>
      <c r="AM1768" s="236"/>
      <c r="AN1768" s="10"/>
      <c r="AO1768" s="236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236"/>
      <c r="AZ1768" s="10"/>
      <c r="BA1768" s="10"/>
      <c r="BB1768" s="10"/>
      <c r="BC1768" s="10"/>
      <c r="BD1768" s="10"/>
      <c r="BE1768" s="236"/>
      <c r="BF1768" s="10"/>
      <c r="BG1768" s="10"/>
      <c r="BH1768" s="10"/>
      <c r="BI1768" s="236"/>
      <c r="BJ1768" s="10"/>
      <c r="BK1768" s="10"/>
      <c r="BL1768" s="10"/>
      <c r="BM1768" s="10"/>
      <c r="BN1768" s="8"/>
      <c r="BO1768" s="10"/>
      <c r="BP1768" s="8"/>
      <c r="BQ1768" s="10"/>
      <c r="BR1768" s="11"/>
      <c r="BS1768" s="12"/>
      <c r="BT1768" s="13"/>
      <c r="BU1768" s="8"/>
    </row>
    <row r="1769" s="1" customFormat="1" customHeight="1" spans="1:73">
      <c r="A1769" s="5"/>
      <c r="B1769" s="6"/>
      <c r="C1769" s="6"/>
      <c r="D1769" s="5"/>
      <c r="E1769" s="5"/>
      <c r="F1769" s="5"/>
      <c r="G1769" s="228"/>
      <c r="H1769" s="5"/>
      <c r="I1769" s="5"/>
      <c r="J1769" s="10"/>
      <c r="K1769" s="10"/>
      <c r="L1769" s="10"/>
      <c r="M1769" s="10"/>
      <c r="N1769" s="10"/>
      <c r="O1769" s="10"/>
      <c r="P1769" s="236"/>
      <c r="Q1769" s="10"/>
      <c r="R1769" s="236"/>
      <c r="S1769" s="10"/>
      <c r="T1769" s="10"/>
      <c r="U1769" s="10"/>
      <c r="V1769" s="236"/>
      <c r="W1769" s="236"/>
      <c r="X1769" s="10"/>
      <c r="Y1769" s="236"/>
      <c r="Z1769" s="10"/>
      <c r="AA1769" s="10"/>
      <c r="AB1769" s="10"/>
      <c r="AC1769" s="236"/>
      <c r="AD1769" s="10"/>
      <c r="AE1769" s="10"/>
      <c r="AF1769" s="10"/>
      <c r="AG1769" s="236"/>
      <c r="AH1769" s="10"/>
      <c r="AI1769" s="10"/>
      <c r="AJ1769" s="10"/>
      <c r="AK1769" s="10"/>
      <c r="AL1769" s="10"/>
      <c r="AM1769" s="236"/>
      <c r="AN1769" s="10"/>
      <c r="AO1769" s="236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236"/>
      <c r="AZ1769" s="10"/>
      <c r="BA1769" s="10"/>
      <c r="BB1769" s="10"/>
      <c r="BC1769" s="10"/>
      <c r="BD1769" s="10"/>
      <c r="BE1769" s="236"/>
      <c r="BF1769" s="10"/>
      <c r="BG1769" s="10"/>
      <c r="BH1769" s="10"/>
      <c r="BI1769" s="236"/>
      <c r="BJ1769" s="10"/>
      <c r="BK1769" s="10"/>
      <c r="BL1769" s="10"/>
      <c r="BM1769" s="10"/>
      <c r="BN1769" s="8"/>
      <c r="BO1769" s="10"/>
      <c r="BP1769" s="8"/>
      <c r="BQ1769" s="10"/>
      <c r="BR1769" s="11"/>
      <c r="BS1769" s="12"/>
      <c r="BT1769" s="13"/>
      <c r="BU1769" s="8"/>
    </row>
    <row r="1770" s="1" customFormat="1" customHeight="1" spans="1:73">
      <c r="A1770" s="5"/>
      <c r="B1770" s="6"/>
      <c r="C1770" s="6"/>
      <c r="D1770" s="5"/>
      <c r="E1770" s="5"/>
      <c r="F1770" s="5"/>
      <c r="G1770" s="228"/>
      <c r="H1770" s="5"/>
      <c r="I1770" s="5"/>
      <c r="J1770" s="10"/>
      <c r="K1770" s="10"/>
      <c r="L1770" s="10"/>
      <c r="M1770" s="10"/>
      <c r="N1770" s="10"/>
      <c r="O1770" s="10"/>
      <c r="P1770" s="236"/>
      <c r="Q1770" s="10"/>
      <c r="R1770" s="236"/>
      <c r="S1770" s="10"/>
      <c r="T1770" s="10"/>
      <c r="U1770" s="10"/>
      <c r="V1770" s="236"/>
      <c r="W1770" s="236"/>
      <c r="X1770" s="10"/>
      <c r="Y1770" s="236"/>
      <c r="Z1770" s="10"/>
      <c r="AA1770" s="10"/>
      <c r="AB1770" s="10"/>
      <c r="AC1770" s="236"/>
      <c r="AD1770" s="10"/>
      <c r="AE1770" s="10"/>
      <c r="AF1770" s="10"/>
      <c r="AG1770" s="236"/>
      <c r="AH1770" s="10"/>
      <c r="AI1770" s="10"/>
      <c r="AJ1770" s="10"/>
      <c r="AK1770" s="10"/>
      <c r="AL1770" s="10"/>
      <c r="AM1770" s="236"/>
      <c r="AN1770" s="10"/>
      <c r="AO1770" s="236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236"/>
      <c r="AZ1770" s="10"/>
      <c r="BA1770" s="10"/>
      <c r="BB1770" s="10"/>
      <c r="BC1770" s="10"/>
      <c r="BD1770" s="10"/>
      <c r="BE1770" s="236"/>
      <c r="BF1770" s="10"/>
      <c r="BG1770" s="10"/>
      <c r="BH1770" s="10"/>
      <c r="BI1770" s="236"/>
      <c r="BJ1770" s="10"/>
      <c r="BK1770" s="10"/>
      <c r="BL1770" s="10"/>
      <c r="BM1770" s="10"/>
      <c r="BN1770" s="8"/>
      <c r="BO1770" s="10"/>
      <c r="BP1770" s="8"/>
      <c r="BQ1770" s="10"/>
      <c r="BR1770" s="11"/>
      <c r="BS1770" s="12"/>
      <c r="BT1770" s="13"/>
      <c r="BU1770" s="8"/>
    </row>
    <row r="1771" s="1" customFormat="1" customHeight="1" spans="1:73">
      <c r="A1771" s="5"/>
      <c r="B1771" s="6"/>
      <c r="C1771" s="6"/>
      <c r="D1771" s="5"/>
      <c r="E1771" s="5"/>
      <c r="F1771" s="5"/>
      <c r="G1771" s="228"/>
      <c r="H1771" s="5"/>
      <c r="I1771" s="5"/>
      <c r="J1771" s="10"/>
      <c r="K1771" s="10"/>
      <c r="L1771" s="10"/>
      <c r="M1771" s="10"/>
      <c r="N1771" s="10"/>
      <c r="O1771" s="10"/>
      <c r="P1771" s="236"/>
      <c r="Q1771" s="10"/>
      <c r="R1771" s="236"/>
      <c r="S1771" s="10"/>
      <c r="T1771" s="10"/>
      <c r="U1771" s="10"/>
      <c r="V1771" s="236"/>
      <c r="W1771" s="236"/>
      <c r="X1771" s="10"/>
      <c r="Y1771" s="236"/>
      <c r="Z1771" s="10"/>
      <c r="AA1771" s="10"/>
      <c r="AB1771" s="10"/>
      <c r="AC1771" s="236"/>
      <c r="AD1771" s="10"/>
      <c r="AE1771" s="10"/>
      <c r="AF1771" s="10"/>
      <c r="AG1771" s="236"/>
      <c r="AH1771" s="10"/>
      <c r="AI1771" s="10"/>
      <c r="AJ1771" s="10"/>
      <c r="AK1771" s="10"/>
      <c r="AL1771" s="10"/>
      <c r="AM1771" s="236"/>
      <c r="AN1771" s="10"/>
      <c r="AO1771" s="236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236"/>
      <c r="AZ1771" s="10"/>
      <c r="BA1771" s="10"/>
      <c r="BB1771" s="10"/>
      <c r="BC1771" s="10"/>
      <c r="BD1771" s="10"/>
      <c r="BE1771" s="236"/>
      <c r="BF1771" s="10"/>
      <c r="BG1771" s="10"/>
      <c r="BH1771" s="10"/>
      <c r="BI1771" s="236"/>
      <c r="BJ1771" s="10"/>
      <c r="BK1771" s="10"/>
      <c r="BL1771" s="10"/>
      <c r="BM1771" s="10"/>
      <c r="BN1771" s="8"/>
      <c r="BO1771" s="10"/>
      <c r="BP1771" s="8"/>
      <c r="BQ1771" s="10"/>
      <c r="BR1771" s="11"/>
      <c r="BS1771" s="12"/>
      <c r="BT1771" s="13"/>
      <c r="BU1771" s="8"/>
    </row>
    <row r="1772" s="1" customFormat="1" customHeight="1" spans="1:73">
      <c r="A1772" s="5"/>
      <c r="B1772" s="6"/>
      <c r="C1772" s="6"/>
      <c r="D1772" s="5"/>
      <c r="E1772" s="5"/>
      <c r="F1772" s="5"/>
      <c r="G1772" s="228"/>
      <c r="H1772" s="5"/>
      <c r="I1772" s="5"/>
      <c r="J1772" s="10"/>
      <c r="K1772" s="10"/>
      <c r="L1772" s="10"/>
      <c r="M1772" s="10"/>
      <c r="N1772" s="10"/>
      <c r="O1772" s="10"/>
      <c r="P1772" s="236"/>
      <c r="Q1772" s="10"/>
      <c r="R1772" s="236"/>
      <c r="S1772" s="10"/>
      <c r="T1772" s="10"/>
      <c r="U1772" s="10"/>
      <c r="V1772" s="236"/>
      <c r="W1772" s="236"/>
      <c r="X1772" s="10"/>
      <c r="Y1772" s="236"/>
      <c r="Z1772" s="10"/>
      <c r="AA1772" s="10"/>
      <c r="AB1772" s="10"/>
      <c r="AC1772" s="236"/>
      <c r="AD1772" s="10"/>
      <c r="AE1772" s="10"/>
      <c r="AF1772" s="10"/>
      <c r="AG1772" s="236"/>
      <c r="AH1772" s="10"/>
      <c r="AI1772" s="10"/>
      <c r="AJ1772" s="10"/>
      <c r="AK1772" s="10"/>
      <c r="AL1772" s="10"/>
      <c r="AM1772" s="236"/>
      <c r="AN1772" s="10"/>
      <c r="AO1772" s="236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236"/>
      <c r="AZ1772" s="10"/>
      <c r="BA1772" s="10"/>
      <c r="BB1772" s="10"/>
      <c r="BC1772" s="10"/>
      <c r="BD1772" s="10"/>
      <c r="BE1772" s="236"/>
      <c r="BF1772" s="10"/>
      <c r="BG1772" s="10"/>
      <c r="BH1772" s="10"/>
      <c r="BI1772" s="236"/>
      <c r="BJ1772" s="10"/>
      <c r="BK1772" s="10"/>
      <c r="BL1772" s="10"/>
      <c r="BM1772" s="10"/>
      <c r="BN1772" s="8"/>
      <c r="BO1772" s="10"/>
      <c r="BP1772" s="8"/>
      <c r="BQ1772" s="10"/>
      <c r="BR1772" s="11"/>
      <c r="BS1772" s="12"/>
      <c r="BT1772" s="13"/>
      <c r="BU1772" s="8"/>
    </row>
    <row r="1773" s="1" customFormat="1" customHeight="1" spans="1:73">
      <c r="A1773" s="5"/>
      <c r="B1773" s="6"/>
      <c r="C1773" s="6"/>
      <c r="D1773" s="5"/>
      <c r="E1773" s="5"/>
      <c r="F1773" s="5"/>
      <c r="G1773" s="228"/>
      <c r="H1773" s="5"/>
      <c r="I1773" s="5"/>
      <c r="J1773" s="10"/>
      <c r="K1773" s="10"/>
      <c r="L1773" s="10"/>
      <c r="M1773" s="10"/>
      <c r="N1773" s="10"/>
      <c r="O1773" s="10"/>
      <c r="P1773" s="236"/>
      <c r="Q1773" s="10"/>
      <c r="R1773" s="236"/>
      <c r="S1773" s="10"/>
      <c r="T1773" s="10"/>
      <c r="U1773" s="10"/>
      <c r="V1773" s="236"/>
      <c r="W1773" s="236"/>
      <c r="X1773" s="10"/>
      <c r="Y1773" s="236"/>
      <c r="Z1773" s="10"/>
      <c r="AA1773" s="10"/>
      <c r="AB1773" s="10"/>
      <c r="AC1773" s="236"/>
      <c r="AD1773" s="10"/>
      <c r="AE1773" s="10"/>
      <c r="AF1773" s="10"/>
      <c r="AG1773" s="236"/>
      <c r="AH1773" s="10"/>
      <c r="AI1773" s="10"/>
      <c r="AJ1773" s="10"/>
      <c r="AK1773" s="10"/>
      <c r="AL1773" s="10"/>
      <c r="AM1773" s="236"/>
      <c r="AN1773" s="10"/>
      <c r="AO1773" s="236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236"/>
      <c r="AZ1773" s="10"/>
      <c r="BA1773" s="10"/>
      <c r="BB1773" s="10"/>
      <c r="BC1773" s="10"/>
      <c r="BD1773" s="10"/>
      <c r="BE1773" s="236"/>
      <c r="BF1773" s="10"/>
      <c r="BG1773" s="10"/>
      <c r="BH1773" s="10"/>
      <c r="BI1773" s="236"/>
      <c r="BJ1773" s="10"/>
      <c r="BK1773" s="10"/>
      <c r="BL1773" s="10"/>
      <c r="BM1773" s="10"/>
      <c r="BN1773" s="8"/>
      <c r="BO1773" s="10"/>
      <c r="BP1773" s="8"/>
      <c r="BQ1773" s="10"/>
      <c r="BR1773" s="11"/>
      <c r="BS1773" s="12"/>
      <c r="BT1773" s="13"/>
      <c r="BU1773" s="8"/>
    </row>
    <row r="1774" s="1" customFormat="1" customHeight="1" spans="1:73">
      <c r="A1774" s="5"/>
      <c r="B1774" s="6"/>
      <c r="C1774" s="6"/>
      <c r="D1774" s="5"/>
      <c r="E1774" s="5"/>
      <c r="F1774" s="5"/>
      <c r="G1774" s="228"/>
      <c r="H1774" s="5"/>
      <c r="I1774" s="5"/>
      <c r="J1774" s="10"/>
      <c r="K1774" s="10"/>
      <c r="L1774" s="10"/>
      <c r="M1774" s="10"/>
      <c r="N1774" s="10"/>
      <c r="O1774" s="10"/>
      <c r="P1774" s="236"/>
      <c r="Q1774" s="10"/>
      <c r="R1774" s="236"/>
      <c r="S1774" s="10"/>
      <c r="T1774" s="10"/>
      <c r="U1774" s="10"/>
      <c r="V1774" s="236"/>
      <c r="W1774" s="236"/>
      <c r="X1774" s="10"/>
      <c r="Y1774" s="236"/>
      <c r="Z1774" s="10"/>
      <c r="AA1774" s="10"/>
      <c r="AB1774" s="10"/>
      <c r="AC1774" s="236"/>
      <c r="AD1774" s="10"/>
      <c r="AE1774" s="10"/>
      <c r="AF1774" s="10"/>
      <c r="AG1774" s="236"/>
      <c r="AH1774" s="10"/>
      <c r="AI1774" s="10"/>
      <c r="AJ1774" s="10"/>
      <c r="AK1774" s="10"/>
      <c r="AL1774" s="10"/>
      <c r="AM1774" s="236"/>
      <c r="AN1774" s="10"/>
      <c r="AO1774" s="236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236"/>
      <c r="AZ1774" s="10"/>
      <c r="BA1774" s="10"/>
      <c r="BB1774" s="10"/>
      <c r="BC1774" s="10"/>
      <c r="BD1774" s="10"/>
      <c r="BE1774" s="236"/>
      <c r="BF1774" s="10"/>
      <c r="BG1774" s="10"/>
      <c r="BH1774" s="10"/>
      <c r="BI1774" s="236"/>
      <c r="BJ1774" s="10"/>
      <c r="BK1774" s="10"/>
      <c r="BL1774" s="10"/>
      <c r="BM1774" s="10"/>
      <c r="BN1774" s="8"/>
      <c r="BO1774" s="10"/>
      <c r="BP1774" s="8"/>
      <c r="BQ1774" s="10"/>
      <c r="BR1774" s="11"/>
      <c r="BS1774" s="12"/>
      <c r="BT1774" s="13"/>
      <c r="BU1774" s="8"/>
    </row>
    <row r="1775" s="1" customFormat="1" customHeight="1" spans="1:73">
      <c r="A1775" s="5"/>
      <c r="B1775" s="6"/>
      <c r="C1775" s="6"/>
      <c r="D1775" s="5"/>
      <c r="E1775" s="5"/>
      <c r="F1775" s="5"/>
      <c r="G1775" s="228"/>
      <c r="H1775" s="5"/>
      <c r="I1775" s="5"/>
      <c r="J1775" s="10"/>
      <c r="K1775" s="10"/>
      <c r="L1775" s="10"/>
      <c r="M1775" s="10"/>
      <c r="N1775" s="10"/>
      <c r="O1775" s="10"/>
      <c r="P1775" s="236"/>
      <c r="Q1775" s="10"/>
      <c r="R1775" s="236"/>
      <c r="S1775" s="10"/>
      <c r="T1775" s="10"/>
      <c r="U1775" s="10"/>
      <c r="V1775" s="236"/>
      <c r="W1775" s="236"/>
      <c r="X1775" s="10"/>
      <c r="Y1775" s="236"/>
      <c r="Z1775" s="10"/>
      <c r="AA1775" s="10"/>
      <c r="AB1775" s="10"/>
      <c r="AC1775" s="236"/>
      <c r="AD1775" s="10"/>
      <c r="AE1775" s="10"/>
      <c r="AF1775" s="10"/>
      <c r="AG1775" s="236"/>
      <c r="AH1775" s="10"/>
      <c r="AI1775" s="10"/>
      <c r="AJ1775" s="10"/>
      <c r="AK1775" s="10"/>
      <c r="AL1775" s="10"/>
      <c r="AM1775" s="236"/>
      <c r="AN1775" s="10"/>
      <c r="AO1775" s="236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236"/>
      <c r="AZ1775" s="10"/>
      <c r="BA1775" s="10"/>
      <c r="BB1775" s="10"/>
      <c r="BC1775" s="10"/>
      <c r="BD1775" s="10"/>
      <c r="BE1775" s="236"/>
      <c r="BF1775" s="10"/>
      <c r="BG1775" s="10"/>
      <c r="BH1775" s="10"/>
      <c r="BI1775" s="236"/>
      <c r="BJ1775" s="10"/>
      <c r="BK1775" s="10"/>
      <c r="BL1775" s="10"/>
      <c r="BM1775" s="10"/>
      <c r="BN1775" s="8"/>
      <c r="BO1775" s="10"/>
      <c r="BP1775" s="8"/>
      <c r="BQ1775" s="10"/>
      <c r="BR1775" s="11"/>
      <c r="BS1775" s="12"/>
      <c r="BT1775" s="13"/>
      <c r="BU1775" s="8"/>
    </row>
    <row r="1776" s="1" customFormat="1" customHeight="1" spans="1:73">
      <c r="A1776" s="5"/>
      <c r="B1776" s="6"/>
      <c r="C1776" s="6"/>
      <c r="D1776" s="5"/>
      <c r="E1776" s="5"/>
      <c r="F1776" s="5"/>
      <c r="G1776" s="228"/>
      <c r="H1776" s="5"/>
      <c r="I1776" s="5"/>
      <c r="J1776" s="10"/>
      <c r="K1776" s="10"/>
      <c r="L1776" s="10"/>
      <c r="M1776" s="10"/>
      <c r="N1776" s="10"/>
      <c r="O1776" s="10"/>
      <c r="P1776" s="236"/>
      <c r="Q1776" s="10"/>
      <c r="R1776" s="236"/>
      <c r="S1776" s="10"/>
      <c r="T1776" s="10"/>
      <c r="U1776" s="10"/>
      <c r="V1776" s="236"/>
      <c r="W1776" s="236"/>
      <c r="X1776" s="10"/>
      <c r="Y1776" s="236"/>
      <c r="Z1776" s="10"/>
      <c r="AA1776" s="10"/>
      <c r="AB1776" s="10"/>
      <c r="AC1776" s="236"/>
      <c r="AD1776" s="10"/>
      <c r="AE1776" s="10"/>
      <c r="AF1776" s="10"/>
      <c r="AG1776" s="236"/>
      <c r="AH1776" s="10"/>
      <c r="AI1776" s="10"/>
      <c r="AJ1776" s="10"/>
      <c r="AK1776" s="10"/>
      <c r="AL1776" s="10"/>
      <c r="AM1776" s="236"/>
      <c r="AN1776" s="10"/>
      <c r="AO1776" s="236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236"/>
      <c r="AZ1776" s="10"/>
      <c r="BA1776" s="10"/>
      <c r="BB1776" s="10"/>
      <c r="BC1776" s="10"/>
      <c r="BD1776" s="10"/>
      <c r="BE1776" s="236"/>
      <c r="BF1776" s="10"/>
      <c r="BG1776" s="10"/>
      <c r="BH1776" s="10"/>
      <c r="BI1776" s="236"/>
      <c r="BJ1776" s="10"/>
      <c r="BK1776" s="10"/>
      <c r="BL1776" s="10"/>
      <c r="BM1776" s="10"/>
      <c r="BN1776" s="8"/>
      <c r="BO1776" s="10"/>
      <c r="BP1776" s="8"/>
      <c r="BQ1776" s="10"/>
      <c r="BR1776" s="11"/>
      <c r="BS1776" s="12"/>
      <c r="BT1776" s="13"/>
      <c r="BU1776" s="8"/>
    </row>
    <row r="1777" s="1" customFormat="1" customHeight="1" spans="1:73">
      <c r="A1777" s="5"/>
      <c r="B1777" s="6"/>
      <c r="C1777" s="6"/>
      <c r="D1777" s="5"/>
      <c r="E1777" s="5"/>
      <c r="F1777" s="5"/>
      <c r="G1777" s="228"/>
      <c r="H1777" s="5"/>
      <c r="I1777" s="5"/>
      <c r="J1777" s="10"/>
      <c r="K1777" s="10"/>
      <c r="L1777" s="10"/>
      <c r="M1777" s="10"/>
      <c r="N1777" s="10"/>
      <c r="O1777" s="10"/>
      <c r="P1777" s="236"/>
      <c r="Q1777" s="10"/>
      <c r="R1777" s="236"/>
      <c r="S1777" s="10"/>
      <c r="T1777" s="10"/>
      <c r="U1777" s="10"/>
      <c r="V1777" s="236"/>
      <c r="W1777" s="236"/>
      <c r="X1777" s="10"/>
      <c r="Y1777" s="236"/>
      <c r="Z1777" s="10"/>
      <c r="AA1777" s="10"/>
      <c r="AB1777" s="10"/>
      <c r="AC1777" s="236"/>
      <c r="AD1777" s="10"/>
      <c r="AE1777" s="10"/>
      <c r="AF1777" s="10"/>
      <c r="AG1777" s="236"/>
      <c r="AH1777" s="10"/>
      <c r="AI1777" s="10"/>
      <c r="AJ1777" s="10"/>
      <c r="AK1777" s="10"/>
      <c r="AL1777" s="10"/>
      <c r="AM1777" s="236"/>
      <c r="AN1777" s="10"/>
      <c r="AO1777" s="236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236"/>
      <c r="AZ1777" s="10"/>
      <c r="BA1777" s="10"/>
      <c r="BB1777" s="10"/>
      <c r="BC1777" s="10"/>
      <c r="BD1777" s="10"/>
      <c r="BE1777" s="236"/>
      <c r="BF1777" s="10"/>
      <c r="BG1777" s="10"/>
      <c r="BH1777" s="10"/>
      <c r="BI1777" s="236"/>
      <c r="BJ1777" s="10"/>
      <c r="BK1777" s="10"/>
      <c r="BL1777" s="10"/>
      <c r="BM1777" s="10"/>
      <c r="BN1777" s="8"/>
      <c r="BO1777" s="10"/>
      <c r="BP1777" s="8"/>
      <c r="BQ1777" s="10"/>
      <c r="BR1777" s="11"/>
      <c r="BS1777" s="12"/>
      <c r="BT1777" s="13"/>
      <c r="BU1777" s="8"/>
    </row>
    <row r="1778" s="1" customFormat="1" customHeight="1" spans="1:73">
      <c r="A1778" s="5"/>
      <c r="B1778" s="6"/>
      <c r="C1778" s="6"/>
      <c r="D1778" s="5"/>
      <c r="E1778" s="5"/>
      <c r="F1778" s="5"/>
      <c r="G1778" s="228"/>
      <c r="H1778" s="5"/>
      <c r="I1778" s="5"/>
      <c r="J1778" s="10"/>
      <c r="K1778" s="10"/>
      <c r="L1778" s="10"/>
      <c r="M1778" s="10"/>
      <c r="N1778" s="10"/>
      <c r="O1778" s="10"/>
      <c r="P1778" s="236"/>
      <c r="Q1778" s="10"/>
      <c r="R1778" s="236"/>
      <c r="S1778" s="10"/>
      <c r="T1778" s="10"/>
      <c r="U1778" s="10"/>
      <c r="V1778" s="236"/>
      <c r="W1778" s="236"/>
      <c r="X1778" s="10"/>
      <c r="Y1778" s="236"/>
      <c r="Z1778" s="10"/>
      <c r="AA1778" s="10"/>
      <c r="AB1778" s="10"/>
      <c r="AC1778" s="236"/>
      <c r="AD1778" s="10"/>
      <c r="AE1778" s="10"/>
      <c r="AF1778" s="10"/>
      <c r="AG1778" s="236"/>
      <c r="AH1778" s="10"/>
      <c r="AI1778" s="10"/>
      <c r="AJ1778" s="10"/>
      <c r="AK1778" s="10"/>
      <c r="AL1778" s="10"/>
      <c r="AM1778" s="236"/>
      <c r="AN1778" s="10"/>
      <c r="AO1778" s="236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236"/>
      <c r="AZ1778" s="10"/>
      <c r="BA1778" s="10"/>
      <c r="BB1778" s="10"/>
      <c r="BC1778" s="10"/>
      <c r="BD1778" s="10"/>
      <c r="BE1778" s="236"/>
      <c r="BF1778" s="10"/>
      <c r="BG1778" s="10"/>
      <c r="BH1778" s="10"/>
      <c r="BI1778" s="236"/>
      <c r="BJ1778" s="10"/>
      <c r="BK1778" s="10"/>
      <c r="BL1778" s="10"/>
      <c r="BM1778" s="10"/>
      <c r="BN1778" s="8"/>
      <c r="BO1778" s="10"/>
      <c r="BP1778" s="8"/>
      <c r="BQ1778" s="10"/>
      <c r="BR1778" s="11"/>
      <c r="BS1778" s="12"/>
      <c r="BT1778" s="13"/>
      <c r="BU1778" s="8"/>
    </row>
    <row r="1779" s="1" customFormat="1" customHeight="1" spans="1:73">
      <c r="A1779" s="5"/>
      <c r="B1779" s="6"/>
      <c r="C1779" s="6"/>
      <c r="D1779" s="5"/>
      <c r="E1779" s="5"/>
      <c r="F1779" s="5"/>
      <c r="G1779" s="228"/>
      <c r="H1779" s="5"/>
      <c r="I1779" s="5"/>
      <c r="J1779" s="10"/>
      <c r="K1779" s="10"/>
      <c r="L1779" s="10"/>
      <c r="M1779" s="10"/>
      <c r="N1779" s="10"/>
      <c r="O1779" s="10"/>
      <c r="P1779" s="236"/>
      <c r="Q1779" s="10"/>
      <c r="R1779" s="236"/>
      <c r="S1779" s="10"/>
      <c r="T1779" s="10"/>
      <c r="U1779" s="10"/>
      <c r="V1779" s="236"/>
      <c r="W1779" s="236"/>
      <c r="X1779" s="10"/>
      <c r="Y1779" s="236"/>
      <c r="Z1779" s="10"/>
      <c r="AA1779" s="10"/>
      <c r="AB1779" s="10"/>
      <c r="AC1779" s="236"/>
      <c r="AD1779" s="10"/>
      <c r="AE1779" s="10"/>
      <c r="AF1779" s="10"/>
      <c r="AG1779" s="236"/>
      <c r="AH1779" s="10"/>
      <c r="AI1779" s="10"/>
      <c r="AJ1779" s="10"/>
      <c r="AK1779" s="10"/>
      <c r="AL1779" s="10"/>
      <c r="AM1779" s="236"/>
      <c r="AN1779" s="10"/>
      <c r="AO1779" s="236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236"/>
      <c r="AZ1779" s="10"/>
      <c r="BA1779" s="10"/>
      <c r="BB1779" s="10"/>
      <c r="BC1779" s="10"/>
      <c r="BD1779" s="10"/>
      <c r="BE1779" s="236"/>
      <c r="BF1779" s="10"/>
      <c r="BG1779" s="10"/>
      <c r="BH1779" s="10"/>
      <c r="BI1779" s="236"/>
      <c r="BJ1779" s="10"/>
      <c r="BK1779" s="10"/>
      <c r="BL1779" s="10"/>
      <c r="BM1779" s="10"/>
      <c r="BN1779" s="8"/>
      <c r="BO1779" s="10"/>
      <c r="BP1779" s="8"/>
      <c r="BQ1779" s="10"/>
      <c r="BR1779" s="11"/>
      <c r="BS1779" s="12"/>
      <c r="BT1779" s="13"/>
      <c r="BU1779" s="8"/>
    </row>
    <row r="1780" s="1" customFormat="1" customHeight="1" spans="1:73">
      <c r="A1780" s="5"/>
      <c r="B1780" s="6"/>
      <c r="C1780" s="6"/>
      <c r="D1780" s="5"/>
      <c r="E1780" s="5"/>
      <c r="F1780" s="5"/>
      <c r="G1780" s="228"/>
      <c r="H1780" s="5"/>
      <c r="I1780" s="5"/>
      <c r="J1780" s="10"/>
      <c r="K1780" s="10"/>
      <c r="L1780" s="10"/>
      <c r="M1780" s="10"/>
      <c r="N1780" s="10"/>
      <c r="O1780" s="10"/>
      <c r="P1780" s="236"/>
      <c r="Q1780" s="10"/>
      <c r="R1780" s="236"/>
      <c r="S1780" s="10"/>
      <c r="T1780" s="10"/>
      <c r="U1780" s="10"/>
      <c r="V1780" s="236"/>
      <c r="W1780" s="236"/>
      <c r="X1780" s="10"/>
      <c r="Y1780" s="236"/>
      <c r="Z1780" s="10"/>
      <c r="AA1780" s="10"/>
      <c r="AB1780" s="10"/>
      <c r="AC1780" s="236"/>
      <c r="AD1780" s="10"/>
      <c r="AE1780" s="10"/>
      <c r="AF1780" s="10"/>
      <c r="AG1780" s="236"/>
      <c r="AH1780" s="10"/>
      <c r="AI1780" s="10"/>
      <c r="AJ1780" s="10"/>
      <c r="AK1780" s="10"/>
      <c r="AL1780" s="10"/>
      <c r="AM1780" s="236"/>
      <c r="AN1780" s="10"/>
      <c r="AO1780" s="236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236"/>
      <c r="AZ1780" s="10"/>
      <c r="BA1780" s="10"/>
      <c r="BB1780" s="10"/>
      <c r="BC1780" s="10"/>
      <c r="BD1780" s="10"/>
      <c r="BE1780" s="236"/>
      <c r="BF1780" s="10"/>
      <c r="BG1780" s="10"/>
      <c r="BH1780" s="10"/>
      <c r="BI1780" s="236"/>
      <c r="BJ1780" s="10"/>
      <c r="BK1780" s="10"/>
      <c r="BL1780" s="10"/>
      <c r="BM1780" s="10"/>
      <c r="BN1780" s="10"/>
      <c r="BO1780" s="10"/>
      <c r="BP1780" s="8"/>
      <c r="BQ1780" s="10"/>
      <c r="BR1780" s="11"/>
      <c r="BS1780" s="12"/>
      <c r="BT1780" s="13"/>
      <c r="BU1780" s="8"/>
    </row>
    <row r="1781" s="1" customFormat="1" customHeight="1" spans="1:73">
      <c r="A1781" s="5"/>
      <c r="B1781" s="6"/>
      <c r="C1781" s="6"/>
      <c r="D1781" s="5"/>
      <c r="E1781" s="5"/>
      <c r="F1781" s="5"/>
      <c r="G1781" s="228"/>
      <c r="H1781" s="5"/>
      <c r="I1781" s="5"/>
      <c r="J1781" s="10"/>
      <c r="K1781" s="10"/>
      <c r="L1781" s="10"/>
      <c r="M1781" s="10"/>
      <c r="N1781" s="10"/>
      <c r="O1781" s="10"/>
      <c r="P1781" s="236"/>
      <c r="Q1781" s="10"/>
      <c r="R1781" s="236"/>
      <c r="S1781" s="10"/>
      <c r="T1781" s="10"/>
      <c r="U1781" s="10"/>
      <c r="V1781" s="236"/>
      <c r="W1781" s="236"/>
      <c r="X1781" s="10"/>
      <c r="Y1781" s="236"/>
      <c r="Z1781" s="10"/>
      <c r="AA1781" s="10"/>
      <c r="AB1781" s="10"/>
      <c r="AC1781" s="236"/>
      <c r="AD1781" s="10"/>
      <c r="AE1781" s="10"/>
      <c r="AF1781" s="10"/>
      <c r="AG1781" s="236"/>
      <c r="AH1781" s="10"/>
      <c r="AI1781" s="10"/>
      <c r="AJ1781" s="10"/>
      <c r="AK1781" s="10"/>
      <c r="AL1781" s="10"/>
      <c r="AM1781" s="236"/>
      <c r="AN1781" s="10"/>
      <c r="AO1781" s="236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236"/>
      <c r="AZ1781" s="10"/>
      <c r="BA1781" s="10"/>
      <c r="BB1781" s="10"/>
      <c r="BC1781" s="10"/>
      <c r="BD1781" s="10"/>
      <c r="BE1781" s="236"/>
      <c r="BF1781" s="10"/>
      <c r="BG1781" s="10"/>
      <c r="BH1781" s="10"/>
      <c r="BI1781" s="236"/>
      <c r="BJ1781" s="10"/>
      <c r="BK1781" s="10"/>
      <c r="BL1781" s="10"/>
      <c r="BM1781" s="10"/>
      <c r="BN1781" s="10"/>
      <c r="BO1781" s="10"/>
      <c r="BP1781" s="8"/>
      <c r="BQ1781" s="10"/>
      <c r="BR1781" s="11"/>
      <c r="BS1781" s="12"/>
      <c r="BT1781" s="13"/>
      <c r="BU1781" s="8"/>
    </row>
    <row r="1782" s="1" customFormat="1" customHeight="1" spans="1:73">
      <c r="A1782" s="5"/>
      <c r="B1782" s="6"/>
      <c r="C1782" s="6"/>
      <c r="D1782" s="5"/>
      <c r="E1782" s="5"/>
      <c r="F1782" s="5"/>
      <c r="G1782" s="228"/>
      <c r="H1782" s="5"/>
      <c r="I1782" s="5"/>
      <c r="J1782" s="10"/>
      <c r="K1782" s="10"/>
      <c r="L1782" s="10"/>
      <c r="M1782" s="10"/>
      <c r="N1782" s="10"/>
      <c r="O1782" s="10"/>
      <c r="P1782" s="236"/>
      <c r="Q1782" s="10"/>
      <c r="R1782" s="236"/>
      <c r="S1782" s="10"/>
      <c r="T1782" s="10"/>
      <c r="U1782" s="10"/>
      <c r="V1782" s="236"/>
      <c r="W1782" s="236"/>
      <c r="X1782" s="10"/>
      <c r="Y1782" s="236"/>
      <c r="Z1782" s="10"/>
      <c r="AA1782" s="10"/>
      <c r="AB1782" s="10"/>
      <c r="AC1782" s="236"/>
      <c r="AD1782" s="10"/>
      <c r="AE1782" s="10"/>
      <c r="AF1782" s="10"/>
      <c r="AG1782" s="236"/>
      <c r="AH1782" s="10"/>
      <c r="AI1782" s="10"/>
      <c r="AJ1782" s="10"/>
      <c r="AK1782" s="10"/>
      <c r="AL1782" s="10"/>
      <c r="AM1782" s="236"/>
      <c r="AN1782" s="10"/>
      <c r="AO1782" s="236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236"/>
      <c r="AZ1782" s="10"/>
      <c r="BA1782" s="10"/>
      <c r="BB1782" s="10"/>
      <c r="BC1782" s="10"/>
      <c r="BD1782" s="10"/>
      <c r="BE1782" s="236"/>
      <c r="BF1782" s="10"/>
      <c r="BG1782" s="10"/>
      <c r="BH1782" s="10"/>
      <c r="BI1782" s="236"/>
      <c r="BJ1782" s="10"/>
      <c r="BK1782" s="10"/>
      <c r="BL1782" s="10"/>
      <c r="BM1782" s="10"/>
      <c r="BN1782" s="10"/>
      <c r="BO1782" s="10"/>
      <c r="BP1782" s="8"/>
      <c r="BQ1782" s="10"/>
      <c r="BR1782" s="11"/>
      <c r="BS1782" s="12"/>
      <c r="BT1782" s="13"/>
      <c r="BU1782" s="8"/>
    </row>
    <row r="1783" s="1" customFormat="1" customHeight="1" spans="1:73">
      <c r="A1783" s="5"/>
      <c r="B1783" s="6"/>
      <c r="C1783" s="6"/>
      <c r="D1783" s="5"/>
      <c r="E1783" s="5"/>
      <c r="F1783" s="5"/>
      <c r="G1783" s="228"/>
      <c r="H1783" s="5"/>
      <c r="I1783" s="5"/>
      <c r="J1783" s="10"/>
      <c r="K1783" s="10"/>
      <c r="L1783" s="10"/>
      <c r="M1783" s="10"/>
      <c r="N1783" s="10"/>
      <c r="O1783" s="10"/>
      <c r="P1783" s="236"/>
      <c r="Q1783" s="10"/>
      <c r="R1783" s="236"/>
      <c r="S1783" s="10"/>
      <c r="T1783" s="10"/>
      <c r="U1783" s="10"/>
      <c r="V1783" s="236"/>
      <c r="W1783" s="236"/>
      <c r="X1783" s="10"/>
      <c r="Y1783" s="236"/>
      <c r="Z1783" s="10"/>
      <c r="AA1783" s="10"/>
      <c r="AB1783" s="10"/>
      <c r="AC1783" s="236"/>
      <c r="AD1783" s="10"/>
      <c r="AE1783" s="10"/>
      <c r="AF1783" s="10"/>
      <c r="AG1783" s="236"/>
      <c r="AH1783" s="10"/>
      <c r="AI1783" s="10"/>
      <c r="AJ1783" s="10"/>
      <c r="AK1783" s="10"/>
      <c r="AL1783" s="10"/>
      <c r="AM1783" s="236"/>
      <c r="AN1783" s="10"/>
      <c r="AO1783" s="236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236"/>
      <c r="AZ1783" s="10"/>
      <c r="BA1783" s="10"/>
      <c r="BB1783" s="10"/>
      <c r="BC1783" s="10"/>
      <c r="BD1783" s="10"/>
      <c r="BE1783" s="236"/>
      <c r="BF1783" s="10"/>
      <c r="BG1783" s="10"/>
      <c r="BH1783" s="10"/>
      <c r="BI1783" s="236"/>
      <c r="BJ1783" s="10"/>
      <c r="BK1783" s="10"/>
      <c r="BL1783" s="10"/>
      <c r="BM1783" s="10"/>
      <c r="BN1783" s="10"/>
      <c r="BO1783" s="10"/>
      <c r="BP1783" s="8"/>
      <c r="BQ1783" s="10"/>
      <c r="BR1783" s="11"/>
      <c r="BS1783" s="12"/>
      <c r="BT1783" s="13"/>
      <c r="BU1783" s="8"/>
    </row>
    <row r="1784" s="1" customFormat="1" customHeight="1" spans="1:73">
      <c r="A1784" s="5"/>
      <c r="B1784" s="6"/>
      <c r="C1784" s="6"/>
      <c r="D1784" s="5"/>
      <c r="E1784" s="5"/>
      <c r="F1784" s="5"/>
      <c r="G1784" s="228"/>
      <c r="H1784" s="5"/>
      <c r="I1784" s="5"/>
      <c r="J1784" s="10"/>
      <c r="K1784" s="10"/>
      <c r="L1784" s="10"/>
      <c r="M1784" s="10"/>
      <c r="N1784" s="10"/>
      <c r="O1784" s="10"/>
      <c r="P1784" s="236"/>
      <c r="Q1784" s="10"/>
      <c r="R1784" s="236"/>
      <c r="S1784" s="10"/>
      <c r="T1784" s="10"/>
      <c r="U1784" s="10"/>
      <c r="V1784" s="236"/>
      <c r="W1784" s="236"/>
      <c r="X1784" s="10"/>
      <c r="Y1784" s="236"/>
      <c r="Z1784" s="10"/>
      <c r="AA1784" s="10"/>
      <c r="AB1784" s="10"/>
      <c r="AC1784" s="236"/>
      <c r="AD1784" s="10"/>
      <c r="AE1784" s="10"/>
      <c r="AF1784" s="10"/>
      <c r="AG1784" s="236"/>
      <c r="AH1784" s="10"/>
      <c r="AI1784" s="10"/>
      <c r="AJ1784" s="10"/>
      <c r="AK1784" s="10"/>
      <c r="AL1784" s="10"/>
      <c r="AM1784" s="236"/>
      <c r="AN1784" s="10"/>
      <c r="AO1784" s="236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236"/>
      <c r="AZ1784" s="10"/>
      <c r="BA1784" s="10"/>
      <c r="BB1784" s="10"/>
      <c r="BC1784" s="10"/>
      <c r="BD1784" s="10"/>
      <c r="BE1784" s="236"/>
      <c r="BF1784" s="10"/>
      <c r="BG1784" s="10"/>
      <c r="BH1784" s="10"/>
      <c r="BI1784" s="236"/>
      <c r="BJ1784" s="10"/>
      <c r="BK1784" s="10"/>
      <c r="BL1784" s="10"/>
      <c r="BM1784" s="10"/>
      <c r="BN1784" s="10"/>
      <c r="BO1784" s="10"/>
      <c r="BP1784" s="8"/>
      <c r="BQ1784" s="10"/>
      <c r="BR1784" s="11"/>
      <c r="BS1784" s="12"/>
      <c r="BT1784" s="13"/>
      <c r="BU1784" s="8"/>
    </row>
    <row r="1785" s="1" customFormat="1" customHeight="1" spans="1:73">
      <c r="A1785" s="5"/>
      <c r="B1785" s="6"/>
      <c r="C1785" s="6"/>
      <c r="D1785" s="5"/>
      <c r="E1785" s="5"/>
      <c r="F1785" s="5"/>
      <c r="G1785" s="228"/>
      <c r="H1785" s="5"/>
      <c r="I1785" s="5"/>
      <c r="J1785" s="10"/>
      <c r="K1785" s="10"/>
      <c r="L1785" s="10"/>
      <c r="M1785" s="10"/>
      <c r="N1785" s="10"/>
      <c r="O1785" s="10"/>
      <c r="P1785" s="236"/>
      <c r="Q1785" s="10"/>
      <c r="R1785" s="236"/>
      <c r="S1785" s="10"/>
      <c r="T1785" s="10"/>
      <c r="U1785" s="10"/>
      <c r="V1785" s="236"/>
      <c r="W1785" s="236"/>
      <c r="X1785" s="10"/>
      <c r="Y1785" s="236"/>
      <c r="Z1785" s="10"/>
      <c r="AA1785" s="10"/>
      <c r="AB1785" s="10"/>
      <c r="AC1785" s="236"/>
      <c r="AD1785" s="10"/>
      <c r="AE1785" s="10"/>
      <c r="AF1785" s="10"/>
      <c r="AG1785" s="236"/>
      <c r="AH1785" s="10"/>
      <c r="AI1785" s="10"/>
      <c r="AJ1785" s="10"/>
      <c r="AK1785" s="10"/>
      <c r="AL1785" s="10"/>
      <c r="AM1785" s="236"/>
      <c r="AN1785" s="10"/>
      <c r="AO1785" s="236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236"/>
      <c r="AZ1785" s="10"/>
      <c r="BA1785" s="10"/>
      <c r="BB1785" s="10"/>
      <c r="BC1785" s="10"/>
      <c r="BD1785" s="10"/>
      <c r="BE1785" s="236"/>
      <c r="BF1785" s="10"/>
      <c r="BG1785" s="10"/>
      <c r="BH1785" s="10"/>
      <c r="BI1785" s="236"/>
      <c r="BJ1785" s="10"/>
      <c r="BK1785" s="10"/>
      <c r="BL1785" s="10"/>
      <c r="BM1785" s="10"/>
      <c r="BN1785" s="10"/>
      <c r="BO1785" s="10"/>
      <c r="BP1785" s="8"/>
      <c r="BQ1785" s="10"/>
      <c r="BR1785" s="11"/>
      <c r="BS1785" s="12"/>
      <c r="BT1785" s="13"/>
      <c r="BU1785" s="8"/>
    </row>
    <row r="1786" s="1" customFormat="1" customHeight="1" spans="1:73">
      <c r="A1786" s="5"/>
      <c r="B1786" s="6"/>
      <c r="C1786" s="6"/>
      <c r="D1786" s="5"/>
      <c r="E1786" s="5"/>
      <c r="F1786" s="5"/>
      <c r="G1786" s="228"/>
      <c r="H1786" s="5"/>
      <c r="I1786" s="5"/>
      <c r="J1786" s="10"/>
      <c r="K1786" s="10"/>
      <c r="L1786" s="10"/>
      <c r="M1786" s="10"/>
      <c r="N1786" s="10"/>
      <c r="O1786" s="10"/>
      <c r="P1786" s="236"/>
      <c r="Q1786" s="10"/>
      <c r="R1786" s="236"/>
      <c r="S1786" s="10"/>
      <c r="T1786" s="10"/>
      <c r="U1786" s="10"/>
      <c r="V1786" s="236"/>
      <c r="W1786" s="236"/>
      <c r="X1786" s="10"/>
      <c r="Y1786" s="236"/>
      <c r="Z1786" s="10"/>
      <c r="AA1786" s="10"/>
      <c r="AB1786" s="10"/>
      <c r="AC1786" s="236"/>
      <c r="AD1786" s="10"/>
      <c r="AE1786" s="10"/>
      <c r="AF1786" s="10"/>
      <c r="AG1786" s="236"/>
      <c r="AH1786" s="10"/>
      <c r="AI1786" s="10"/>
      <c r="AJ1786" s="10"/>
      <c r="AK1786" s="10"/>
      <c r="AL1786" s="10"/>
      <c r="AM1786" s="236"/>
      <c r="AN1786" s="10"/>
      <c r="AO1786" s="236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236"/>
      <c r="AZ1786" s="10"/>
      <c r="BA1786" s="10"/>
      <c r="BB1786" s="10"/>
      <c r="BC1786" s="10"/>
      <c r="BD1786" s="10"/>
      <c r="BE1786" s="236"/>
      <c r="BF1786" s="10"/>
      <c r="BG1786" s="10"/>
      <c r="BH1786" s="10"/>
      <c r="BI1786" s="236"/>
      <c r="BJ1786" s="10"/>
      <c r="BK1786" s="10"/>
      <c r="BL1786" s="10"/>
      <c r="BM1786" s="10"/>
      <c r="BN1786" s="10"/>
      <c r="BO1786" s="10"/>
      <c r="BP1786" s="8"/>
      <c r="BQ1786" s="10"/>
      <c r="BR1786" s="11"/>
      <c r="BS1786" s="12"/>
      <c r="BT1786" s="13"/>
      <c r="BU1786" s="8"/>
    </row>
    <row r="1787" s="1" customFormat="1" customHeight="1" spans="1:73">
      <c r="A1787" s="5"/>
      <c r="B1787" s="6"/>
      <c r="C1787" s="6"/>
      <c r="D1787" s="5"/>
      <c r="E1787" s="5"/>
      <c r="F1787" s="5"/>
      <c r="G1787" s="228"/>
      <c r="H1787" s="5"/>
      <c r="I1787" s="5"/>
      <c r="J1787" s="10"/>
      <c r="K1787" s="10"/>
      <c r="L1787" s="10"/>
      <c r="M1787" s="10"/>
      <c r="N1787" s="10"/>
      <c r="O1787" s="10"/>
      <c r="P1787" s="236"/>
      <c r="Q1787" s="10"/>
      <c r="R1787" s="236"/>
      <c r="S1787" s="10"/>
      <c r="T1787" s="10"/>
      <c r="U1787" s="10"/>
      <c r="V1787" s="236"/>
      <c r="W1787" s="236"/>
      <c r="X1787" s="10"/>
      <c r="Y1787" s="236"/>
      <c r="Z1787" s="10"/>
      <c r="AA1787" s="10"/>
      <c r="AB1787" s="10"/>
      <c r="AC1787" s="236"/>
      <c r="AD1787" s="10"/>
      <c r="AE1787" s="10"/>
      <c r="AF1787" s="10"/>
      <c r="AG1787" s="236"/>
      <c r="AH1787" s="10"/>
      <c r="AI1787" s="10"/>
      <c r="AJ1787" s="10"/>
      <c r="AK1787" s="10"/>
      <c r="AL1787" s="10"/>
      <c r="AM1787" s="236"/>
      <c r="AN1787" s="10"/>
      <c r="AO1787" s="236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236"/>
      <c r="AZ1787" s="10"/>
      <c r="BA1787" s="10"/>
      <c r="BB1787" s="10"/>
      <c r="BC1787" s="10"/>
      <c r="BD1787" s="10"/>
      <c r="BE1787" s="236"/>
      <c r="BF1787" s="10"/>
      <c r="BG1787" s="10"/>
      <c r="BH1787" s="10"/>
      <c r="BI1787" s="236"/>
      <c r="BJ1787" s="10"/>
      <c r="BK1787" s="10"/>
      <c r="BL1787" s="10"/>
      <c r="BM1787" s="10"/>
      <c r="BN1787" s="10"/>
      <c r="BO1787" s="10"/>
      <c r="BP1787" s="8"/>
      <c r="BQ1787" s="10"/>
      <c r="BR1787" s="11"/>
      <c r="BS1787" s="12"/>
      <c r="BT1787" s="13"/>
      <c r="BU1787" s="8"/>
    </row>
    <row r="1788" s="1" customFormat="1" customHeight="1" spans="1:73">
      <c r="A1788" s="5"/>
      <c r="B1788" s="6"/>
      <c r="C1788" s="6"/>
      <c r="D1788" s="5"/>
      <c r="E1788" s="5"/>
      <c r="F1788" s="5"/>
      <c r="G1788" s="228"/>
      <c r="H1788" s="5"/>
      <c r="I1788" s="5"/>
      <c r="J1788" s="10"/>
      <c r="K1788" s="10"/>
      <c r="L1788" s="10"/>
      <c r="M1788" s="10"/>
      <c r="N1788" s="10"/>
      <c r="O1788" s="10"/>
      <c r="P1788" s="236"/>
      <c r="Q1788" s="10"/>
      <c r="R1788" s="236"/>
      <c r="S1788" s="10"/>
      <c r="T1788" s="10"/>
      <c r="U1788" s="10"/>
      <c r="V1788" s="236"/>
      <c r="W1788" s="236"/>
      <c r="X1788" s="10"/>
      <c r="Y1788" s="236"/>
      <c r="Z1788" s="10"/>
      <c r="AA1788" s="10"/>
      <c r="AB1788" s="10"/>
      <c r="AC1788" s="236"/>
      <c r="AD1788" s="10"/>
      <c r="AE1788" s="10"/>
      <c r="AF1788" s="10"/>
      <c r="AG1788" s="236"/>
      <c r="AH1788" s="10"/>
      <c r="AI1788" s="10"/>
      <c r="AJ1788" s="10"/>
      <c r="AK1788" s="10"/>
      <c r="AL1788" s="10"/>
      <c r="AM1788" s="236"/>
      <c r="AN1788" s="10"/>
      <c r="AO1788" s="236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236"/>
      <c r="AZ1788" s="10"/>
      <c r="BA1788" s="10"/>
      <c r="BB1788" s="10"/>
      <c r="BC1788" s="10"/>
      <c r="BD1788" s="10"/>
      <c r="BE1788" s="236"/>
      <c r="BF1788" s="10"/>
      <c r="BG1788" s="10"/>
      <c r="BH1788" s="10"/>
      <c r="BI1788" s="236"/>
      <c r="BJ1788" s="10"/>
      <c r="BK1788" s="10"/>
      <c r="BL1788" s="10"/>
      <c r="BM1788" s="10"/>
      <c r="BN1788" s="10"/>
      <c r="BO1788" s="10"/>
      <c r="BP1788" s="8"/>
      <c r="BQ1788" s="10"/>
      <c r="BR1788" s="11"/>
      <c r="BS1788" s="12"/>
      <c r="BT1788" s="13"/>
      <c r="BU1788" s="8"/>
    </row>
    <row r="1789" s="1" customFormat="1" customHeight="1" spans="1:73">
      <c r="A1789" s="5"/>
      <c r="B1789" s="6"/>
      <c r="C1789" s="6"/>
      <c r="D1789" s="5"/>
      <c r="E1789" s="5"/>
      <c r="F1789" s="5"/>
      <c r="G1789" s="228"/>
      <c r="H1789" s="5"/>
      <c r="I1789" s="5"/>
      <c r="J1789" s="10"/>
      <c r="K1789" s="10"/>
      <c r="L1789" s="10"/>
      <c r="M1789" s="10"/>
      <c r="N1789" s="10"/>
      <c r="O1789" s="10"/>
      <c r="P1789" s="236"/>
      <c r="Q1789" s="10"/>
      <c r="R1789" s="236"/>
      <c r="S1789" s="10"/>
      <c r="T1789" s="10"/>
      <c r="U1789" s="10"/>
      <c r="V1789" s="236"/>
      <c r="W1789" s="236"/>
      <c r="X1789" s="10"/>
      <c r="Y1789" s="236"/>
      <c r="Z1789" s="10"/>
      <c r="AA1789" s="10"/>
      <c r="AB1789" s="10"/>
      <c r="AC1789" s="236"/>
      <c r="AD1789" s="10"/>
      <c r="AE1789" s="10"/>
      <c r="AF1789" s="10"/>
      <c r="AG1789" s="236"/>
      <c r="AH1789" s="10"/>
      <c r="AI1789" s="10"/>
      <c r="AJ1789" s="10"/>
      <c r="AK1789" s="10"/>
      <c r="AL1789" s="10"/>
      <c r="AM1789" s="236"/>
      <c r="AN1789" s="10"/>
      <c r="AO1789" s="236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236"/>
      <c r="AZ1789" s="10"/>
      <c r="BA1789" s="10"/>
      <c r="BB1789" s="10"/>
      <c r="BC1789" s="10"/>
      <c r="BD1789" s="10"/>
      <c r="BE1789" s="236"/>
      <c r="BF1789" s="10"/>
      <c r="BG1789" s="10"/>
      <c r="BH1789" s="10"/>
      <c r="BI1789" s="236"/>
      <c r="BJ1789" s="10"/>
      <c r="BK1789" s="10"/>
      <c r="BL1789" s="10"/>
      <c r="BM1789" s="10"/>
      <c r="BN1789" s="10"/>
      <c r="BO1789" s="10"/>
      <c r="BP1789" s="8"/>
      <c r="BQ1789" s="10"/>
      <c r="BR1789" s="11"/>
      <c r="BS1789" s="12"/>
      <c r="BT1789" s="13"/>
      <c r="BU1789" s="8"/>
    </row>
    <row r="1790" s="1" customFormat="1" customHeight="1" spans="1:73">
      <c r="A1790" s="5"/>
      <c r="B1790" s="6"/>
      <c r="C1790" s="6"/>
      <c r="D1790" s="5"/>
      <c r="E1790" s="5"/>
      <c r="F1790" s="5"/>
      <c r="G1790" s="228"/>
      <c r="H1790" s="5"/>
      <c r="I1790" s="5"/>
      <c r="J1790" s="10"/>
      <c r="K1790" s="10"/>
      <c r="L1790" s="10"/>
      <c r="M1790" s="10"/>
      <c r="N1790" s="10"/>
      <c r="O1790" s="10"/>
      <c r="P1790" s="236"/>
      <c r="Q1790" s="10"/>
      <c r="R1790" s="236"/>
      <c r="S1790" s="10"/>
      <c r="T1790" s="10"/>
      <c r="U1790" s="10"/>
      <c r="V1790" s="236"/>
      <c r="W1790" s="236"/>
      <c r="X1790" s="10"/>
      <c r="Y1790" s="236"/>
      <c r="Z1790" s="10"/>
      <c r="AA1790" s="10"/>
      <c r="AB1790" s="10"/>
      <c r="AC1790" s="236"/>
      <c r="AD1790" s="10"/>
      <c r="AE1790" s="10"/>
      <c r="AF1790" s="10"/>
      <c r="AG1790" s="236"/>
      <c r="AH1790" s="10"/>
      <c r="AI1790" s="10"/>
      <c r="AJ1790" s="10"/>
      <c r="AK1790" s="10"/>
      <c r="AL1790" s="10"/>
      <c r="AM1790" s="236"/>
      <c r="AN1790" s="10"/>
      <c r="AO1790" s="236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236"/>
      <c r="AZ1790" s="10"/>
      <c r="BA1790" s="10"/>
      <c r="BB1790" s="10"/>
      <c r="BC1790" s="10"/>
      <c r="BD1790" s="10"/>
      <c r="BE1790" s="236"/>
      <c r="BF1790" s="10"/>
      <c r="BG1790" s="10"/>
      <c r="BH1790" s="10"/>
      <c r="BI1790" s="236"/>
      <c r="BJ1790" s="10"/>
      <c r="BK1790" s="10"/>
      <c r="BL1790" s="10"/>
      <c r="BM1790" s="10"/>
      <c r="BN1790" s="10"/>
      <c r="BO1790" s="10"/>
      <c r="BP1790" s="8"/>
      <c r="BQ1790" s="10"/>
      <c r="BR1790" s="11"/>
      <c r="BS1790" s="12"/>
      <c r="BT1790" s="13"/>
      <c r="BU1790" s="8"/>
    </row>
    <row r="1791" s="1" customFormat="1" customHeight="1" spans="1:73">
      <c r="A1791" s="5"/>
      <c r="B1791" s="6"/>
      <c r="C1791" s="6"/>
      <c r="D1791" s="5"/>
      <c r="E1791" s="5"/>
      <c r="F1791" s="5"/>
      <c r="G1791" s="228"/>
      <c r="H1791" s="5"/>
      <c r="I1791" s="5"/>
      <c r="J1791" s="10"/>
      <c r="K1791" s="10"/>
      <c r="L1791" s="10"/>
      <c r="M1791" s="10"/>
      <c r="N1791" s="10"/>
      <c r="O1791" s="10"/>
      <c r="P1791" s="236"/>
      <c r="Q1791" s="10"/>
      <c r="R1791" s="236"/>
      <c r="S1791" s="10"/>
      <c r="T1791" s="10"/>
      <c r="U1791" s="10"/>
      <c r="V1791" s="236"/>
      <c r="W1791" s="236"/>
      <c r="X1791" s="10"/>
      <c r="Y1791" s="236"/>
      <c r="Z1791" s="10"/>
      <c r="AA1791" s="10"/>
      <c r="AB1791" s="10"/>
      <c r="AC1791" s="236"/>
      <c r="AD1791" s="10"/>
      <c r="AE1791" s="10"/>
      <c r="AF1791" s="10"/>
      <c r="AG1791" s="236"/>
      <c r="AH1791" s="10"/>
      <c r="AI1791" s="10"/>
      <c r="AJ1791" s="10"/>
      <c r="AK1791" s="10"/>
      <c r="AL1791" s="10"/>
      <c r="AM1791" s="236"/>
      <c r="AN1791" s="10"/>
      <c r="AO1791" s="236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236"/>
      <c r="AZ1791" s="10"/>
      <c r="BA1791" s="10"/>
      <c r="BB1791" s="10"/>
      <c r="BC1791" s="10"/>
      <c r="BD1791" s="10"/>
      <c r="BE1791" s="236"/>
      <c r="BF1791" s="10"/>
      <c r="BG1791" s="10"/>
      <c r="BH1791" s="10"/>
      <c r="BI1791" s="236"/>
      <c r="BJ1791" s="10"/>
      <c r="BK1791" s="10"/>
      <c r="BL1791" s="10"/>
      <c r="BM1791" s="10"/>
      <c r="BN1791" s="10"/>
      <c r="BO1791" s="10"/>
      <c r="BP1791" s="8"/>
      <c r="BQ1791" s="10"/>
      <c r="BR1791" s="11"/>
      <c r="BS1791" s="12"/>
      <c r="BT1791" s="13"/>
      <c r="BU1791" s="8"/>
    </row>
    <row r="1792" s="1" customFormat="1" customHeight="1" spans="1:73">
      <c r="A1792" s="5"/>
      <c r="B1792" s="6"/>
      <c r="C1792" s="6"/>
      <c r="D1792" s="5"/>
      <c r="E1792" s="5"/>
      <c r="F1792" s="5"/>
      <c r="G1792" s="228"/>
      <c r="H1792" s="5"/>
      <c r="I1792" s="5"/>
      <c r="J1792" s="10"/>
      <c r="K1792" s="10"/>
      <c r="L1792" s="10"/>
      <c r="M1792" s="10"/>
      <c r="N1792" s="10"/>
      <c r="O1792" s="10"/>
      <c r="P1792" s="236"/>
      <c r="Q1792" s="10"/>
      <c r="R1792" s="236"/>
      <c r="S1792" s="10"/>
      <c r="T1792" s="10"/>
      <c r="U1792" s="10"/>
      <c r="V1792" s="236"/>
      <c r="W1792" s="236"/>
      <c r="X1792" s="10"/>
      <c r="Y1792" s="236"/>
      <c r="Z1792" s="10"/>
      <c r="AA1792" s="10"/>
      <c r="AB1792" s="10"/>
      <c r="AC1792" s="236"/>
      <c r="AD1792" s="10"/>
      <c r="AE1792" s="10"/>
      <c r="AF1792" s="10"/>
      <c r="AG1792" s="236"/>
      <c r="AH1792" s="10"/>
      <c r="AI1792" s="10"/>
      <c r="AJ1792" s="10"/>
      <c r="AK1792" s="10"/>
      <c r="AL1792" s="10"/>
      <c r="AM1792" s="236"/>
      <c r="AN1792" s="10"/>
      <c r="AO1792" s="236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236"/>
      <c r="AZ1792" s="10"/>
      <c r="BA1792" s="10"/>
      <c r="BB1792" s="10"/>
      <c r="BC1792" s="10"/>
      <c r="BD1792" s="10"/>
      <c r="BE1792" s="236"/>
      <c r="BF1792" s="10"/>
      <c r="BG1792" s="10"/>
      <c r="BH1792" s="10"/>
      <c r="BI1792" s="236"/>
      <c r="BJ1792" s="10"/>
      <c r="BK1792" s="10"/>
      <c r="BL1792" s="10"/>
      <c r="BM1792" s="10"/>
      <c r="BN1792" s="10"/>
      <c r="BO1792" s="10"/>
      <c r="BP1792" s="8"/>
      <c r="BQ1792" s="10"/>
      <c r="BR1792" s="11"/>
      <c r="BS1792" s="12"/>
      <c r="BT1792" s="13"/>
      <c r="BU1792" s="8"/>
    </row>
    <row r="1793" s="1" customFormat="1" customHeight="1" spans="1:73">
      <c r="A1793" s="5"/>
      <c r="B1793" s="6"/>
      <c r="C1793" s="6"/>
      <c r="D1793" s="5"/>
      <c r="E1793" s="5"/>
      <c r="F1793" s="5"/>
      <c r="G1793" s="228"/>
      <c r="H1793" s="5"/>
      <c r="I1793" s="5"/>
      <c r="J1793" s="10"/>
      <c r="K1793" s="10"/>
      <c r="L1793" s="10"/>
      <c r="M1793" s="10"/>
      <c r="N1793" s="10"/>
      <c r="O1793" s="10"/>
      <c r="P1793" s="236"/>
      <c r="Q1793" s="10"/>
      <c r="R1793" s="236"/>
      <c r="S1793" s="10"/>
      <c r="T1793" s="10"/>
      <c r="U1793" s="10"/>
      <c r="V1793" s="236"/>
      <c r="W1793" s="236"/>
      <c r="X1793" s="10"/>
      <c r="Y1793" s="236"/>
      <c r="Z1793" s="10"/>
      <c r="AA1793" s="10"/>
      <c r="AB1793" s="10"/>
      <c r="AC1793" s="236"/>
      <c r="AD1793" s="10"/>
      <c r="AE1793" s="10"/>
      <c r="AF1793" s="10"/>
      <c r="AG1793" s="236"/>
      <c r="AH1793" s="10"/>
      <c r="AI1793" s="10"/>
      <c r="AJ1793" s="10"/>
      <c r="AK1793" s="10"/>
      <c r="AL1793" s="10"/>
      <c r="AM1793" s="236"/>
      <c r="AN1793" s="10"/>
      <c r="AO1793" s="236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236"/>
      <c r="AZ1793" s="10"/>
      <c r="BA1793" s="10"/>
      <c r="BB1793" s="10"/>
      <c r="BC1793" s="10"/>
      <c r="BD1793" s="10"/>
      <c r="BE1793" s="236"/>
      <c r="BF1793" s="10"/>
      <c r="BG1793" s="10"/>
      <c r="BH1793" s="10"/>
      <c r="BI1793" s="236"/>
      <c r="BJ1793" s="10"/>
      <c r="BK1793" s="10"/>
      <c r="BL1793" s="10"/>
      <c r="BM1793" s="10"/>
      <c r="BN1793" s="10"/>
      <c r="BO1793" s="10"/>
      <c r="BP1793" s="8"/>
      <c r="BQ1793" s="10"/>
      <c r="BR1793" s="11"/>
      <c r="BS1793" s="12"/>
      <c r="BT1793" s="13"/>
      <c r="BU1793" s="8"/>
    </row>
    <row r="1794" s="1" customFormat="1" customHeight="1" spans="1:73">
      <c r="A1794" s="5"/>
      <c r="B1794" s="6"/>
      <c r="C1794" s="6"/>
      <c r="D1794" s="5"/>
      <c r="E1794" s="5"/>
      <c r="F1794" s="5"/>
      <c r="G1794" s="228"/>
      <c r="H1794" s="5"/>
      <c r="I1794" s="5"/>
      <c r="J1794" s="10"/>
      <c r="K1794" s="10"/>
      <c r="L1794" s="10"/>
      <c r="M1794" s="10"/>
      <c r="N1794" s="10"/>
      <c r="O1794" s="10"/>
      <c r="P1794" s="236"/>
      <c r="Q1794" s="10"/>
      <c r="R1794" s="236"/>
      <c r="S1794" s="10"/>
      <c r="T1794" s="10"/>
      <c r="U1794" s="10"/>
      <c r="V1794" s="236"/>
      <c r="W1794" s="236"/>
      <c r="X1794" s="10"/>
      <c r="Y1794" s="236"/>
      <c r="Z1794" s="10"/>
      <c r="AA1794" s="10"/>
      <c r="AB1794" s="10"/>
      <c r="AC1794" s="236"/>
      <c r="AD1794" s="10"/>
      <c r="AE1794" s="10"/>
      <c r="AF1794" s="10"/>
      <c r="AG1794" s="236"/>
      <c r="AH1794" s="10"/>
      <c r="AI1794" s="10"/>
      <c r="AJ1794" s="10"/>
      <c r="AK1794" s="10"/>
      <c r="AL1794" s="10"/>
      <c r="AM1794" s="236"/>
      <c r="AN1794" s="10"/>
      <c r="AO1794" s="236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236"/>
      <c r="AZ1794" s="10"/>
      <c r="BA1794" s="10"/>
      <c r="BB1794" s="10"/>
      <c r="BC1794" s="10"/>
      <c r="BD1794" s="10"/>
      <c r="BE1794" s="236"/>
      <c r="BF1794" s="10"/>
      <c r="BG1794" s="10"/>
      <c r="BH1794" s="10"/>
      <c r="BI1794" s="236"/>
      <c r="BJ1794" s="10"/>
      <c r="BK1794" s="10"/>
      <c r="BL1794" s="10"/>
      <c r="BM1794" s="10"/>
      <c r="BN1794" s="10"/>
      <c r="BO1794" s="10"/>
      <c r="BP1794" s="8"/>
      <c r="BQ1794" s="10"/>
      <c r="BR1794" s="11"/>
      <c r="BS1794" s="12"/>
      <c r="BT1794" s="13"/>
      <c r="BU1794" s="8"/>
    </row>
    <row r="1795" s="1" customFormat="1" customHeight="1" spans="1:73">
      <c r="A1795" s="5"/>
      <c r="B1795" s="6"/>
      <c r="C1795" s="6"/>
      <c r="D1795" s="5"/>
      <c r="E1795" s="5"/>
      <c r="F1795" s="5"/>
      <c r="G1795" s="228"/>
      <c r="H1795" s="5"/>
      <c r="I1795" s="5"/>
      <c r="J1795" s="10"/>
      <c r="K1795" s="10"/>
      <c r="L1795" s="10"/>
      <c r="M1795" s="10"/>
      <c r="N1795" s="10"/>
      <c r="O1795" s="10"/>
      <c r="P1795" s="236"/>
      <c r="Q1795" s="10"/>
      <c r="R1795" s="236"/>
      <c r="S1795" s="10"/>
      <c r="T1795" s="10"/>
      <c r="U1795" s="10"/>
      <c r="V1795" s="236"/>
      <c r="W1795" s="236"/>
      <c r="X1795" s="10"/>
      <c r="Y1795" s="236"/>
      <c r="Z1795" s="10"/>
      <c r="AA1795" s="10"/>
      <c r="AB1795" s="10"/>
      <c r="AC1795" s="236"/>
      <c r="AD1795" s="10"/>
      <c r="AE1795" s="10"/>
      <c r="AF1795" s="10"/>
      <c r="AG1795" s="236"/>
      <c r="AH1795" s="10"/>
      <c r="AI1795" s="10"/>
      <c r="AJ1795" s="10"/>
      <c r="AK1795" s="10"/>
      <c r="AL1795" s="10"/>
      <c r="AM1795" s="236"/>
      <c r="AN1795" s="10"/>
      <c r="AO1795" s="236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236"/>
      <c r="AZ1795" s="10"/>
      <c r="BA1795" s="10"/>
      <c r="BB1795" s="10"/>
      <c r="BC1795" s="10"/>
      <c r="BD1795" s="10"/>
      <c r="BE1795" s="236"/>
      <c r="BF1795" s="10"/>
      <c r="BG1795" s="10"/>
      <c r="BH1795" s="10"/>
      <c r="BI1795" s="236"/>
      <c r="BJ1795" s="10"/>
      <c r="BK1795" s="10"/>
      <c r="BL1795" s="10"/>
      <c r="BM1795" s="10"/>
      <c r="BN1795" s="10"/>
      <c r="BO1795" s="10"/>
      <c r="BP1795" s="8"/>
      <c r="BQ1795" s="10"/>
      <c r="BR1795" s="11"/>
      <c r="BS1795" s="12"/>
      <c r="BT1795" s="13"/>
      <c r="BU1795" s="8"/>
    </row>
    <row r="1796" s="1" customFormat="1" customHeight="1" spans="1:73">
      <c r="A1796" s="5"/>
      <c r="B1796" s="6"/>
      <c r="C1796" s="6"/>
      <c r="D1796" s="5"/>
      <c r="E1796" s="5"/>
      <c r="F1796" s="5"/>
      <c r="G1796" s="228"/>
      <c r="H1796" s="5"/>
      <c r="I1796" s="5"/>
      <c r="J1796" s="10"/>
      <c r="K1796" s="10"/>
      <c r="L1796" s="10"/>
      <c r="M1796" s="10"/>
      <c r="N1796" s="10"/>
      <c r="O1796" s="10"/>
      <c r="P1796" s="236"/>
      <c r="Q1796" s="10"/>
      <c r="R1796" s="236"/>
      <c r="S1796" s="10"/>
      <c r="T1796" s="10"/>
      <c r="U1796" s="10"/>
      <c r="V1796" s="236"/>
      <c r="W1796" s="236"/>
      <c r="X1796" s="10"/>
      <c r="Y1796" s="236"/>
      <c r="Z1796" s="10"/>
      <c r="AA1796" s="10"/>
      <c r="AB1796" s="10"/>
      <c r="AC1796" s="236"/>
      <c r="AD1796" s="10"/>
      <c r="AE1796" s="10"/>
      <c r="AF1796" s="10"/>
      <c r="AG1796" s="236"/>
      <c r="AH1796" s="10"/>
      <c r="AI1796" s="10"/>
      <c r="AJ1796" s="10"/>
      <c r="AK1796" s="10"/>
      <c r="AL1796" s="10"/>
      <c r="AM1796" s="236"/>
      <c r="AN1796" s="10"/>
      <c r="AO1796" s="236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236"/>
      <c r="AZ1796" s="10"/>
      <c r="BA1796" s="10"/>
      <c r="BB1796" s="10"/>
      <c r="BC1796" s="10"/>
      <c r="BD1796" s="10"/>
      <c r="BE1796" s="236"/>
      <c r="BF1796" s="10"/>
      <c r="BG1796" s="10"/>
      <c r="BH1796" s="10"/>
      <c r="BI1796" s="236"/>
      <c r="BJ1796" s="10"/>
      <c r="BK1796" s="10"/>
      <c r="BL1796" s="10"/>
      <c r="BM1796" s="10"/>
      <c r="BN1796" s="10"/>
      <c r="BO1796" s="10"/>
      <c r="BP1796" s="8"/>
      <c r="BQ1796" s="10"/>
      <c r="BR1796" s="11"/>
      <c r="BS1796" s="12"/>
      <c r="BT1796" s="13"/>
      <c r="BU1796" s="8"/>
    </row>
    <row r="1797" s="1" customFormat="1" customHeight="1" spans="1:73">
      <c r="A1797" s="5"/>
      <c r="B1797" s="6"/>
      <c r="C1797" s="6"/>
      <c r="D1797" s="5"/>
      <c r="E1797" s="5"/>
      <c r="F1797" s="5"/>
      <c r="G1797" s="228"/>
      <c r="H1797" s="5"/>
      <c r="I1797" s="5"/>
      <c r="J1797" s="10"/>
      <c r="K1797" s="10"/>
      <c r="L1797" s="10"/>
      <c r="M1797" s="10"/>
      <c r="N1797" s="10"/>
      <c r="O1797" s="10"/>
      <c r="P1797" s="236"/>
      <c r="Q1797" s="10"/>
      <c r="R1797" s="236"/>
      <c r="S1797" s="10"/>
      <c r="T1797" s="10"/>
      <c r="U1797" s="10"/>
      <c r="V1797" s="236"/>
      <c r="W1797" s="236"/>
      <c r="X1797" s="10"/>
      <c r="Y1797" s="236"/>
      <c r="Z1797" s="10"/>
      <c r="AA1797" s="10"/>
      <c r="AB1797" s="10"/>
      <c r="AC1797" s="236"/>
      <c r="AD1797" s="10"/>
      <c r="AE1797" s="10"/>
      <c r="AF1797" s="10"/>
      <c r="AG1797" s="236"/>
      <c r="AH1797" s="10"/>
      <c r="AI1797" s="10"/>
      <c r="AJ1797" s="10"/>
      <c r="AK1797" s="10"/>
      <c r="AL1797" s="10"/>
      <c r="AM1797" s="236"/>
      <c r="AN1797" s="10"/>
      <c r="AO1797" s="236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236"/>
      <c r="AZ1797" s="10"/>
      <c r="BA1797" s="10"/>
      <c r="BB1797" s="10"/>
      <c r="BC1797" s="10"/>
      <c r="BD1797" s="10"/>
      <c r="BE1797" s="236"/>
      <c r="BF1797" s="10"/>
      <c r="BG1797" s="10"/>
      <c r="BH1797" s="10"/>
      <c r="BI1797" s="236"/>
      <c r="BJ1797" s="10"/>
      <c r="BK1797" s="10"/>
      <c r="BL1797" s="10"/>
      <c r="BM1797" s="10"/>
      <c r="BN1797" s="10"/>
      <c r="BO1797" s="10"/>
      <c r="BP1797" s="8"/>
      <c r="BQ1797" s="10"/>
      <c r="BR1797" s="11"/>
      <c r="BS1797" s="12"/>
      <c r="BT1797" s="13"/>
      <c r="BU1797" s="8"/>
    </row>
    <row r="1798" s="1" customFormat="1" customHeight="1" spans="1:73">
      <c r="A1798" s="5"/>
      <c r="B1798" s="6"/>
      <c r="C1798" s="6"/>
      <c r="D1798" s="5"/>
      <c r="E1798" s="5"/>
      <c r="F1798" s="5"/>
      <c r="G1798" s="228"/>
      <c r="H1798" s="5"/>
      <c r="I1798" s="5"/>
      <c r="J1798" s="10"/>
      <c r="K1798" s="10"/>
      <c r="L1798" s="10"/>
      <c r="M1798" s="10"/>
      <c r="N1798" s="10"/>
      <c r="O1798" s="10"/>
      <c r="P1798" s="236"/>
      <c r="Q1798" s="10"/>
      <c r="R1798" s="236"/>
      <c r="S1798" s="10"/>
      <c r="T1798" s="10"/>
      <c r="U1798" s="10"/>
      <c r="V1798" s="236"/>
      <c r="W1798" s="236"/>
      <c r="X1798" s="10"/>
      <c r="Y1798" s="236"/>
      <c r="Z1798" s="10"/>
      <c r="AA1798" s="10"/>
      <c r="AB1798" s="10"/>
      <c r="AC1798" s="236"/>
      <c r="AD1798" s="10"/>
      <c r="AE1798" s="10"/>
      <c r="AF1798" s="10"/>
      <c r="AG1798" s="236"/>
      <c r="AH1798" s="10"/>
      <c r="AI1798" s="10"/>
      <c r="AJ1798" s="10"/>
      <c r="AK1798" s="10"/>
      <c r="AL1798" s="10"/>
      <c r="AM1798" s="236"/>
      <c r="AN1798" s="10"/>
      <c r="AO1798" s="236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236"/>
      <c r="AZ1798" s="10"/>
      <c r="BA1798" s="10"/>
      <c r="BB1798" s="10"/>
      <c r="BC1798" s="10"/>
      <c r="BD1798" s="10"/>
      <c r="BE1798" s="236"/>
      <c r="BF1798" s="10"/>
      <c r="BG1798" s="10"/>
      <c r="BH1798" s="10"/>
      <c r="BI1798" s="236"/>
      <c r="BJ1798" s="10"/>
      <c r="BK1798" s="10"/>
      <c r="BL1798" s="10"/>
      <c r="BM1798" s="10"/>
      <c r="BN1798" s="10"/>
      <c r="BO1798" s="10"/>
      <c r="BP1798" s="8"/>
      <c r="BQ1798" s="10"/>
      <c r="BR1798" s="11"/>
      <c r="BS1798" s="12"/>
      <c r="BT1798" s="13"/>
      <c r="BU1798" s="8"/>
    </row>
    <row r="1799" s="1" customFormat="1" customHeight="1" spans="1:73">
      <c r="A1799" s="5"/>
      <c r="B1799" s="6"/>
      <c r="C1799" s="6"/>
      <c r="D1799" s="5"/>
      <c r="E1799" s="5"/>
      <c r="F1799" s="5"/>
      <c r="G1799" s="228"/>
      <c r="H1799" s="5"/>
      <c r="I1799" s="5"/>
      <c r="J1799" s="10"/>
      <c r="K1799" s="10"/>
      <c r="L1799" s="10"/>
      <c r="M1799" s="10"/>
      <c r="N1799" s="10"/>
      <c r="O1799" s="10"/>
      <c r="P1799" s="236"/>
      <c r="Q1799" s="10"/>
      <c r="R1799" s="236"/>
      <c r="S1799" s="10"/>
      <c r="T1799" s="10"/>
      <c r="U1799" s="10"/>
      <c r="V1799" s="236"/>
      <c r="W1799" s="236"/>
      <c r="X1799" s="10"/>
      <c r="Y1799" s="236"/>
      <c r="Z1799" s="10"/>
      <c r="AA1799" s="10"/>
      <c r="AB1799" s="10"/>
      <c r="AC1799" s="236"/>
      <c r="AD1799" s="10"/>
      <c r="AE1799" s="10"/>
      <c r="AF1799" s="10"/>
      <c r="AG1799" s="236"/>
      <c r="AH1799" s="10"/>
      <c r="AI1799" s="10"/>
      <c r="AJ1799" s="10"/>
      <c r="AK1799" s="10"/>
      <c r="AL1799" s="10"/>
      <c r="AM1799" s="236"/>
      <c r="AN1799" s="10"/>
      <c r="AO1799" s="236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236"/>
      <c r="AZ1799" s="10"/>
      <c r="BA1799" s="10"/>
      <c r="BB1799" s="10"/>
      <c r="BC1799" s="10"/>
      <c r="BD1799" s="10"/>
      <c r="BE1799" s="236"/>
      <c r="BF1799" s="10"/>
      <c r="BG1799" s="10"/>
      <c r="BH1799" s="10"/>
      <c r="BI1799" s="236"/>
      <c r="BJ1799" s="10"/>
      <c r="BK1799" s="10"/>
      <c r="BL1799" s="10"/>
      <c r="BM1799" s="10"/>
      <c r="BN1799" s="10"/>
      <c r="BO1799" s="10"/>
      <c r="BP1799" s="8"/>
      <c r="BQ1799" s="10"/>
      <c r="BR1799" s="11"/>
      <c r="BS1799" s="12"/>
      <c r="BT1799" s="13"/>
      <c r="BU1799" s="8"/>
    </row>
    <row r="1800" s="1" customFormat="1" customHeight="1" spans="1:73">
      <c r="A1800" s="5"/>
      <c r="B1800" s="6"/>
      <c r="C1800" s="6"/>
      <c r="D1800" s="5"/>
      <c r="E1800" s="5"/>
      <c r="F1800" s="5"/>
      <c r="G1800" s="228"/>
      <c r="H1800" s="5"/>
      <c r="I1800" s="5"/>
      <c r="J1800" s="10"/>
      <c r="K1800" s="10"/>
      <c r="L1800" s="10"/>
      <c r="M1800" s="10"/>
      <c r="N1800" s="10"/>
      <c r="O1800" s="10"/>
      <c r="P1800" s="236"/>
      <c r="Q1800" s="10"/>
      <c r="R1800" s="236"/>
      <c r="S1800" s="10"/>
      <c r="T1800" s="10"/>
      <c r="U1800" s="10"/>
      <c r="V1800" s="236"/>
      <c r="W1800" s="236"/>
      <c r="X1800" s="10"/>
      <c r="Y1800" s="236"/>
      <c r="Z1800" s="10"/>
      <c r="AA1800" s="10"/>
      <c r="AB1800" s="10"/>
      <c r="AC1800" s="236"/>
      <c r="AD1800" s="10"/>
      <c r="AE1800" s="10"/>
      <c r="AF1800" s="10"/>
      <c r="AG1800" s="236"/>
      <c r="AH1800" s="10"/>
      <c r="AI1800" s="10"/>
      <c r="AJ1800" s="10"/>
      <c r="AK1800" s="10"/>
      <c r="AL1800" s="10"/>
      <c r="AM1800" s="236"/>
      <c r="AN1800" s="10"/>
      <c r="AO1800" s="236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236"/>
      <c r="AZ1800" s="10"/>
      <c r="BA1800" s="10"/>
      <c r="BB1800" s="10"/>
      <c r="BC1800" s="10"/>
      <c r="BD1800" s="10"/>
      <c r="BE1800" s="236"/>
      <c r="BF1800" s="10"/>
      <c r="BG1800" s="10"/>
      <c r="BH1800" s="10"/>
      <c r="BI1800" s="236"/>
      <c r="BJ1800" s="10"/>
      <c r="BK1800" s="10"/>
      <c r="BL1800" s="10"/>
      <c r="BM1800" s="10"/>
      <c r="BN1800" s="10"/>
      <c r="BO1800" s="10"/>
      <c r="BP1800" s="8"/>
      <c r="BQ1800" s="10"/>
      <c r="BR1800" s="11"/>
      <c r="BS1800" s="12"/>
      <c r="BT1800" s="13"/>
      <c r="BU1800" s="8"/>
    </row>
    <row r="1801" s="1" customFormat="1" customHeight="1" spans="1:73">
      <c r="A1801" s="5"/>
      <c r="B1801" s="6"/>
      <c r="C1801" s="6"/>
      <c r="D1801" s="5"/>
      <c r="E1801" s="5"/>
      <c r="F1801" s="5"/>
      <c r="G1801" s="228"/>
      <c r="H1801" s="5"/>
      <c r="I1801" s="5"/>
      <c r="J1801" s="10"/>
      <c r="K1801" s="10"/>
      <c r="L1801" s="10"/>
      <c r="M1801" s="10"/>
      <c r="N1801" s="10"/>
      <c r="O1801" s="10"/>
      <c r="P1801" s="236"/>
      <c r="Q1801" s="10"/>
      <c r="R1801" s="236"/>
      <c r="S1801" s="10"/>
      <c r="T1801" s="10"/>
      <c r="U1801" s="10"/>
      <c r="V1801" s="236"/>
      <c r="W1801" s="236"/>
      <c r="X1801" s="10"/>
      <c r="Y1801" s="236"/>
      <c r="Z1801" s="10"/>
      <c r="AA1801" s="10"/>
      <c r="AB1801" s="10"/>
      <c r="AC1801" s="236"/>
      <c r="AD1801" s="10"/>
      <c r="AE1801" s="10"/>
      <c r="AF1801" s="10"/>
      <c r="AG1801" s="236"/>
      <c r="AH1801" s="10"/>
      <c r="AI1801" s="10"/>
      <c r="AJ1801" s="10"/>
      <c r="AK1801" s="10"/>
      <c r="AL1801" s="10"/>
      <c r="AM1801" s="236"/>
      <c r="AN1801" s="10"/>
      <c r="AO1801" s="236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236"/>
      <c r="AZ1801" s="10"/>
      <c r="BA1801" s="10"/>
      <c r="BB1801" s="10"/>
      <c r="BC1801" s="10"/>
      <c r="BD1801" s="10"/>
      <c r="BE1801" s="236"/>
      <c r="BF1801" s="10"/>
      <c r="BG1801" s="10"/>
      <c r="BH1801" s="10"/>
      <c r="BI1801" s="236"/>
      <c r="BJ1801" s="10"/>
      <c r="BK1801" s="10"/>
      <c r="BL1801" s="10"/>
      <c r="BM1801" s="10"/>
      <c r="BN1801" s="10"/>
      <c r="BO1801" s="10"/>
      <c r="BP1801" s="8"/>
      <c r="BQ1801" s="10"/>
      <c r="BR1801" s="11"/>
      <c r="BS1801" s="12"/>
      <c r="BT1801" s="13"/>
      <c r="BU1801" s="8"/>
    </row>
    <row r="1802" s="1" customFormat="1" customHeight="1" spans="1:73">
      <c r="A1802" s="5"/>
      <c r="B1802" s="6"/>
      <c r="C1802" s="6"/>
      <c r="D1802" s="5"/>
      <c r="E1802" s="5"/>
      <c r="F1802" s="5"/>
      <c r="G1802" s="228"/>
      <c r="H1802" s="5"/>
      <c r="I1802" s="5"/>
      <c r="J1802" s="10"/>
      <c r="K1802" s="10"/>
      <c r="L1802" s="10"/>
      <c r="M1802" s="10"/>
      <c r="N1802" s="10"/>
      <c r="O1802" s="10"/>
      <c r="P1802" s="236"/>
      <c r="Q1802" s="10"/>
      <c r="R1802" s="236"/>
      <c r="S1802" s="10"/>
      <c r="T1802" s="10"/>
      <c r="U1802" s="10"/>
      <c r="V1802" s="236"/>
      <c r="W1802" s="236"/>
      <c r="X1802" s="10"/>
      <c r="Y1802" s="236"/>
      <c r="Z1802" s="10"/>
      <c r="AA1802" s="10"/>
      <c r="AB1802" s="10"/>
      <c r="AC1802" s="236"/>
      <c r="AD1802" s="10"/>
      <c r="AE1802" s="10"/>
      <c r="AF1802" s="10"/>
      <c r="AG1802" s="236"/>
      <c r="AH1802" s="10"/>
      <c r="AI1802" s="10"/>
      <c r="AJ1802" s="10"/>
      <c r="AK1802" s="10"/>
      <c r="AL1802" s="10"/>
      <c r="AM1802" s="236"/>
      <c r="AN1802" s="10"/>
      <c r="AO1802" s="236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236"/>
      <c r="AZ1802" s="10"/>
      <c r="BA1802" s="10"/>
      <c r="BB1802" s="10"/>
      <c r="BC1802" s="10"/>
      <c r="BD1802" s="10"/>
      <c r="BE1802" s="236"/>
      <c r="BF1802" s="10"/>
      <c r="BG1802" s="10"/>
      <c r="BH1802" s="10"/>
      <c r="BI1802" s="236"/>
      <c r="BJ1802" s="10"/>
      <c r="BK1802" s="10"/>
      <c r="BL1802" s="10"/>
      <c r="BM1802" s="10"/>
      <c r="BN1802" s="10"/>
      <c r="BO1802" s="10"/>
      <c r="BP1802" s="8"/>
      <c r="BQ1802" s="10"/>
      <c r="BR1802" s="11"/>
      <c r="BS1802" s="12"/>
      <c r="BT1802" s="13"/>
      <c r="BU1802" s="8"/>
    </row>
    <row r="1803" s="1" customFormat="1" customHeight="1" spans="1:73">
      <c r="A1803" s="5"/>
      <c r="B1803" s="6"/>
      <c r="C1803" s="6"/>
      <c r="D1803" s="5"/>
      <c r="E1803" s="5"/>
      <c r="F1803" s="5"/>
      <c r="G1803" s="228"/>
      <c r="H1803" s="5"/>
      <c r="I1803" s="5"/>
      <c r="J1803" s="10"/>
      <c r="K1803" s="10"/>
      <c r="L1803" s="10"/>
      <c r="M1803" s="10"/>
      <c r="N1803" s="10"/>
      <c r="O1803" s="10"/>
      <c r="P1803" s="236"/>
      <c r="Q1803" s="10"/>
      <c r="R1803" s="236"/>
      <c r="S1803" s="10"/>
      <c r="T1803" s="10"/>
      <c r="U1803" s="10"/>
      <c r="V1803" s="236"/>
      <c r="W1803" s="236"/>
      <c r="X1803" s="10"/>
      <c r="Y1803" s="236"/>
      <c r="Z1803" s="10"/>
      <c r="AA1803" s="10"/>
      <c r="AB1803" s="10"/>
      <c r="AC1803" s="236"/>
      <c r="AD1803" s="10"/>
      <c r="AE1803" s="10"/>
      <c r="AF1803" s="10"/>
      <c r="AG1803" s="236"/>
      <c r="AH1803" s="10"/>
      <c r="AI1803" s="10"/>
      <c r="AJ1803" s="10"/>
      <c r="AK1803" s="10"/>
      <c r="AL1803" s="10"/>
      <c r="AM1803" s="236"/>
      <c r="AN1803" s="10"/>
      <c r="AO1803" s="236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236"/>
      <c r="AZ1803" s="10"/>
      <c r="BA1803" s="10"/>
      <c r="BB1803" s="10"/>
      <c r="BC1803" s="10"/>
      <c r="BD1803" s="10"/>
      <c r="BE1803" s="236"/>
      <c r="BF1803" s="10"/>
      <c r="BG1803" s="10"/>
      <c r="BH1803" s="10"/>
      <c r="BI1803" s="236"/>
      <c r="BJ1803" s="10"/>
      <c r="BK1803" s="10"/>
      <c r="BL1803" s="10"/>
      <c r="BM1803" s="10"/>
      <c r="BN1803" s="10"/>
      <c r="BO1803" s="10"/>
      <c r="BP1803" s="8"/>
      <c r="BQ1803" s="10"/>
      <c r="BR1803" s="11"/>
      <c r="BS1803" s="12"/>
      <c r="BT1803" s="13"/>
      <c r="BU1803" s="8"/>
    </row>
    <row r="1804" s="1" customFormat="1" customHeight="1" spans="1:73">
      <c r="A1804" s="5"/>
      <c r="B1804" s="6"/>
      <c r="C1804" s="6"/>
      <c r="D1804" s="5"/>
      <c r="E1804" s="5"/>
      <c r="F1804" s="5"/>
      <c r="G1804" s="228"/>
      <c r="H1804" s="5"/>
      <c r="I1804" s="5"/>
      <c r="J1804" s="10"/>
      <c r="K1804" s="10"/>
      <c r="L1804" s="10"/>
      <c r="M1804" s="10"/>
      <c r="N1804" s="10"/>
      <c r="O1804" s="10"/>
      <c r="P1804" s="236"/>
      <c r="Q1804" s="10"/>
      <c r="R1804" s="236"/>
      <c r="S1804" s="10"/>
      <c r="T1804" s="10"/>
      <c r="U1804" s="10"/>
      <c r="V1804" s="236"/>
      <c r="W1804" s="236"/>
      <c r="X1804" s="10"/>
      <c r="Y1804" s="236"/>
      <c r="Z1804" s="10"/>
      <c r="AA1804" s="10"/>
      <c r="AB1804" s="10"/>
      <c r="AC1804" s="236"/>
      <c r="AD1804" s="10"/>
      <c r="AE1804" s="10"/>
      <c r="AF1804" s="10"/>
      <c r="AG1804" s="236"/>
      <c r="AH1804" s="10"/>
      <c r="AI1804" s="10"/>
      <c r="AJ1804" s="10"/>
      <c r="AK1804" s="10"/>
      <c r="AL1804" s="10"/>
      <c r="AM1804" s="236"/>
      <c r="AN1804" s="10"/>
      <c r="AO1804" s="236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236"/>
      <c r="AZ1804" s="10"/>
      <c r="BA1804" s="10"/>
      <c r="BB1804" s="10"/>
      <c r="BC1804" s="10"/>
      <c r="BD1804" s="10"/>
      <c r="BE1804" s="236"/>
      <c r="BF1804" s="10"/>
      <c r="BG1804" s="10"/>
      <c r="BH1804" s="10"/>
      <c r="BI1804" s="236"/>
      <c r="BJ1804" s="10"/>
      <c r="BK1804" s="10"/>
      <c r="BL1804" s="10"/>
      <c r="BM1804" s="10"/>
      <c r="BN1804" s="10"/>
      <c r="BO1804" s="10"/>
      <c r="BP1804" s="8"/>
      <c r="BQ1804" s="10"/>
      <c r="BR1804" s="11"/>
      <c r="BS1804" s="12"/>
      <c r="BT1804" s="13"/>
      <c r="BU1804" s="8"/>
    </row>
    <row r="1805" s="1" customFormat="1" customHeight="1" spans="1:73">
      <c r="A1805" s="5"/>
      <c r="B1805" s="6"/>
      <c r="C1805" s="6"/>
      <c r="D1805" s="5"/>
      <c r="E1805" s="5"/>
      <c r="F1805" s="5"/>
      <c r="G1805" s="228"/>
      <c r="H1805" s="5"/>
      <c r="I1805" s="5"/>
      <c r="J1805" s="10"/>
      <c r="K1805" s="10"/>
      <c r="L1805" s="10"/>
      <c r="M1805" s="10"/>
      <c r="N1805" s="10"/>
      <c r="O1805" s="10"/>
      <c r="P1805" s="236"/>
      <c r="Q1805" s="10"/>
      <c r="R1805" s="236"/>
      <c r="S1805" s="10"/>
      <c r="T1805" s="10"/>
      <c r="U1805" s="10"/>
      <c r="V1805" s="236"/>
      <c r="W1805" s="236"/>
      <c r="X1805" s="10"/>
      <c r="Y1805" s="236"/>
      <c r="Z1805" s="10"/>
      <c r="AA1805" s="10"/>
      <c r="AB1805" s="10"/>
      <c r="AC1805" s="236"/>
      <c r="AD1805" s="10"/>
      <c r="AE1805" s="10"/>
      <c r="AF1805" s="10"/>
      <c r="AG1805" s="236"/>
      <c r="AH1805" s="10"/>
      <c r="AI1805" s="10"/>
      <c r="AJ1805" s="10"/>
      <c r="AK1805" s="10"/>
      <c r="AL1805" s="10"/>
      <c r="AM1805" s="236"/>
      <c r="AN1805" s="10"/>
      <c r="AO1805" s="236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236"/>
      <c r="AZ1805" s="10"/>
      <c r="BA1805" s="10"/>
      <c r="BB1805" s="10"/>
      <c r="BC1805" s="10"/>
      <c r="BD1805" s="10"/>
      <c r="BE1805" s="236"/>
      <c r="BF1805" s="10"/>
      <c r="BG1805" s="10"/>
      <c r="BH1805" s="10"/>
      <c r="BI1805" s="236"/>
      <c r="BJ1805" s="10"/>
      <c r="BK1805" s="10"/>
      <c r="BL1805" s="10"/>
      <c r="BM1805" s="10"/>
      <c r="BN1805" s="10"/>
      <c r="BO1805" s="10"/>
      <c r="BP1805" s="8"/>
      <c r="BQ1805" s="10"/>
      <c r="BR1805" s="11"/>
      <c r="BS1805" s="12"/>
      <c r="BT1805" s="13"/>
      <c r="BU1805" s="8"/>
    </row>
    <row r="1806" s="1" customFormat="1" customHeight="1" spans="1:73">
      <c r="A1806" s="5"/>
      <c r="B1806" s="6"/>
      <c r="C1806" s="6"/>
      <c r="D1806" s="5"/>
      <c r="E1806" s="5"/>
      <c r="F1806" s="5"/>
      <c r="G1806" s="228"/>
      <c r="H1806" s="5"/>
      <c r="I1806" s="5"/>
      <c r="J1806" s="10"/>
      <c r="K1806" s="10"/>
      <c r="L1806" s="10"/>
      <c r="M1806" s="10"/>
      <c r="N1806" s="10"/>
      <c r="O1806" s="10"/>
      <c r="P1806" s="236"/>
      <c r="Q1806" s="10"/>
      <c r="R1806" s="236"/>
      <c r="S1806" s="10"/>
      <c r="T1806" s="10"/>
      <c r="U1806" s="10"/>
      <c r="V1806" s="236"/>
      <c r="W1806" s="236"/>
      <c r="X1806" s="10"/>
      <c r="Y1806" s="236"/>
      <c r="Z1806" s="10"/>
      <c r="AA1806" s="10"/>
      <c r="AB1806" s="10"/>
      <c r="AC1806" s="236"/>
      <c r="AD1806" s="10"/>
      <c r="AE1806" s="10"/>
      <c r="AF1806" s="10"/>
      <c r="AG1806" s="236"/>
      <c r="AH1806" s="10"/>
      <c r="AI1806" s="10"/>
      <c r="AJ1806" s="10"/>
      <c r="AK1806" s="10"/>
      <c r="AL1806" s="10"/>
      <c r="AM1806" s="236"/>
      <c r="AN1806" s="10"/>
      <c r="AO1806" s="236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236"/>
      <c r="AZ1806" s="10"/>
      <c r="BA1806" s="10"/>
      <c r="BB1806" s="10"/>
      <c r="BC1806" s="10"/>
      <c r="BD1806" s="10"/>
      <c r="BE1806" s="236"/>
      <c r="BF1806" s="10"/>
      <c r="BG1806" s="10"/>
      <c r="BH1806" s="10"/>
      <c r="BI1806" s="236"/>
      <c r="BJ1806" s="10"/>
      <c r="BK1806" s="10"/>
      <c r="BL1806" s="10"/>
      <c r="BM1806" s="10"/>
      <c r="BN1806" s="10"/>
      <c r="BO1806" s="10"/>
      <c r="BP1806" s="8"/>
      <c r="BQ1806" s="10"/>
      <c r="BR1806" s="11"/>
      <c r="BS1806" s="12"/>
      <c r="BT1806" s="13"/>
      <c r="BU1806" s="8"/>
    </row>
    <row r="1807" s="1" customFormat="1" customHeight="1" spans="1:73">
      <c r="A1807" s="5"/>
      <c r="B1807" s="6"/>
      <c r="C1807" s="6"/>
      <c r="D1807" s="5"/>
      <c r="E1807" s="5"/>
      <c r="F1807" s="5"/>
      <c r="G1807" s="228"/>
      <c r="H1807" s="5"/>
      <c r="I1807" s="5"/>
      <c r="J1807" s="10"/>
      <c r="K1807" s="10"/>
      <c r="L1807" s="10"/>
      <c r="M1807" s="10"/>
      <c r="N1807" s="10"/>
      <c r="O1807" s="10"/>
      <c r="P1807" s="236"/>
      <c r="Q1807" s="10"/>
      <c r="R1807" s="236"/>
      <c r="S1807" s="10"/>
      <c r="T1807" s="10"/>
      <c r="U1807" s="10"/>
      <c r="V1807" s="236"/>
      <c r="W1807" s="236"/>
      <c r="X1807" s="10"/>
      <c r="Y1807" s="236"/>
      <c r="Z1807" s="10"/>
      <c r="AA1807" s="10"/>
      <c r="AB1807" s="10"/>
      <c r="AC1807" s="236"/>
      <c r="AD1807" s="10"/>
      <c r="AE1807" s="10"/>
      <c r="AF1807" s="10"/>
      <c r="AG1807" s="236"/>
      <c r="AH1807" s="10"/>
      <c r="AI1807" s="10"/>
      <c r="AJ1807" s="10"/>
      <c r="AK1807" s="10"/>
      <c r="AL1807" s="10"/>
      <c r="AM1807" s="236"/>
      <c r="AN1807" s="10"/>
      <c r="AO1807" s="236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236"/>
      <c r="AZ1807" s="10"/>
      <c r="BA1807" s="10"/>
      <c r="BB1807" s="10"/>
      <c r="BC1807" s="10"/>
      <c r="BD1807" s="10"/>
      <c r="BE1807" s="236"/>
      <c r="BF1807" s="10"/>
      <c r="BG1807" s="10"/>
      <c r="BH1807" s="10"/>
      <c r="BI1807" s="236"/>
      <c r="BJ1807" s="10"/>
      <c r="BK1807" s="10"/>
      <c r="BL1807" s="10"/>
      <c r="BM1807" s="10"/>
      <c r="BN1807" s="10"/>
      <c r="BO1807" s="10"/>
      <c r="BP1807" s="8"/>
      <c r="BQ1807" s="10"/>
      <c r="BR1807" s="11"/>
      <c r="BS1807" s="12"/>
      <c r="BT1807" s="13"/>
      <c r="BU1807" s="8"/>
    </row>
    <row r="1808" s="1" customFormat="1" customHeight="1" spans="1:73">
      <c r="A1808" s="5"/>
      <c r="B1808" s="6"/>
      <c r="C1808" s="6"/>
      <c r="D1808" s="5"/>
      <c r="E1808" s="5"/>
      <c r="F1808" s="5"/>
      <c r="G1808" s="228"/>
      <c r="H1808" s="5"/>
      <c r="I1808" s="5"/>
      <c r="J1808" s="10"/>
      <c r="K1808" s="10"/>
      <c r="L1808" s="10"/>
      <c r="M1808" s="10"/>
      <c r="N1808" s="10"/>
      <c r="O1808" s="10"/>
      <c r="P1808" s="236"/>
      <c r="Q1808" s="10"/>
      <c r="R1808" s="236"/>
      <c r="S1808" s="10"/>
      <c r="T1808" s="10"/>
      <c r="U1808" s="10"/>
      <c r="V1808" s="236"/>
      <c r="W1808" s="236"/>
      <c r="X1808" s="10"/>
      <c r="Y1808" s="236"/>
      <c r="Z1808" s="10"/>
      <c r="AA1808" s="10"/>
      <c r="AB1808" s="10"/>
      <c r="AC1808" s="236"/>
      <c r="AD1808" s="10"/>
      <c r="AE1808" s="10"/>
      <c r="AF1808" s="10"/>
      <c r="AG1808" s="236"/>
      <c r="AH1808" s="10"/>
      <c r="AI1808" s="10"/>
      <c r="AJ1808" s="10"/>
      <c r="AK1808" s="10"/>
      <c r="AL1808" s="10"/>
      <c r="AM1808" s="236"/>
      <c r="AN1808" s="10"/>
      <c r="AO1808" s="236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236"/>
      <c r="AZ1808" s="10"/>
      <c r="BA1808" s="10"/>
      <c r="BB1808" s="10"/>
      <c r="BC1808" s="10"/>
      <c r="BD1808" s="10"/>
      <c r="BE1808" s="236"/>
      <c r="BF1808" s="10"/>
      <c r="BG1808" s="10"/>
      <c r="BH1808" s="10"/>
      <c r="BI1808" s="236"/>
      <c r="BJ1808" s="10"/>
      <c r="BK1808" s="10"/>
      <c r="BL1808" s="10"/>
      <c r="BM1808" s="10"/>
      <c r="BN1808" s="10"/>
      <c r="BO1808" s="10"/>
      <c r="BP1808" s="8"/>
      <c r="BQ1808" s="10"/>
      <c r="BR1808" s="11"/>
      <c r="BS1808" s="12"/>
      <c r="BT1808" s="13"/>
      <c r="BU1808" s="8"/>
    </row>
    <row r="1809" s="1" customFormat="1" customHeight="1" spans="1:73">
      <c r="A1809" s="5"/>
      <c r="B1809" s="6"/>
      <c r="C1809" s="6"/>
      <c r="D1809" s="5"/>
      <c r="E1809" s="5"/>
      <c r="F1809" s="5"/>
      <c r="G1809" s="228"/>
      <c r="H1809" s="5"/>
      <c r="I1809" s="5"/>
      <c r="J1809" s="10"/>
      <c r="K1809" s="10"/>
      <c r="L1809" s="10"/>
      <c r="M1809" s="10"/>
      <c r="N1809" s="10"/>
      <c r="O1809" s="10"/>
      <c r="P1809" s="236"/>
      <c r="Q1809" s="10"/>
      <c r="R1809" s="236"/>
      <c r="S1809" s="10"/>
      <c r="T1809" s="10"/>
      <c r="U1809" s="10"/>
      <c r="V1809" s="236"/>
      <c r="W1809" s="236"/>
      <c r="X1809" s="10"/>
      <c r="Y1809" s="236"/>
      <c r="Z1809" s="10"/>
      <c r="AA1809" s="10"/>
      <c r="AB1809" s="10"/>
      <c r="AC1809" s="236"/>
      <c r="AD1809" s="10"/>
      <c r="AE1809" s="10"/>
      <c r="AF1809" s="10"/>
      <c r="AG1809" s="236"/>
      <c r="AH1809" s="10"/>
      <c r="AI1809" s="10"/>
      <c r="AJ1809" s="10"/>
      <c r="AK1809" s="10"/>
      <c r="AL1809" s="10"/>
      <c r="AM1809" s="236"/>
      <c r="AN1809" s="10"/>
      <c r="AO1809" s="236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236"/>
      <c r="AZ1809" s="10"/>
      <c r="BA1809" s="10"/>
      <c r="BB1809" s="10"/>
      <c r="BC1809" s="10"/>
      <c r="BD1809" s="10"/>
      <c r="BE1809" s="236"/>
      <c r="BF1809" s="10"/>
      <c r="BG1809" s="10"/>
      <c r="BH1809" s="10"/>
      <c r="BI1809" s="236"/>
      <c r="BJ1809" s="10"/>
      <c r="BK1809" s="10"/>
      <c r="BL1809" s="10"/>
      <c r="BM1809" s="10"/>
      <c r="BN1809" s="10"/>
      <c r="BO1809" s="10"/>
      <c r="BP1809" s="8"/>
      <c r="BQ1809" s="10"/>
      <c r="BR1809" s="11"/>
      <c r="BS1809" s="12"/>
      <c r="BT1809" s="13"/>
      <c r="BU1809" s="8"/>
    </row>
    <row r="1810" s="1" customFormat="1" customHeight="1" spans="1:73">
      <c r="A1810" s="5"/>
      <c r="B1810" s="6"/>
      <c r="C1810" s="6"/>
      <c r="D1810" s="5"/>
      <c r="E1810" s="5"/>
      <c r="F1810" s="5"/>
      <c r="G1810" s="228"/>
      <c r="H1810" s="5"/>
      <c r="I1810" s="5"/>
      <c r="J1810" s="10"/>
      <c r="K1810" s="10"/>
      <c r="L1810" s="10"/>
      <c r="M1810" s="10"/>
      <c r="N1810" s="10"/>
      <c r="O1810" s="10"/>
      <c r="P1810" s="236"/>
      <c r="Q1810" s="10"/>
      <c r="R1810" s="236"/>
      <c r="S1810" s="10"/>
      <c r="T1810" s="10"/>
      <c r="U1810" s="10"/>
      <c r="V1810" s="236"/>
      <c r="W1810" s="236"/>
      <c r="X1810" s="10"/>
      <c r="Y1810" s="236"/>
      <c r="Z1810" s="10"/>
      <c r="AA1810" s="10"/>
      <c r="AB1810" s="10"/>
      <c r="AC1810" s="236"/>
      <c r="AD1810" s="10"/>
      <c r="AE1810" s="10"/>
      <c r="AF1810" s="10"/>
      <c r="AG1810" s="236"/>
      <c r="AH1810" s="10"/>
      <c r="AI1810" s="10"/>
      <c r="AJ1810" s="10"/>
      <c r="AK1810" s="10"/>
      <c r="AL1810" s="10"/>
      <c r="AM1810" s="236"/>
      <c r="AN1810" s="10"/>
      <c r="AO1810" s="236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236"/>
      <c r="AZ1810" s="10"/>
      <c r="BA1810" s="10"/>
      <c r="BB1810" s="10"/>
      <c r="BC1810" s="10"/>
      <c r="BD1810" s="10"/>
      <c r="BE1810" s="236"/>
      <c r="BF1810" s="10"/>
      <c r="BG1810" s="10"/>
      <c r="BH1810" s="10"/>
      <c r="BI1810" s="236"/>
      <c r="BJ1810" s="10"/>
      <c r="BK1810" s="10"/>
      <c r="BL1810" s="10"/>
      <c r="BM1810" s="10"/>
      <c r="BN1810" s="10"/>
      <c r="BO1810" s="10"/>
      <c r="BP1810" s="8"/>
      <c r="BQ1810" s="10"/>
      <c r="BR1810" s="11"/>
      <c r="BS1810" s="12"/>
      <c r="BT1810" s="13"/>
      <c r="BU1810" s="8"/>
    </row>
    <row r="1811" s="1" customFormat="1" customHeight="1" spans="1:73">
      <c r="A1811" s="5"/>
      <c r="B1811" s="6"/>
      <c r="C1811" s="6"/>
      <c r="D1811" s="5"/>
      <c r="E1811" s="5"/>
      <c r="F1811" s="5"/>
      <c r="G1811" s="228"/>
      <c r="H1811" s="5"/>
      <c r="I1811" s="5"/>
      <c r="J1811" s="10"/>
      <c r="K1811" s="10"/>
      <c r="L1811" s="10"/>
      <c r="M1811" s="10"/>
      <c r="N1811" s="10"/>
      <c r="O1811" s="10"/>
      <c r="P1811" s="236"/>
      <c r="Q1811" s="10"/>
      <c r="R1811" s="236"/>
      <c r="S1811" s="10"/>
      <c r="T1811" s="10"/>
      <c r="U1811" s="10"/>
      <c r="V1811" s="236"/>
      <c r="W1811" s="236"/>
      <c r="X1811" s="10"/>
      <c r="Y1811" s="236"/>
      <c r="Z1811" s="10"/>
      <c r="AA1811" s="10"/>
      <c r="AB1811" s="10"/>
      <c r="AC1811" s="236"/>
      <c r="AD1811" s="10"/>
      <c r="AE1811" s="10"/>
      <c r="AF1811" s="10"/>
      <c r="AG1811" s="236"/>
      <c r="AH1811" s="10"/>
      <c r="AI1811" s="10"/>
      <c r="AJ1811" s="10"/>
      <c r="AK1811" s="10"/>
      <c r="AL1811" s="10"/>
      <c r="AM1811" s="236"/>
      <c r="AN1811" s="10"/>
      <c r="AO1811" s="236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236"/>
      <c r="AZ1811" s="10"/>
      <c r="BA1811" s="10"/>
      <c r="BB1811" s="10"/>
      <c r="BC1811" s="10"/>
      <c r="BD1811" s="10"/>
      <c r="BE1811" s="236"/>
      <c r="BF1811" s="10"/>
      <c r="BG1811" s="10"/>
      <c r="BH1811" s="10"/>
      <c r="BI1811" s="236"/>
      <c r="BJ1811" s="10"/>
      <c r="BK1811" s="10"/>
      <c r="BL1811" s="10"/>
      <c r="BM1811" s="10"/>
      <c r="BN1811" s="10"/>
      <c r="BO1811" s="10"/>
      <c r="BP1811" s="8"/>
      <c r="BQ1811" s="10"/>
      <c r="BR1811" s="11"/>
      <c r="BS1811" s="12"/>
      <c r="BT1811" s="13"/>
      <c r="BU1811" s="8"/>
    </row>
    <row r="1812" s="1" customFormat="1" customHeight="1" spans="1:73">
      <c r="A1812" s="5"/>
      <c r="B1812" s="6"/>
      <c r="C1812" s="6"/>
      <c r="D1812" s="5"/>
      <c r="E1812" s="5"/>
      <c r="F1812" s="5"/>
      <c r="G1812" s="228"/>
      <c r="H1812" s="5"/>
      <c r="I1812" s="5"/>
      <c r="J1812" s="10"/>
      <c r="K1812" s="10"/>
      <c r="L1812" s="10"/>
      <c r="M1812" s="10"/>
      <c r="N1812" s="10"/>
      <c r="O1812" s="10"/>
      <c r="P1812" s="236"/>
      <c r="Q1812" s="10"/>
      <c r="R1812" s="236"/>
      <c r="S1812" s="10"/>
      <c r="T1812" s="10"/>
      <c r="U1812" s="10"/>
      <c r="V1812" s="236"/>
      <c r="W1812" s="236"/>
      <c r="X1812" s="10"/>
      <c r="Y1812" s="236"/>
      <c r="Z1812" s="10"/>
      <c r="AA1812" s="10"/>
      <c r="AB1812" s="10"/>
      <c r="AC1812" s="236"/>
      <c r="AD1812" s="10"/>
      <c r="AE1812" s="10"/>
      <c r="AF1812" s="10"/>
      <c r="AG1812" s="236"/>
      <c r="AH1812" s="10"/>
      <c r="AI1812" s="10"/>
      <c r="AJ1812" s="10"/>
      <c r="AK1812" s="10"/>
      <c r="AL1812" s="10"/>
      <c r="AM1812" s="236"/>
      <c r="AN1812" s="10"/>
      <c r="AO1812" s="236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236"/>
      <c r="AZ1812" s="10"/>
      <c r="BA1812" s="10"/>
      <c r="BB1812" s="10"/>
      <c r="BC1812" s="10"/>
      <c r="BD1812" s="10"/>
      <c r="BE1812" s="236"/>
      <c r="BF1812" s="10"/>
      <c r="BG1812" s="10"/>
      <c r="BH1812" s="10"/>
      <c r="BI1812" s="236"/>
      <c r="BJ1812" s="10"/>
      <c r="BK1812" s="10"/>
      <c r="BL1812" s="10"/>
      <c r="BM1812" s="10"/>
      <c r="BN1812" s="10"/>
      <c r="BO1812" s="10"/>
      <c r="BP1812" s="8"/>
      <c r="BQ1812" s="10"/>
      <c r="BR1812" s="11"/>
      <c r="BS1812" s="12"/>
      <c r="BT1812" s="13"/>
      <c r="BU1812" s="8"/>
    </row>
    <row r="1813" s="1" customFormat="1" customHeight="1" spans="1:73">
      <c r="A1813" s="5"/>
      <c r="B1813" s="6"/>
      <c r="C1813" s="6"/>
      <c r="D1813" s="5"/>
      <c r="E1813" s="5"/>
      <c r="F1813" s="5"/>
      <c r="G1813" s="228"/>
      <c r="H1813" s="5"/>
      <c r="I1813" s="5"/>
      <c r="J1813" s="10"/>
      <c r="K1813" s="10"/>
      <c r="L1813" s="10"/>
      <c r="M1813" s="10"/>
      <c r="N1813" s="10"/>
      <c r="O1813" s="10"/>
      <c r="P1813" s="236"/>
      <c r="Q1813" s="10"/>
      <c r="R1813" s="236"/>
      <c r="S1813" s="10"/>
      <c r="T1813" s="10"/>
      <c r="U1813" s="10"/>
      <c r="V1813" s="236"/>
      <c r="W1813" s="236"/>
      <c r="X1813" s="10"/>
      <c r="Y1813" s="236"/>
      <c r="Z1813" s="10"/>
      <c r="AA1813" s="10"/>
      <c r="AB1813" s="10"/>
      <c r="AC1813" s="236"/>
      <c r="AD1813" s="10"/>
      <c r="AE1813" s="10"/>
      <c r="AF1813" s="10"/>
      <c r="AG1813" s="236"/>
      <c r="AH1813" s="10"/>
      <c r="AI1813" s="10"/>
      <c r="AJ1813" s="10"/>
      <c r="AK1813" s="10"/>
      <c r="AL1813" s="10"/>
      <c r="AM1813" s="236"/>
      <c r="AN1813" s="10"/>
      <c r="AO1813" s="236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236"/>
      <c r="AZ1813" s="10"/>
      <c r="BA1813" s="10"/>
      <c r="BB1813" s="10"/>
      <c r="BC1813" s="10"/>
      <c r="BD1813" s="10"/>
      <c r="BE1813" s="236"/>
      <c r="BF1813" s="10"/>
      <c r="BG1813" s="10"/>
      <c r="BH1813" s="10"/>
      <c r="BI1813" s="236"/>
      <c r="BJ1813" s="10"/>
      <c r="BK1813" s="10"/>
      <c r="BL1813" s="10"/>
      <c r="BM1813" s="10"/>
      <c r="BN1813" s="10"/>
      <c r="BO1813" s="10"/>
      <c r="BP1813" s="8"/>
      <c r="BQ1813" s="10"/>
      <c r="BR1813" s="11"/>
      <c r="BS1813" s="12"/>
      <c r="BT1813" s="13"/>
      <c r="BU1813" s="8"/>
    </row>
    <row r="1814" s="1" customFormat="1" customHeight="1" spans="1:73">
      <c r="A1814" s="5"/>
      <c r="B1814" s="6"/>
      <c r="C1814" s="6"/>
      <c r="D1814" s="5"/>
      <c r="E1814" s="5"/>
      <c r="F1814" s="5"/>
      <c r="G1814" s="228"/>
      <c r="H1814" s="5"/>
      <c r="I1814" s="5"/>
      <c r="J1814" s="10"/>
      <c r="K1814" s="10"/>
      <c r="L1814" s="10"/>
      <c r="M1814" s="10"/>
      <c r="N1814" s="10"/>
      <c r="O1814" s="10"/>
      <c r="P1814" s="236"/>
      <c r="Q1814" s="10"/>
      <c r="R1814" s="236"/>
      <c r="S1814" s="10"/>
      <c r="T1814" s="10"/>
      <c r="U1814" s="10"/>
      <c r="V1814" s="236"/>
      <c r="W1814" s="236"/>
      <c r="X1814" s="10"/>
      <c r="Y1814" s="236"/>
      <c r="Z1814" s="10"/>
      <c r="AA1814" s="10"/>
      <c r="AB1814" s="10"/>
      <c r="AC1814" s="236"/>
      <c r="AD1814" s="10"/>
      <c r="AE1814" s="10"/>
      <c r="AF1814" s="10"/>
      <c r="AG1814" s="236"/>
      <c r="AH1814" s="10"/>
      <c r="AI1814" s="10"/>
      <c r="AJ1814" s="10"/>
      <c r="AK1814" s="10"/>
      <c r="AL1814" s="10"/>
      <c r="AM1814" s="236"/>
      <c r="AN1814" s="10"/>
      <c r="AO1814" s="236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236"/>
      <c r="AZ1814" s="10"/>
      <c r="BA1814" s="10"/>
      <c r="BB1814" s="10"/>
      <c r="BC1814" s="10"/>
      <c r="BD1814" s="10"/>
      <c r="BE1814" s="236"/>
      <c r="BF1814" s="10"/>
      <c r="BG1814" s="10"/>
      <c r="BH1814" s="10"/>
      <c r="BI1814" s="236"/>
      <c r="BJ1814" s="10"/>
      <c r="BK1814" s="10"/>
      <c r="BL1814" s="10"/>
      <c r="BM1814" s="10"/>
      <c r="BN1814" s="10"/>
      <c r="BO1814" s="10"/>
      <c r="BP1814" s="8"/>
      <c r="BQ1814" s="10"/>
      <c r="BR1814" s="11"/>
      <c r="BS1814" s="12"/>
      <c r="BT1814" s="13"/>
      <c r="BU1814" s="8"/>
    </row>
    <row r="1815" s="1" customFormat="1" customHeight="1" spans="1:73">
      <c r="A1815" s="5"/>
      <c r="B1815" s="6"/>
      <c r="C1815" s="6"/>
      <c r="D1815" s="5"/>
      <c r="E1815" s="5"/>
      <c r="F1815" s="5"/>
      <c r="G1815" s="228"/>
      <c r="H1815" s="5"/>
      <c r="I1815" s="5"/>
      <c r="J1815" s="10"/>
      <c r="K1815" s="10"/>
      <c r="L1815" s="10"/>
      <c r="M1815" s="10"/>
      <c r="N1815" s="10"/>
      <c r="O1815" s="10"/>
      <c r="P1815" s="236"/>
      <c r="Q1815" s="10"/>
      <c r="R1815" s="236"/>
      <c r="S1815" s="10"/>
      <c r="T1815" s="10"/>
      <c r="U1815" s="10"/>
      <c r="V1815" s="236"/>
      <c r="W1815" s="236"/>
      <c r="X1815" s="10"/>
      <c r="Y1815" s="236"/>
      <c r="Z1815" s="10"/>
      <c r="AA1815" s="10"/>
      <c r="AB1815" s="10"/>
      <c r="AC1815" s="236"/>
      <c r="AD1815" s="10"/>
      <c r="AE1815" s="10"/>
      <c r="AF1815" s="10"/>
      <c r="AG1815" s="236"/>
      <c r="AH1815" s="10"/>
      <c r="AI1815" s="10"/>
      <c r="AJ1815" s="10"/>
      <c r="AK1815" s="10"/>
      <c r="AL1815" s="10"/>
      <c r="AM1815" s="236"/>
      <c r="AN1815" s="10"/>
      <c r="AO1815" s="236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236"/>
      <c r="AZ1815" s="10"/>
      <c r="BA1815" s="10"/>
      <c r="BB1815" s="10"/>
      <c r="BC1815" s="10"/>
      <c r="BD1815" s="10"/>
      <c r="BE1815" s="236"/>
      <c r="BF1815" s="10"/>
      <c r="BG1815" s="10"/>
      <c r="BH1815" s="10"/>
      <c r="BI1815" s="236"/>
      <c r="BJ1815" s="10"/>
      <c r="BK1815" s="10"/>
      <c r="BL1815" s="10"/>
      <c r="BM1815" s="10"/>
      <c r="BN1815" s="10"/>
      <c r="BO1815" s="10"/>
      <c r="BP1815" s="8"/>
      <c r="BQ1815" s="10"/>
      <c r="BR1815" s="11"/>
      <c r="BS1815" s="12"/>
      <c r="BT1815" s="13"/>
      <c r="BU1815" s="8"/>
    </row>
    <row r="1816" s="1" customFormat="1" customHeight="1" spans="1:73">
      <c r="A1816" s="5"/>
      <c r="B1816" s="6"/>
      <c r="C1816" s="6"/>
      <c r="D1816" s="5"/>
      <c r="E1816" s="5"/>
      <c r="F1816" s="5"/>
      <c r="G1816" s="228"/>
      <c r="H1816" s="5"/>
      <c r="I1816" s="5"/>
      <c r="J1816" s="10"/>
      <c r="K1816" s="10"/>
      <c r="L1816" s="10"/>
      <c r="M1816" s="10"/>
      <c r="N1816" s="10"/>
      <c r="O1816" s="10"/>
      <c r="P1816" s="236"/>
      <c r="Q1816" s="10"/>
      <c r="R1816" s="236"/>
      <c r="S1816" s="10"/>
      <c r="T1816" s="10"/>
      <c r="U1816" s="10"/>
      <c r="V1816" s="236"/>
      <c r="W1816" s="236"/>
      <c r="X1816" s="10"/>
      <c r="Y1816" s="236"/>
      <c r="Z1816" s="10"/>
      <c r="AA1816" s="10"/>
      <c r="AB1816" s="10"/>
      <c r="AC1816" s="236"/>
      <c r="AD1816" s="10"/>
      <c r="AE1816" s="10"/>
      <c r="AF1816" s="10"/>
      <c r="AG1816" s="236"/>
      <c r="AH1816" s="10"/>
      <c r="AI1816" s="10"/>
      <c r="AJ1816" s="10"/>
      <c r="AK1816" s="10"/>
      <c r="AL1816" s="10"/>
      <c r="AM1816" s="236"/>
      <c r="AN1816" s="10"/>
      <c r="AO1816" s="236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236"/>
      <c r="AZ1816" s="10"/>
      <c r="BA1816" s="10"/>
      <c r="BB1816" s="10"/>
      <c r="BC1816" s="10"/>
      <c r="BD1816" s="10"/>
      <c r="BE1816" s="236"/>
      <c r="BF1816" s="10"/>
      <c r="BG1816" s="10"/>
      <c r="BH1816" s="10"/>
      <c r="BI1816" s="236"/>
      <c r="BJ1816" s="10"/>
      <c r="BK1816" s="10"/>
      <c r="BL1816" s="10"/>
      <c r="BM1816" s="10"/>
      <c r="BN1816" s="10"/>
      <c r="BO1816" s="10"/>
      <c r="BP1816" s="8"/>
      <c r="BQ1816" s="10"/>
      <c r="BR1816" s="11"/>
      <c r="BS1816" s="12"/>
      <c r="BT1816" s="13"/>
      <c r="BU1816" s="8"/>
    </row>
    <row r="1817" s="1" customFormat="1" customHeight="1" spans="1:73">
      <c r="A1817" s="5"/>
      <c r="B1817" s="6"/>
      <c r="C1817" s="6"/>
      <c r="D1817" s="5"/>
      <c r="E1817" s="5"/>
      <c r="F1817" s="5"/>
      <c r="G1817" s="228"/>
      <c r="H1817" s="5"/>
      <c r="I1817" s="5"/>
      <c r="J1817" s="10"/>
      <c r="K1817" s="10"/>
      <c r="L1817" s="10"/>
      <c r="M1817" s="10"/>
      <c r="N1817" s="10"/>
      <c r="O1817" s="10"/>
      <c r="P1817" s="236"/>
      <c r="Q1817" s="10"/>
      <c r="R1817" s="236"/>
      <c r="S1817" s="10"/>
      <c r="T1817" s="10"/>
      <c r="U1817" s="10"/>
      <c r="V1817" s="236"/>
      <c r="W1817" s="236"/>
      <c r="X1817" s="10"/>
      <c r="Y1817" s="236"/>
      <c r="Z1817" s="10"/>
      <c r="AA1817" s="10"/>
      <c r="AB1817" s="10"/>
      <c r="AC1817" s="236"/>
      <c r="AD1817" s="10"/>
      <c r="AE1817" s="10"/>
      <c r="AF1817" s="10"/>
      <c r="AG1817" s="236"/>
      <c r="AH1817" s="10"/>
      <c r="AI1817" s="10"/>
      <c r="AJ1817" s="10"/>
      <c r="AK1817" s="10"/>
      <c r="AL1817" s="10"/>
      <c r="AM1817" s="236"/>
      <c r="AN1817" s="10"/>
      <c r="AO1817" s="236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236"/>
      <c r="AZ1817" s="10"/>
      <c r="BA1817" s="10"/>
      <c r="BB1817" s="10"/>
      <c r="BC1817" s="10"/>
      <c r="BD1817" s="10"/>
      <c r="BE1817" s="236"/>
      <c r="BF1817" s="10"/>
      <c r="BG1817" s="10"/>
      <c r="BH1817" s="10"/>
      <c r="BI1817" s="236"/>
      <c r="BJ1817" s="10"/>
      <c r="BK1817" s="10"/>
      <c r="BL1817" s="10"/>
      <c r="BM1817" s="10"/>
      <c r="BN1817" s="10"/>
      <c r="BO1817" s="10"/>
      <c r="BP1817" s="8"/>
      <c r="BQ1817" s="10"/>
      <c r="BR1817" s="11"/>
      <c r="BS1817" s="12"/>
      <c r="BT1817" s="13"/>
      <c r="BU1817" s="8"/>
    </row>
    <row r="1818" s="1" customFormat="1" customHeight="1" spans="1:73">
      <c r="A1818" s="5"/>
      <c r="B1818" s="6"/>
      <c r="C1818" s="6"/>
      <c r="D1818" s="5"/>
      <c r="E1818" s="5"/>
      <c r="F1818" s="5"/>
      <c r="G1818" s="228"/>
      <c r="H1818" s="5"/>
      <c r="I1818" s="5"/>
      <c r="J1818" s="10"/>
      <c r="K1818" s="10"/>
      <c r="L1818" s="10"/>
      <c r="M1818" s="10"/>
      <c r="N1818" s="10"/>
      <c r="O1818" s="10"/>
      <c r="P1818" s="236"/>
      <c r="Q1818" s="10"/>
      <c r="R1818" s="236"/>
      <c r="S1818" s="10"/>
      <c r="T1818" s="10"/>
      <c r="U1818" s="10"/>
      <c r="V1818" s="236"/>
      <c r="W1818" s="236"/>
      <c r="X1818" s="10"/>
      <c r="Y1818" s="236"/>
      <c r="Z1818" s="10"/>
      <c r="AA1818" s="10"/>
      <c r="AB1818" s="10"/>
      <c r="AC1818" s="236"/>
      <c r="AD1818" s="10"/>
      <c r="AE1818" s="10"/>
      <c r="AF1818" s="10"/>
      <c r="AG1818" s="236"/>
      <c r="AH1818" s="10"/>
      <c r="AI1818" s="10"/>
      <c r="AJ1818" s="10"/>
      <c r="AK1818" s="10"/>
      <c r="AL1818" s="10"/>
      <c r="AM1818" s="236"/>
      <c r="AN1818" s="10"/>
      <c r="AO1818" s="236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236"/>
      <c r="AZ1818" s="10"/>
      <c r="BA1818" s="10"/>
      <c r="BB1818" s="10"/>
      <c r="BC1818" s="10"/>
      <c r="BD1818" s="10"/>
      <c r="BE1818" s="236"/>
      <c r="BF1818" s="10"/>
      <c r="BG1818" s="10"/>
      <c r="BH1818" s="10"/>
      <c r="BI1818" s="236"/>
      <c r="BJ1818" s="10"/>
      <c r="BK1818" s="10"/>
      <c r="BL1818" s="10"/>
      <c r="BM1818" s="10"/>
      <c r="BN1818" s="10"/>
      <c r="BO1818" s="10"/>
      <c r="BP1818" s="8"/>
      <c r="BQ1818" s="10"/>
      <c r="BR1818" s="11"/>
      <c r="BS1818" s="12"/>
      <c r="BT1818" s="13"/>
      <c r="BU1818" s="8"/>
    </row>
    <row r="1819" s="1" customFormat="1" customHeight="1" spans="1:73">
      <c r="A1819" s="5"/>
      <c r="B1819" s="6"/>
      <c r="C1819" s="6"/>
      <c r="D1819" s="5"/>
      <c r="E1819" s="5"/>
      <c r="F1819" s="5"/>
      <c r="G1819" s="228"/>
      <c r="H1819" s="5"/>
      <c r="I1819" s="5"/>
      <c r="J1819" s="10"/>
      <c r="K1819" s="10"/>
      <c r="L1819" s="10"/>
      <c r="M1819" s="10"/>
      <c r="N1819" s="10"/>
      <c r="O1819" s="10"/>
      <c r="P1819" s="236"/>
      <c r="Q1819" s="10"/>
      <c r="R1819" s="236"/>
      <c r="S1819" s="10"/>
      <c r="T1819" s="10"/>
      <c r="U1819" s="10"/>
      <c r="V1819" s="236"/>
      <c r="W1819" s="236"/>
      <c r="X1819" s="10"/>
      <c r="Y1819" s="236"/>
      <c r="Z1819" s="10"/>
      <c r="AA1819" s="10"/>
      <c r="AB1819" s="10"/>
      <c r="AC1819" s="236"/>
      <c r="AD1819" s="10"/>
      <c r="AE1819" s="10"/>
      <c r="AF1819" s="10"/>
      <c r="AG1819" s="236"/>
      <c r="AH1819" s="10"/>
      <c r="AI1819" s="10"/>
      <c r="AJ1819" s="10"/>
      <c r="AK1819" s="10"/>
      <c r="AL1819" s="10"/>
      <c r="AM1819" s="236"/>
      <c r="AN1819" s="10"/>
      <c r="AO1819" s="236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236"/>
      <c r="AZ1819" s="10"/>
      <c r="BA1819" s="10"/>
      <c r="BB1819" s="10"/>
      <c r="BC1819" s="10"/>
      <c r="BD1819" s="10"/>
      <c r="BE1819" s="236"/>
      <c r="BF1819" s="10"/>
      <c r="BG1819" s="10"/>
      <c r="BH1819" s="10"/>
      <c r="BI1819" s="236"/>
      <c r="BJ1819" s="10"/>
      <c r="BK1819" s="10"/>
      <c r="BL1819" s="10"/>
      <c r="BM1819" s="10"/>
      <c r="BN1819" s="10"/>
      <c r="BO1819" s="10"/>
      <c r="BP1819" s="8"/>
      <c r="BQ1819" s="10"/>
      <c r="BR1819" s="11"/>
      <c r="BS1819" s="12"/>
      <c r="BT1819" s="13"/>
      <c r="BU1819" s="8"/>
    </row>
    <row r="1820" s="1" customFormat="1" customHeight="1" spans="1:73">
      <c r="A1820" s="5"/>
      <c r="B1820" s="6"/>
      <c r="C1820" s="6"/>
      <c r="D1820" s="5"/>
      <c r="E1820" s="5"/>
      <c r="F1820" s="5"/>
      <c r="G1820" s="228"/>
      <c r="H1820" s="5"/>
      <c r="I1820" s="5"/>
      <c r="J1820" s="10"/>
      <c r="K1820" s="10"/>
      <c r="L1820" s="10"/>
      <c r="M1820" s="10"/>
      <c r="N1820" s="10"/>
      <c r="O1820" s="10"/>
      <c r="P1820" s="236"/>
      <c r="Q1820" s="10"/>
      <c r="R1820" s="236"/>
      <c r="S1820" s="10"/>
      <c r="T1820" s="10"/>
      <c r="U1820" s="10"/>
      <c r="V1820" s="236"/>
      <c r="W1820" s="236"/>
      <c r="X1820" s="10"/>
      <c r="Y1820" s="236"/>
      <c r="Z1820" s="10"/>
      <c r="AA1820" s="10"/>
      <c r="AB1820" s="10"/>
      <c r="AC1820" s="236"/>
      <c r="AD1820" s="10"/>
      <c r="AE1820" s="10"/>
      <c r="AF1820" s="10"/>
      <c r="AG1820" s="236"/>
      <c r="AH1820" s="10"/>
      <c r="AI1820" s="10"/>
      <c r="AJ1820" s="10"/>
      <c r="AK1820" s="10"/>
      <c r="AL1820" s="10"/>
      <c r="AM1820" s="236"/>
      <c r="AN1820" s="10"/>
      <c r="AO1820" s="236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236"/>
      <c r="AZ1820" s="10"/>
      <c r="BA1820" s="10"/>
      <c r="BB1820" s="10"/>
      <c r="BC1820" s="10"/>
      <c r="BD1820" s="10"/>
      <c r="BE1820" s="236"/>
      <c r="BF1820" s="10"/>
      <c r="BG1820" s="10"/>
      <c r="BH1820" s="10"/>
      <c r="BI1820" s="236"/>
      <c r="BJ1820" s="10"/>
      <c r="BK1820" s="10"/>
      <c r="BL1820" s="10"/>
      <c r="BM1820" s="10"/>
      <c r="BN1820" s="10"/>
      <c r="BO1820" s="10"/>
      <c r="BP1820" s="8"/>
      <c r="BQ1820" s="10"/>
      <c r="BR1820" s="11"/>
      <c r="BS1820" s="12"/>
      <c r="BT1820" s="13"/>
      <c r="BU1820" s="8"/>
    </row>
    <row r="1821" s="1" customFormat="1" customHeight="1" spans="1:73">
      <c r="A1821" s="5"/>
      <c r="B1821" s="6"/>
      <c r="C1821" s="6"/>
      <c r="D1821" s="5"/>
      <c r="E1821" s="5"/>
      <c r="F1821" s="5"/>
      <c r="G1821" s="228"/>
      <c r="H1821" s="5"/>
      <c r="I1821" s="5"/>
      <c r="J1821" s="10"/>
      <c r="K1821" s="10"/>
      <c r="L1821" s="10"/>
      <c r="M1821" s="10"/>
      <c r="N1821" s="10"/>
      <c r="O1821" s="10"/>
      <c r="P1821" s="236"/>
      <c r="Q1821" s="10"/>
      <c r="R1821" s="236"/>
      <c r="S1821" s="10"/>
      <c r="T1821" s="10"/>
      <c r="U1821" s="10"/>
      <c r="V1821" s="236"/>
      <c r="W1821" s="236"/>
      <c r="X1821" s="10"/>
      <c r="Y1821" s="236"/>
      <c r="Z1821" s="10"/>
      <c r="AA1821" s="10"/>
      <c r="AB1821" s="10"/>
      <c r="AC1821" s="236"/>
      <c r="AD1821" s="10"/>
      <c r="AE1821" s="10"/>
      <c r="AF1821" s="10"/>
      <c r="AG1821" s="236"/>
      <c r="AH1821" s="10"/>
      <c r="AI1821" s="10"/>
      <c r="AJ1821" s="10"/>
      <c r="AK1821" s="10"/>
      <c r="AL1821" s="10"/>
      <c r="AM1821" s="236"/>
      <c r="AN1821" s="10"/>
      <c r="AO1821" s="236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236"/>
      <c r="AZ1821" s="10"/>
      <c r="BA1821" s="10"/>
      <c r="BB1821" s="10"/>
      <c r="BC1821" s="10"/>
      <c r="BD1821" s="10"/>
      <c r="BE1821" s="236"/>
      <c r="BF1821" s="10"/>
      <c r="BG1821" s="10"/>
      <c r="BH1821" s="10"/>
      <c r="BI1821" s="236"/>
      <c r="BJ1821" s="10"/>
      <c r="BK1821" s="10"/>
      <c r="BL1821" s="10"/>
      <c r="BM1821" s="10"/>
      <c r="BN1821" s="10"/>
      <c r="BO1821" s="10"/>
      <c r="BP1821" s="8"/>
      <c r="BQ1821" s="10"/>
      <c r="BR1821" s="11"/>
      <c r="BS1821" s="12"/>
      <c r="BT1821" s="13"/>
      <c r="BU1821" s="8"/>
    </row>
    <row r="1822" s="1" customFormat="1" customHeight="1" spans="1:73">
      <c r="A1822" s="5"/>
      <c r="B1822" s="6"/>
      <c r="C1822" s="6"/>
      <c r="D1822" s="5"/>
      <c r="E1822" s="5"/>
      <c r="F1822" s="5"/>
      <c r="G1822" s="228"/>
      <c r="H1822" s="5"/>
      <c r="I1822" s="5"/>
      <c r="J1822" s="10"/>
      <c r="K1822" s="10"/>
      <c r="L1822" s="10"/>
      <c r="M1822" s="10"/>
      <c r="N1822" s="10"/>
      <c r="O1822" s="10"/>
      <c r="P1822" s="236"/>
      <c r="Q1822" s="10"/>
      <c r="R1822" s="236"/>
      <c r="S1822" s="10"/>
      <c r="T1822" s="10"/>
      <c r="U1822" s="10"/>
      <c r="V1822" s="236"/>
      <c r="W1822" s="236"/>
      <c r="X1822" s="10"/>
      <c r="Y1822" s="236"/>
      <c r="Z1822" s="10"/>
      <c r="AA1822" s="10"/>
      <c r="AB1822" s="10"/>
      <c r="AC1822" s="236"/>
      <c r="AD1822" s="10"/>
      <c r="AE1822" s="10"/>
      <c r="AF1822" s="10"/>
      <c r="AG1822" s="236"/>
      <c r="AH1822" s="10"/>
      <c r="AI1822" s="10"/>
      <c r="AJ1822" s="10"/>
      <c r="AK1822" s="10"/>
      <c r="AL1822" s="10"/>
      <c r="AM1822" s="236"/>
      <c r="AN1822" s="10"/>
      <c r="AO1822" s="236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236"/>
      <c r="AZ1822" s="10"/>
      <c r="BA1822" s="10"/>
      <c r="BB1822" s="10"/>
      <c r="BC1822" s="10"/>
      <c r="BD1822" s="10"/>
      <c r="BE1822" s="236"/>
      <c r="BF1822" s="10"/>
      <c r="BG1822" s="10"/>
      <c r="BH1822" s="10"/>
      <c r="BI1822" s="236"/>
      <c r="BJ1822" s="10"/>
      <c r="BK1822" s="10"/>
      <c r="BL1822" s="10"/>
      <c r="BM1822" s="10"/>
      <c r="BN1822" s="10"/>
      <c r="BO1822" s="10"/>
      <c r="BP1822" s="8"/>
      <c r="BQ1822" s="10"/>
      <c r="BR1822" s="11"/>
      <c r="BS1822" s="12"/>
      <c r="BT1822" s="13"/>
      <c r="BU1822" s="8"/>
    </row>
    <row r="1823" s="1" customFormat="1" customHeight="1" spans="1:73">
      <c r="A1823" s="5"/>
      <c r="B1823" s="6"/>
      <c r="C1823" s="6"/>
      <c r="D1823" s="5"/>
      <c r="E1823" s="5"/>
      <c r="F1823" s="5"/>
      <c r="G1823" s="228"/>
      <c r="H1823" s="5"/>
      <c r="I1823" s="5"/>
      <c r="J1823" s="10"/>
      <c r="K1823" s="10"/>
      <c r="L1823" s="10"/>
      <c r="M1823" s="10"/>
      <c r="N1823" s="10"/>
      <c r="O1823" s="10"/>
      <c r="P1823" s="236"/>
      <c r="Q1823" s="10"/>
      <c r="R1823" s="236"/>
      <c r="S1823" s="10"/>
      <c r="T1823" s="10"/>
      <c r="U1823" s="10"/>
      <c r="V1823" s="236"/>
      <c r="W1823" s="236"/>
      <c r="X1823" s="10"/>
      <c r="Y1823" s="236"/>
      <c r="Z1823" s="10"/>
      <c r="AA1823" s="10"/>
      <c r="AB1823" s="10"/>
      <c r="AC1823" s="236"/>
      <c r="AD1823" s="10"/>
      <c r="AE1823" s="10"/>
      <c r="AF1823" s="10"/>
      <c r="AG1823" s="236"/>
      <c r="AH1823" s="10"/>
      <c r="AI1823" s="10"/>
      <c r="AJ1823" s="10"/>
      <c r="AK1823" s="10"/>
      <c r="AL1823" s="10"/>
      <c r="AM1823" s="236"/>
      <c r="AN1823" s="10"/>
      <c r="AO1823" s="236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236"/>
      <c r="AZ1823" s="10"/>
      <c r="BA1823" s="10"/>
      <c r="BB1823" s="10"/>
      <c r="BC1823" s="10"/>
      <c r="BD1823" s="10"/>
      <c r="BE1823" s="236"/>
      <c r="BF1823" s="10"/>
      <c r="BG1823" s="10"/>
      <c r="BH1823" s="10"/>
      <c r="BI1823" s="236"/>
      <c r="BJ1823" s="10"/>
      <c r="BK1823" s="10"/>
      <c r="BL1823" s="10"/>
      <c r="BM1823" s="10"/>
      <c r="BN1823" s="10"/>
      <c r="BO1823" s="10"/>
      <c r="BP1823" s="8"/>
      <c r="BQ1823" s="10"/>
      <c r="BR1823" s="11"/>
      <c r="BS1823" s="12"/>
      <c r="BT1823" s="13"/>
      <c r="BU1823" s="8"/>
    </row>
    <row r="1824" s="1" customFormat="1" customHeight="1" spans="1:73">
      <c r="A1824" s="5"/>
      <c r="B1824" s="6"/>
      <c r="C1824" s="6"/>
      <c r="D1824" s="5"/>
      <c r="E1824" s="5"/>
      <c r="F1824" s="5"/>
      <c r="G1824" s="228"/>
      <c r="H1824" s="5"/>
      <c r="I1824" s="5"/>
      <c r="J1824" s="10"/>
      <c r="K1824" s="10"/>
      <c r="L1824" s="10"/>
      <c r="M1824" s="10"/>
      <c r="N1824" s="10"/>
      <c r="O1824" s="10"/>
      <c r="P1824" s="236"/>
      <c r="Q1824" s="10"/>
      <c r="R1824" s="236"/>
      <c r="S1824" s="10"/>
      <c r="T1824" s="10"/>
      <c r="U1824" s="10"/>
      <c r="V1824" s="236"/>
      <c r="W1824" s="236"/>
      <c r="X1824" s="10"/>
      <c r="Y1824" s="236"/>
      <c r="Z1824" s="10"/>
      <c r="AA1824" s="10"/>
      <c r="AB1824" s="10"/>
      <c r="AC1824" s="236"/>
      <c r="AD1824" s="10"/>
      <c r="AE1824" s="10"/>
      <c r="AF1824" s="10"/>
      <c r="AG1824" s="236"/>
      <c r="AH1824" s="10"/>
      <c r="AI1824" s="10"/>
      <c r="AJ1824" s="10"/>
      <c r="AK1824" s="10"/>
      <c r="AL1824" s="10"/>
      <c r="AM1824" s="236"/>
      <c r="AN1824" s="10"/>
      <c r="AO1824" s="236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236"/>
      <c r="AZ1824" s="10"/>
      <c r="BA1824" s="10"/>
      <c r="BB1824" s="10"/>
      <c r="BC1824" s="10"/>
      <c r="BD1824" s="10"/>
      <c r="BE1824" s="236"/>
      <c r="BF1824" s="10"/>
      <c r="BG1824" s="10"/>
      <c r="BH1824" s="10"/>
      <c r="BI1824" s="236"/>
      <c r="BJ1824" s="10"/>
      <c r="BK1824" s="10"/>
      <c r="BL1824" s="10"/>
      <c r="BM1824" s="10"/>
      <c r="BN1824" s="10"/>
      <c r="BO1824" s="10"/>
      <c r="BP1824" s="8"/>
      <c r="BQ1824" s="10"/>
      <c r="BR1824" s="11"/>
      <c r="BS1824" s="12"/>
      <c r="BT1824" s="13"/>
      <c r="BU1824" s="8"/>
    </row>
    <row r="1825" s="1" customFormat="1" customHeight="1" spans="1:73">
      <c r="A1825" s="5"/>
      <c r="B1825" s="6"/>
      <c r="C1825" s="6"/>
      <c r="D1825" s="5"/>
      <c r="E1825" s="5"/>
      <c r="F1825" s="5"/>
      <c r="G1825" s="228"/>
      <c r="H1825" s="5"/>
      <c r="I1825" s="5"/>
      <c r="J1825" s="10"/>
      <c r="K1825" s="10"/>
      <c r="L1825" s="10"/>
      <c r="M1825" s="10"/>
      <c r="N1825" s="10"/>
      <c r="O1825" s="10"/>
      <c r="P1825" s="236"/>
      <c r="Q1825" s="10"/>
      <c r="R1825" s="236"/>
      <c r="S1825" s="10"/>
      <c r="T1825" s="10"/>
      <c r="U1825" s="10"/>
      <c r="V1825" s="236"/>
      <c r="W1825" s="236"/>
      <c r="X1825" s="10"/>
      <c r="Y1825" s="236"/>
      <c r="Z1825" s="10"/>
      <c r="AA1825" s="10"/>
      <c r="AB1825" s="10"/>
      <c r="AC1825" s="236"/>
      <c r="AD1825" s="10"/>
      <c r="AE1825" s="10"/>
      <c r="AF1825" s="10"/>
      <c r="AG1825" s="236"/>
      <c r="AH1825" s="10"/>
      <c r="AI1825" s="10"/>
      <c r="AJ1825" s="10"/>
      <c r="AK1825" s="10"/>
      <c r="AL1825" s="10"/>
      <c r="AM1825" s="236"/>
      <c r="AN1825" s="10"/>
      <c r="AO1825" s="236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236"/>
      <c r="AZ1825" s="10"/>
      <c r="BA1825" s="10"/>
      <c r="BB1825" s="10"/>
      <c r="BC1825" s="10"/>
      <c r="BD1825" s="10"/>
      <c r="BE1825" s="236"/>
      <c r="BF1825" s="10"/>
      <c r="BG1825" s="10"/>
      <c r="BH1825" s="10"/>
      <c r="BI1825" s="236"/>
      <c r="BJ1825" s="10"/>
      <c r="BK1825" s="10"/>
      <c r="BL1825" s="10"/>
      <c r="BM1825" s="10"/>
      <c r="BN1825" s="10"/>
      <c r="BO1825" s="10"/>
      <c r="BP1825" s="8"/>
      <c r="BQ1825" s="10"/>
      <c r="BR1825" s="11"/>
      <c r="BS1825" s="12"/>
      <c r="BT1825" s="13"/>
      <c r="BU1825" s="8"/>
    </row>
    <row r="1826" s="1" customFormat="1" customHeight="1" spans="1:73">
      <c r="A1826" s="5"/>
      <c r="B1826" s="6"/>
      <c r="C1826" s="6"/>
      <c r="D1826" s="5"/>
      <c r="E1826" s="5"/>
      <c r="F1826" s="5"/>
      <c r="G1826" s="228"/>
      <c r="H1826" s="5"/>
      <c r="I1826" s="5"/>
      <c r="J1826" s="10"/>
      <c r="K1826" s="10"/>
      <c r="L1826" s="10"/>
      <c r="M1826" s="10"/>
      <c r="N1826" s="10"/>
      <c r="O1826" s="10"/>
      <c r="P1826" s="236"/>
      <c r="Q1826" s="10"/>
      <c r="R1826" s="236"/>
      <c r="S1826" s="10"/>
      <c r="T1826" s="10"/>
      <c r="U1826" s="10"/>
      <c r="V1826" s="236"/>
      <c r="W1826" s="236"/>
      <c r="X1826" s="10"/>
      <c r="Y1826" s="236"/>
      <c r="Z1826" s="10"/>
      <c r="AA1826" s="10"/>
      <c r="AB1826" s="10"/>
      <c r="AC1826" s="236"/>
      <c r="AD1826" s="10"/>
      <c r="AE1826" s="10"/>
      <c r="AF1826" s="10"/>
      <c r="AG1826" s="236"/>
      <c r="AH1826" s="10"/>
      <c r="AI1826" s="10"/>
      <c r="AJ1826" s="10"/>
      <c r="AK1826" s="10"/>
      <c r="AL1826" s="10"/>
      <c r="AM1826" s="236"/>
      <c r="AN1826" s="10"/>
      <c r="AO1826" s="236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236"/>
      <c r="AZ1826" s="10"/>
      <c r="BA1826" s="10"/>
      <c r="BB1826" s="10"/>
      <c r="BC1826" s="10"/>
      <c r="BD1826" s="10"/>
      <c r="BE1826" s="236"/>
      <c r="BF1826" s="10"/>
      <c r="BG1826" s="10"/>
      <c r="BH1826" s="10"/>
      <c r="BI1826" s="236"/>
      <c r="BJ1826" s="10"/>
      <c r="BK1826" s="10"/>
      <c r="BL1826" s="10"/>
      <c r="BM1826" s="10"/>
      <c r="BN1826" s="10"/>
      <c r="BO1826" s="10"/>
      <c r="BP1826" s="8"/>
      <c r="BQ1826" s="10"/>
      <c r="BR1826" s="11"/>
      <c r="BS1826" s="12"/>
      <c r="BT1826" s="13"/>
      <c r="BU1826" s="8"/>
    </row>
    <row r="1827" s="1" customFormat="1" customHeight="1" spans="1:73">
      <c r="A1827" s="5"/>
      <c r="B1827" s="6"/>
      <c r="C1827" s="6"/>
      <c r="D1827" s="5"/>
      <c r="E1827" s="5"/>
      <c r="F1827" s="5"/>
      <c r="G1827" s="228"/>
      <c r="H1827" s="5"/>
      <c r="I1827" s="5"/>
      <c r="J1827" s="10"/>
      <c r="K1827" s="10"/>
      <c r="L1827" s="10"/>
      <c r="M1827" s="10"/>
      <c r="N1827" s="10"/>
      <c r="O1827" s="10"/>
      <c r="P1827" s="236"/>
      <c r="Q1827" s="10"/>
      <c r="R1827" s="236"/>
      <c r="S1827" s="10"/>
      <c r="T1827" s="10"/>
      <c r="U1827" s="10"/>
      <c r="V1827" s="236"/>
      <c r="W1827" s="236"/>
      <c r="X1827" s="10"/>
      <c r="Y1827" s="236"/>
      <c r="Z1827" s="10"/>
      <c r="AA1827" s="10"/>
      <c r="AB1827" s="10"/>
      <c r="AC1827" s="236"/>
      <c r="AD1827" s="10"/>
      <c r="AE1827" s="10"/>
      <c r="AF1827" s="10"/>
      <c r="AG1827" s="236"/>
      <c r="AH1827" s="10"/>
      <c r="AI1827" s="10"/>
      <c r="AJ1827" s="10"/>
      <c r="AK1827" s="10"/>
      <c r="AL1827" s="10"/>
      <c r="AM1827" s="236"/>
      <c r="AN1827" s="10"/>
      <c r="AO1827" s="236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236"/>
      <c r="AZ1827" s="10"/>
      <c r="BA1827" s="10"/>
      <c r="BB1827" s="10"/>
      <c r="BC1827" s="10"/>
      <c r="BD1827" s="10"/>
      <c r="BE1827" s="236"/>
      <c r="BF1827" s="10"/>
      <c r="BG1827" s="10"/>
      <c r="BH1827" s="10"/>
      <c r="BI1827" s="236"/>
      <c r="BJ1827" s="10"/>
      <c r="BK1827" s="10"/>
      <c r="BL1827" s="10"/>
      <c r="BM1827" s="10"/>
      <c r="BN1827" s="10"/>
      <c r="BO1827" s="10"/>
      <c r="BP1827" s="8"/>
      <c r="BQ1827" s="10"/>
      <c r="BR1827" s="11"/>
      <c r="BS1827" s="12"/>
      <c r="BT1827" s="13"/>
      <c r="BU1827" s="8"/>
    </row>
    <row r="1828" s="1" customFormat="1" customHeight="1" spans="1:73">
      <c r="A1828" s="5"/>
      <c r="B1828" s="6"/>
      <c r="C1828" s="6"/>
      <c r="D1828" s="5"/>
      <c r="E1828" s="5"/>
      <c r="F1828" s="5"/>
      <c r="G1828" s="228"/>
      <c r="H1828" s="5"/>
      <c r="I1828" s="5"/>
      <c r="J1828" s="10"/>
      <c r="K1828" s="10"/>
      <c r="L1828" s="10"/>
      <c r="M1828" s="10"/>
      <c r="N1828" s="10"/>
      <c r="O1828" s="10"/>
      <c r="P1828" s="236"/>
      <c r="Q1828" s="10"/>
      <c r="R1828" s="236"/>
      <c r="S1828" s="10"/>
      <c r="T1828" s="10"/>
      <c r="U1828" s="10"/>
      <c r="V1828" s="236"/>
      <c r="W1828" s="236"/>
      <c r="X1828" s="10"/>
      <c r="Y1828" s="236"/>
      <c r="Z1828" s="10"/>
      <c r="AA1828" s="10"/>
      <c r="AB1828" s="10"/>
      <c r="AC1828" s="236"/>
      <c r="AD1828" s="10"/>
      <c r="AE1828" s="10"/>
      <c r="AF1828" s="10"/>
      <c r="AG1828" s="236"/>
      <c r="AH1828" s="10"/>
      <c r="AI1828" s="10"/>
      <c r="AJ1828" s="10"/>
      <c r="AK1828" s="10"/>
      <c r="AL1828" s="10"/>
      <c r="AM1828" s="236"/>
      <c r="AN1828" s="10"/>
      <c r="AO1828" s="236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236"/>
      <c r="AZ1828" s="10"/>
      <c r="BA1828" s="10"/>
      <c r="BB1828" s="10"/>
      <c r="BC1828" s="10"/>
      <c r="BD1828" s="10"/>
      <c r="BE1828" s="236"/>
      <c r="BF1828" s="10"/>
      <c r="BG1828" s="10"/>
      <c r="BH1828" s="10"/>
      <c r="BI1828" s="236"/>
      <c r="BJ1828" s="10"/>
      <c r="BK1828" s="10"/>
      <c r="BL1828" s="10"/>
      <c r="BM1828" s="10"/>
      <c r="BN1828" s="10"/>
      <c r="BO1828" s="10"/>
      <c r="BP1828" s="8"/>
      <c r="BQ1828" s="10"/>
      <c r="BR1828" s="11"/>
      <c r="BS1828" s="12"/>
      <c r="BT1828" s="13"/>
      <c r="BU1828" s="8"/>
    </row>
    <row r="1829" s="1" customFormat="1" customHeight="1" spans="1:73">
      <c r="A1829" s="5"/>
      <c r="B1829" s="6"/>
      <c r="C1829" s="6"/>
      <c r="D1829" s="5"/>
      <c r="E1829" s="5"/>
      <c r="F1829" s="5"/>
      <c r="G1829" s="228"/>
      <c r="H1829" s="5"/>
      <c r="I1829" s="5"/>
      <c r="J1829" s="10"/>
      <c r="K1829" s="10"/>
      <c r="L1829" s="10"/>
      <c r="M1829" s="10"/>
      <c r="N1829" s="10"/>
      <c r="O1829" s="10"/>
      <c r="P1829" s="236"/>
      <c r="Q1829" s="10"/>
      <c r="R1829" s="236"/>
      <c r="S1829" s="10"/>
      <c r="T1829" s="10"/>
      <c r="U1829" s="10"/>
      <c r="V1829" s="236"/>
      <c r="W1829" s="236"/>
      <c r="X1829" s="10"/>
      <c r="Y1829" s="236"/>
      <c r="Z1829" s="10"/>
      <c r="AA1829" s="10"/>
      <c r="AB1829" s="10"/>
      <c r="AC1829" s="236"/>
      <c r="AD1829" s="10"/>
      <c r="AE1829" s="10"/>
      <c r="AF1829" s="10"/>
      <c r="AG1829" s="236"/>
      <c r="AH1829" s="10"/>
      <c r="AI1829" s="10"/>
      <c r="AJ1829" s="10"/>
      <c r="AK1829" s="10"/>
      <c r="AL1829" s="10"/>
      <c r="AM1829" s="236"/>
      <c r="AN1829" s="10"/>
      <c r="AO1829" s="236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236"/>
      <c r="AZ1829" s="10"/>
      <c r="BA1829" s="10"/>
      <c r="BB1829" s="10"/>
      <c r="BC1829" s="10"/>
      <c r="BD1829" s="10"/>
      <c r="BE1829" s="236"/>
      <c r="BF1829" s="10"/>
      <c r="BG1829" s="10"/>
      <c r="BH1829" s="10"/>
      <c r="BI1829" s="236"/>
      <c r="BJ1829" s="10"/>
      <c r="BK1829" s="10"/>
      <c r="BL1829" s="10"/>
      <c r="BM1829" s="10"/>
      <c r="BN1829" s="10"/>
      <c r="BO1829" s="10"/>
      <c r="BP1829" s="8"/>
      <c r="BQ1829" s="10"/>
      <c r="BR1829" s="11"/>
      <c r="BS1829" s="12"/>
      <c r="BT1829" s="13"/>
      <c r="BU1829" s="8"/>
    </row>
    <row r="1830" s="1" customFormat="1" customHeight="1" spans="1:73">
      <c r="A1830" s="5"/>
      <c r="B1830" s="6"/>
      <c r="C1830" s="6"/>
      <c r="D1830" s="5"/>
      <c r="E1830" s="5"/>
      <c r="F1830" s="5"/>
      <c r="G1830" s="228"/>
      <c r="H1830" s="5"/>
      <c r="I1830" s="5"/>
      <c r="J1830" s="10"/>
      <c r="K1830" s="10"/>
      <c r="L1830" s="10"/>
      <c r="M1830" s="10"/>
      <c r="N1830" s="10"/>
      <c r="O1830" s="10"/>
      <c r="P1830" s="236"/>
      <c r="Q1830" s="10"/>
      <c r="R1830" s="236"/>
      <c r="S1830" s="10"/>
      <c r="T1830" s="10"/>
      <c r="U1830" s="10"/>
      <c r="V1830" s="236"/>
      <c r="W1830" s="236"/>
      <c r="X1830" s="10"/>
      <c r="Y1830" s="236"/>
      <c r="Z1830" s="10"/>
      <c r="AA1830" s="10"/>
      <c r="AB1830" s="10"/>
      <c r="AC1830" s="236"/>
      <c r="AD1830" s="10"/>
      <c r="AE1830" s="10"/>
      <c r="AF1830" s="10"/>
      <c r="AG1830" s="236"/>
      <c r="AH1830" s="10"/>
      <c r="AI1830" s="10"/>
      <c r="AJ1830" s="10"/>
      <c r="AK1830" s="10"/>
      <c r="AL1830" s="10"/>
      <c r="AM1830" s="236"/>
      <c r="AN1830" s="10"/>
      <c r="AO1830" s="236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236"/>
      <c r="AZ1830" s="10"/>
      <c r="BA1830" s="10"/>
      <c r="BB1830" s="10"/>
      <c r="BC1830" s="10"/>
      <c r="BD1830" s="10"/>
      <c r="BE1830" s="236"/>
      <c r="BF1830" s="10"/>
      <c r="BG1830" s="10"/>
      <c r="BH1830" s="10"/>
      <c r="BI1830" s="236"/>
      <c r="BJ1830" s="10"/>
      <c r="BK1830" s="10"/>
      <c r="BL1830" s="10"/>
      <c r="BM1830" s="10"/>
      <c r="BN1830" s="10"/>
      <c r="BO1830" s="10"/>
      <c r="BP1830" s="8"/>
      <c r="BQ1830" s="10"/>
      <c r="BR1830" s="11"/>
      <c r="BS1830" s="12"/>
      <c r="BT1830" s="13"/>
      <c r="BU1830" s="8"/>
    </row>
    <row r="1831" s="1" customFormat="1" customHeight="1" spans="1:73">
      <c r="A1831" s="5"/>
      <c r="B1831" s="6"/>
      <c r="C1831" s="6"/>
      <c r="D1831" s="5"/>
      <c r="E1831" s="5"/>
      <c r="F1831" s="5"/>
      <c r="G1831" s="228"/>
      <c r="H1831" s="5"/>
      <c r="I1831" s="5"/>
      <c r="J1831" s="10"/>
      <c r="K1831" s="10"/>
      <c r="L1831" s="10"/>
      <c r="M1831" s="10"/>
      <c r="N1831" s="10"/>
      <c r="O1831" s="10"/>
      <c r="P1831" s="236"/>
      <c r="Q1831" s="10"/>
      <c r="R1831" s="236"/>
      <c r="S1831" s="10"/>
      <c r="T1831" s="10"/>
      <c r="U1831" s="10"/>
      <c r="V1831" s="236"/>
      <c r="W1831" s="236"/>
      <c r="X1831" s="10"/>
      <c r="Y1831" s="236"/>
      <c r="Z1831" s="10"/>
      <c r="AA1831" s="10"/>
      <c r="AB1831" s="10"/>
      <c r="AC1831" s="236"/>
      <c r="AD1831" s="10"/>
      <c r="AE1831" s="10"/>
      <c r="AF1831" s="10"/>
      <c r="AG1831" s="236"/>
      <c r="AH1831" s="10"/>
      <c r="AI1831" s="10"/>
      <c r="AJ1831" s="10"/>
      <c r="AK1831" s="10"/>
      <c r="AL1831" s="10"/>
      <c r="AM1831" s="236"/>
      <c r="AN1831" s="10"/>
      <c r="AO1831" s="236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236"/>
      <c r="AZ1831" s="10"/>
      <c r="BA1831" s="10"/>
      <c r="BB1831" s="10"/>
      <c r="BC1831" s="10"/>
      <c r="BD1831" s="10"/>
      <c r="BE1831" s="236"/>
      <c r="BF1831" s="10"/>
      <c r="BG1831" s="10"/>
      <c r="BH1831" s="10"/>
      <c r="BI1831" s="236"/>
      <c r="BJ1831" s="10"/>
      <c r="BK1831" s="10"/>
      <c r="BL1831" s="10"/>
      <c r="BM1831" s="10"/>
      <c r="BN1831" s="10"/>
      <c r="BO1831" s="10"/>
      <c r="BP1831" s="8"/>
      <c r="BQ1831" s="10"/>
      <c r="BR1831" s="11"/>
      <c r="BS1831" s="12"/>
      <c r="BT1831" s="13"/>
      <c r="BU1831" s="8"/>
    </row>
    <row r="1832" s="1" customFormat="1" customHeight="1" spans="1:73">
      <c r="A1832" s="5"/>
      <c r="B1832" s="6"/>
      <c r="C1832" s="6"/>
      <c r="D1832" s="5"/>
      <c r="E1832" s="5"/>
      <c r="F1832" s="5"/>
      <c r="G1832" s="228"/>
      <c r="H1832" s="5"/>
      <c r="I1832" s="5"/>
      <c r="J1832" s="10"/>
      <c r="K1832" s="10"/>
      <c r="L1832" s="10"/>
      <c r="M1832" s="10"/>
      <c r="N1832" s="10"/>
      <c r="O1832" s="10"/>
      <c r="P1832" s="236"/>
      <c r="Q1832" s="10"/>
      <c r="R1832" s="236"/>
      <c r="S1832" s="10"/>
      <c r="T1832" s="10"/>
      <c r="U1832" s="10"/>
      <c r="V1832" s="236"/>
      <c r="W1832" s="236"/>
      <c r="X1832" s="10"/>
      <c r="Y1832" s="236"/>
      <c r="Z1832" s="10"/>
      <c r="AA1832" s="10"/>
      <c r="AB1832" s="10"/>
      <c r="AC1832" s="236"/>
      <c r="AD1832" s="10"/>
      <c r="AE1832" s="10"/>
      <c r="AF1832" s="10"/>
      <c r="AG1832" s="236"/>
      <c r="AH1832" s="10"/>
      <c r="AI1832" s="10"/>
      <c r="AJ1832" s="10"/>
      <c r="AK1832" s="10"/>
      <c r="AL1832" s="10"/>
      <c r="AM1832" s="236"/>
      <c r="AN1832" s="10"/>
      <c r="AO1832" s="236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236"/>
      <c r="AZ1832" s="10"/>
      <c r="BA1832" s="10"/>
      <c r="BB1832" s="10"/>
      <c r="BC1832" s="10"/>
      <c r="BD1832" s="10"/>
      <c r="BE1832" s="236"/>
      <c r="BF1832" s="10"/>
      <c r="BG1832" s="10"/>
      <c r="BH1832" s="10"/>
      <c r="BI1832" s="236"/>
      <c r="BJ1832" s="10"/>
      <c r="BK1832" s="10"/>
      <c r="BL1832" s="10"/>
      <c r="BM1832" s="10"/>
      <c r="BN1832" s="10"/>
      <c r="BO1832" s="10"/>
      <c r="BP1832" s="8"/>
      <c r="BQ1832" s="10"/>
      <c r="BR1832" s="11"/>
      <c r="BS1832" s="12"/>
      <c r="BT1832" s="13"/>
      <c r="BU1832" s="8"/>
    </row>
    <row r="1833" s="1" customFormat="1" customHeight="1" spans="1:73">
      <c r="A1833" s="5"/>
      <c r="B1833" s="6"/>
      <c r="C1833" s="6"/>
      <c r="D1833" s="5"/>
      <c r="E1833" s="5"/>
      <c r="F1833" s="5"/>
      <c r="G1833" s="228"/>
      <c r="H1833" s="5"/>
      <c r="I1833" s="5"/>
      <c r="J1833" s="10"/>
      <c r="K1833" s="10"/>
      <c r="L1833" s="10"/>
      <c r="M1833" s="10"/>
      <c r="N1833" s="10"/>
      <c r="O1833" s="10"/>
      <c r="P1833" s="236"/>
      <c r="Q1833" s="10"/>
      <c r="R1833" s="236"/>
      <c r="S1833" s="10"/>
      <c r="T1833" s="10"/>
      <c r="U1833" s="10"/>
      <c r="V1833" s="236"/>
      <c r="W1833" s="236"/>
      <c r="X1833" s="10"/>
      <c r="Y1833" s="236"/>
      <c r="Z1833" s="10"/>
      <c r="AA1833" s="10"/>
      <c r="AB1833" s="10"/>
      <c r="AC1833" s="236"/>
      <c r="AD1833" s="10"/>
      <c r="AE1833" s="10"/>
      <c r="AF1833" s="10"/>
      <c r="AG1833" s="236"/>
      <c r="AH1833" s="10"/>
      <c r="AI1833" s="10"/>
      <c r="AJ1833" s="10"/>
      <c r="AK1833" s="10"/>
      <c r="AL1833" s="10"/>
      <c r="AM1833" s="236"/>
      <c r="AN1833" s="10"/>
      <c r="AO1833" s="236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236"/>
      <c r="AZ1833" s="10"/>
      <c r="BA1833" s="10"/>
      <c r="BB1833" s="10"/>
      <c r="BC1833" s="10"/>
      <c r="BD1833" s="10"/>
      <c r="BE1833" s="236"/>
      <c r="BF1833" s="10"/>
      <c r="BG1833" s="10"/>
      <c r="BH1833" s="10"/>
      <c r="BI1833" s="236"/>
      <c r="BJ1833" s="10"/>
      <c r="BK1833" s="10"/>
      <c r="BL1833" s="10"/>
      <c r="BM1833" s="10"/>
      <c r="BN1833" s="10"/>
      <c r="BO1833" s="10"/>
      <c r="BP1833" s="8"/>
      <c r="BQ1833" s="10"/>
      <c r="BR1833" s="11"/>
      <c r="BS1833" s="12"/>
      <c r="BT1833" s="13"/>
      <c r="BU1833" s="8"/>
    </row>
    <row r="1834" s="1" customFormat="1" customHeight="1" spans="1:73">
      <c r="A1834" s="5"/>
      <c r="B1834" s="6"/>
      <c r="C1834" s="6"/>
      <c r="D1834" s="5"/>
      <c r="E1834" s="5"/>
      <c r="F1834" s="5"/>
      <c r="G1834" s="228"/>
      <c r="H1834" s="5"/>
      <c r="I1834" s="5"/>
      <c r="J1834" s="10"/>
      <c r="K1834" s="10"/>
      <c r="L1834" s="10"/>
      <c r="M1834" s="10"/>
      <c r="N1834" s="10"/>
      <c r="O1834" s="10"/>
      <c r="P1834" s="236"/>
      <c r="Q1834" s="10"/>
      <c r="R1834" s="236"/>
      <c r="S1834" s="10"/>
      <c r="T1834" s="10"/>
      <c r="U1834" s="10"/>
      <c r="V1834" s="236"/>
      <c r="W1834" s="236"/>
      <c r="X1834" s="10"/>
      <c r="Y1834" s="236"/>
      <c r="Z1834" s="10"/>
      <c r="AA1834" s="10"/>
      <c r="AB1834" s="10"/>
      <c r="AC1834" s="236"/>
      <c r="AD1834" s="10"/>
      <c r="AE1834" s="10"/>
      <c r="AF1834" s="10"/>
      <c r="AG1834" s="236"/>
      <c r="AH1834" s="10"/>
      <c r="AI1834" s="10"/>
      <c r="AJ1834" s="10"/>
      <c r="AK1834" s="10"/>
      <c r="AL1834" s="10"/>
      <c r="AM1834" s="236"/>
      <c r="AN1834" s="10"/>
      <c r="AO1834" s="236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236"/>
      <c r="AZ1834" s="10"/>
      <c r="BA1834" s="10"/>
      <c r="BB1834" s="10"/>
      <c r="BC1834" s="10"/>
      <c r="BD1834" s="10"/>
      <c r="BE1834" s="236"/>
      <c r="BF1834" s="10"/>
      <c r="BG1834" s="10"/>
      <c r="BH1834" s="10"/>
      <c r="BI1834" s="236"/>
      <c r="BJ1834" s="10"/>
      <c r="BK1834" s="10"/>
      <c r="BL1834" s="10"/>
      <c r="BM1834" s="10"/>
      <c r="BN1834" s="10"/>
      <c r="BO1834" s="10"/>
      <c r="BP1834" s="8"/>
      <c r="BQ1834" s="10"/>
      <c r="BR1834" s="11"/>
      <c r="BS1834" s="12"/>
      <c r="BT1834" s="13"/>
      <c r="BU1834" s="8"/>
    </row>
    <row r="1835" s="1" customFormat="1" customHeight="1" spans="1:73">
      <c r="A1835" s="5"/>
      <c r="B1835" s="6"/>
      <c r="C1835" s="6"/>
      <c r="D1835" s="5"/>
      <c r="E1835" s="5"/>
      <c r="F1835" s="5"/>
      <c r="G1835" s="228"/>
      <c r="H1835" s="5"/>
      <c r="I1835" s="5"/>
      <c r="J1835" s="10"/>
      <c r="K1835" s="10"/>
      <c r="L1835" s="10"/>
      <c r="M1835" s="10"/>
      <c r="N1835" s="10"/>
      <c r="O1835" s="10"/>
      <c r="P1835" s="236"/>
      <c r="Q1835" s="10"/>
      <c r="R1835" s="236"/>
      <c r="S1835" s="10"/>
      <c r="T1835" s="10"/>
      <c r="U1835" s="10"/>
      <c r="V1835" s="236"/>
      <c r="W1835" s="236"/>
      <c r="X1835" s="10"/>
      <c r="Y1835" s="236"/>
      <c r="Z1835" s="10"/>
      <c r="AA1835" s="10"/>
      <c r="AB1835" s="10"/>
      <c r="AC1835" s="236"/>
      <c r="AD1835" s="10"/>
      <c r="AE1835" s="10"/>
      <c r="AF1835" s="10"/>
      <c r="AG1835" s="236"/>
      <c r="AH1835" s="10"/>
      <c r="AI1835" s="10"/>
      <c r="AJ1835" s="10"/>
      <c r="AK1835" s="10"/>
      <c r="AL1835" s="10"/>
      <c r="AM1835" s="236"/>
      <c r="AN1835" s="10"/>
      <c r="AO1835" s="236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236"/>
      <c r="AZ1835" s="10"/>
      <c r="BA1835" s="10"/>
      <c r="BB1835" s="10"/>
      <c r="BC1835" s="10"/>
      <c r="BD1835" s="10"/>
      <c r="BE1835" s="236"/>
      <c r="BF1835" s="10"/>
      <c r="BG1835" s="10"/>
      <c r="BH1835" s="10"/>
      <c r="BI1835" s="236"/>
      <c r="BJ1835" s="10"/>
      <c r="BK1835" s="10"/>
      <c r="BL1835" s="10"/>
      <c r="BM1835" s="10"/>
      <c r="BN1835" s="10"/>
      <c r="BO1835" s="10"/>
      <c r="BP1835" s="8"/>
      <c r="BQ1835" s="10"/>
      <c r="BR1835" s="11"/>
      <c r="BS1835" s="12"/>
      <c r="BT1835" s="13"/>
      <c r="BU1835" s="8"/>
    </row>
    <row r="1836" s="1" customFormat="1" customHeight="1" spans="1:73">
      <c r="A1836" s="5"/>
      <c r="B1836" s="6"/>
      <c r="C1836" s="6"/>
      <c r="D1836" s="5"/>
      <c r="E1836" s="5"/>
      <c r="F1836" s="5"/>
      <c r="G1836" s="228"/>
      <c r="H1836" s="5"/>
      <c r="I1836" s="5"/>
      <c r="J1836" s="10"/>
      <c r="K1836" s="10"/>
      <c r="L1836" s="10"/>
      <c r="M1836" s="10"/>
      <c r="N1836" s="10"/>
      <c r="O1836" s="10"/>
      <c r="P1836" s="236"/>
      <c r="Q1836" s="10"/>
      <c r="R1836" s="236"/>
      <c r="S1836" s="10"/>
      <c r="T1836" s="10"/>
      <c r="U1836" s="10"/>
      <c r="V1836" s="236"/>
      <c r="W1836" s="236"/>
      <c r="X1836" s="10"/>
      <c r="Y1836" s="236"/>
      <c r="Z1836" s="10"/>
      <c r="AA1836" s="10"/>
      <c r="AB1836" s="10"/>
      <c r="AC1836" s="236"/>
      <c r="AD1836" s="10"/>
      <c r="AE1836" s="10"/>
      <c r="AF1836" s="10"/>
      <c r="AG1836" s="236"/>
      <c r="AH1836" s="10"/>
      <c r="AI1836" s="10"/>
      <c r="AJ1836" s="10"/>
      <c r="AK1836" s="10"/>
      <c r="AL1836" s="10"/>
      <c r="AM1836" s="236"/>
      <c r="AN1836" s="10"/>
      <c r="AO1836" s="236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236"/>
      <c r="AZ1836" s="10"/>
      <c r="BA1836" s="10"/>
      <c r="BB1836" s="10"/>
      <c r="BC1836" s="10"/>
      <c r="BD1836" s="10"/>
      <c r="BE1836" s="236"/>
      <c r="BF1836" s="10"/>
      <c r="BG1836" s="10"/>
      <c r="BH1836" s="10"/>
      <c r="BI1836" s="236"/>
      <c r="BJ1836" s="10"/>
      <c r="BK1836" s="10"/>
      <c r="BL1836" s="10"/>
      <c r="BM1836" s="10"/>
      <c r="BN1836" s="10"/>
      <c r="BO1836" s="10"/>
      <c r="BP1836" s="8"/>
      <c r="BQ1836" s="10"/>
      <c r="BR1836" s="11"/>
      <c r="BS1836" s="12"/>
      <c r="BT1836" s="13"/>
      <c r="BU1836" s="8"/>
    </row>
    <row r="1837" s="1" customFormat="1" customHeight="1" spans="1:73">
      <c r="A1837" s="5"/>
      <c r="B1837" s="6"/>
      <c r="C1837" s="6"/>
      <c r="D1837" s="5"/>
      <c r="E1837" s="5"/>
      <c r="F1837" s="5"/>
      <c r="G1837" s="228"/>
      <c r="H1837" s="5"/>
      <c r="I1837" s="5"/>
      <c r="J1837" s="10"/>
      <c r="K1837" s="10"/>
      <c r="L1837" s="10"/>
      <c r="M1837" s="10"/>
      <c r="N1837" s="10"/>
      <c r="O1837" s="10"/>
      <c r="P1837" s="236"/>
      <c r="Q1837" s="10"/>
      <c r="R1837" s="236"/>
      <c r="S1837" s="10"/>
      <c r="T1837" s="10"/>
      <c r="U1837" s="10"/>
      <c r="V1837" s="236"/>
      <c r="W1837" s="236"/>
      <c r="X1837" s="10"/>
      <c r="Y1837" s="236"/>
      <c r="Z1837" s="10"/>
      <c r="AA1837" s="10"/>
      <c r="AB1837" s="10"/>
      <c r="AC1837" s="236"/>
      <c r="AD1837" s="10"/>
      <c r="AE1837" s="10"/>
      <c r="AF1837" s="10"/>
      <c r="AG1837" s="236"/>
      <c r="AH1837" s="10"/>
      <c r="AI1837" s="10"/>
      <c r="AJ1837" s="10"/>
      <c r="AK1837" s="10"/>
      <c r="AL1837" s="10"/>
      <c r="AM1837" s="236"/>
      <c r="AN1837" s="10"/>
      <c r="AO1837" s="236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236"/>
      <c r="AZ1837" s="10"/>
      <c r="BA1837" s="10"/>
      <c r="BB1837" s="10"/>
      <c r="BC1837" s="10"/>
      <c r="BD1837" s="10"/>
      <c r="BE1837" s="236"/>
      <c r="BF1837" s="10"/>
      <c r="BG1837" s="10"/>
      <c r="BH1837" s="10"/>
      <c r="BI1837" s="236"/>
      <c r="BJ1837" s="10"/>
      <c r="BK1837" s="10"/>
      <c r="BL1837" s="10"/>
      <c r="BM1837" s="10"/>
      <c r="BN1837" s="10"/>
      <c r="BO1837" s="10"/>
      <c r="BP1837" s="8"/>
      <c r="BQ1837" s="10"/>
      <c r="BR1837" s="11"/>
      <c r="BS1837" s="12"/>
      <c r="BT1837" s="13"/>
      <c r="BU1837" s="8"/>
    </row>
    <row r="1838" s="1" customFormat="1" customHeight="1" spans="1:73">
      <c r="A1838" s="5"/>
      <c r="B1838" s="6"/>
      <c r="C1838" s="6"/>
      <c r="D1838" s="5"/>
      <c r="E1838" s="5"/>
      <c r="F1838" s="5"/>
      <c r="G1838" s="228"/>
      <c r="H1838" s="5"/>
      <c r="I1838" s="5"/>
      <c r="J1838" s="10"/>
      <c r="K1838" s="10"/>
      <c r="L1838" s="10"/>
      <c r="M1838" s="10"/>
      <c r="N1838" s="10"/>
      <c r="O1838" s="10"/>
      <c r="P1838" s="236"/>
      <c r="Q1838" s="10"/>
      <c r="R1838" s="236"/>
      <c r="S1838" s="10"/>
      <c r="T1838" s="10"/>
      <c r="U1838" s="10"/>
      <c r="V1838" s="236"/>
      <c r="W1838" s="236"/>
      <c r="X1838" s="10"/>
      <c r="Y1838" s="236"/>
      <c r="Z1838" s="10"/>
      <c r="AA1838" s="10"/>
      <c r="AB1838" s="10"/>
      <c r="AC1838" s="236"/>
      <c r="AD1838" s="10"/>
      <c r="AE1838" s="10"/>
      <c r="AF1838" s="10"/>
      <c r="AG1838" s="236"/>
      <c r="AH1838" s="10"/>
      <c r="AI1838" s="10"/>
      <c r="AJ1838" s="10"/>
      <c r="AK1838" s="10"/>
      <c r="AL1838" s="10"/>
      <c r="AM1838" s="236"/>
      <c r="AN1838" s="10"/>
      <c r="AO1838" s="236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236"/>
      <c r="AZ1838" s="10"/>
      <c r="BA1838" s="10"/>
      <c r="BB1838" s="10"/>
      <c r="BC1838" s="10"/>
      <c r="BD1838" s="10"/>
      <c r="BE1838" s="236"/>
      <c r="BF1838" s="10"/>
      <c r="BG1838" s="10"/>
      <c r="BH1838" s="10"/>
      <c r="BI1838" s="236"/>
      <c r="BJ1838" s="10"/>
      <c r="BK1838" s="10"/>
      <c r="BL1838" s="10"/>
      <c r="BM1838" s="10"/>
      <c r="BN1838" s="10"/>
      <c r="BO1838" s="10"/>
      <c r="BP1838" s="8"/>
      <c r="BQ1838" s="10"/>
      <c r="BR1838" s="11"/>
      <c r="BS1838" s="12"/>
      <c r="BT1838" s="13"/>
      <c r="BU1838" s="8"/>
    </row>
    <row r="1839" s="1" customFormat="1" customHeight="1" spans="1:73">
      <c r="A1839" s="5"/>
      <c r="B1839" s="6"/>
      <c r="C1839" s="6"/>
      <c r="D1839" s="5"/>
      <c r="E1839" s="5"/>
      <c r="F1839" s="5"/>
      <c r="G1839" s="228"/>
      <c r="H1839" s="5"/>
      <c r="I1839" s="5"/>
      <c r="J1839" s="10"/>
      <c r="K1839" s="10"/>
      <c r="L1839" s="10"/>
      <c r="M1839" s="10"/>
      <c r="N1839" s="10"/>
      <c r="O1839" s="10"/>
      <c r="P1839" s="236"/>
      <c r="Q1839" s="10"/>
      <c r="R1839" s="236"/>
      <c r="S1839" s="10"/>
      <c r="T1839" s="10"/>
      <c r="U1839" s="10"/>
      <c r="V1839" s="236"/>
      <c r="W1839" s="236"/>
      <c r="X1839" s="10"/>
      <c r="Y1839" s="236"/>
      <c r="Z1839" s="10"/>
      <c r="AA1839" s="10"/>
      <c r="AB1839" s="10"/>
      <c r="AC1839" s="236"/>
      <c r="AD1839" s="10"/>
      <c r="AE1839" s="10"/>
      <c r="AF1839" s="10"/>
      <c r="AG1839" s="236"/>
      <c r="AH1839" s="10"/>
      <c r="AI1839" s="10"/>
      <c r="AJ1839" s="10"/>
      <c r="AK1839" s="10"/>
      <c r="AL1839" s="10"/>
      <c r="AM1839" s="236"/>
      <c r="AN1839" s="10"/>
      <c r="AO1839" s="236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236"/>
      <c r="AZ1839" s="10"/>
      <c r="BA1839" s="10"/>
      <c r="BB1839" s="10"/>
      <c r="BC1839" s="10"/>
      <c r="BD1839" s="10"/>
      <c r="BE1839" s="236"/>
      <c r="BF1839" s="10"/>
      <c r="BG1839" s="10"/>
      <c r="BH1839" s="10"/>
      <c r="BI1839" s="236"/>
      <c r="BJ1839" s="10"/>
      <c r="BK1839" s="10"/>
      <c r="BL1839" s="10"/>
      <c r="BM1839" s="10"/>
      <c r="BN1839" s="10"/>
      <c r="BO1839" s="10"/>
      <c r="BP1839" s="8"/>
      <c r="BQ1839" s="10"/>
      <c r="BR1839" s="11"/>
      <c r="BS1839" s="12"/>
      <c r="BT1839" s="13"/>
      <c r="BU1839" s="8"/>
    </row>
    <row r="1840" s="1" customFormat="1" customHeight="1" spans="1:73">
      <c r="A1840" s="5"/>
      <c r="B1840" s="6"/>
      <c r="C1840" s="6"/>
      <c r="D1840" s="5"/>
      <c r="E1840" s="5"/>
      <c r="F1840" s="5"/>
      <c r="G1840" s="228"/>
      <c r="H1840" s="5"/>
      <c r="I1840" s="5"/>
      <c r="J1840" s="10"/>
      <c r="K1840" s="10"/>
      <c r="L1840" s="10"/>
      <c r="M1840" s="10"/>
      <c r="N1840" s="10"/>
      <c r="O1840" s="10"/>
      <c r="P1840" s="236"/>
      <c r="Q1840" s="10"/>
      <c r="R1840" s="236"/>
      <c r="S1840" s="10"/>
      <c r="T1840" s="10"/>
      <c r="U1840" s="10"/>
      <c r="V1840" s="236"/>
      <c r="W1840" s="236"/>
      <c r="X1840" s="10"/>
      <c r="Y1840" s="236"/>
      <c r="Z1840" s="10"/>
      <c r="AA1840" s="10"/>
      <c r="AB1840" s="10"/>
      <c r="AC1840" s="236"/>
      <c r="AD1840" s="10"/>
      <c r="AE1840" s="10"/>
      <c r="AF1840" s="10"/>
      <c r="AG1840" s="236"/>
      <c r="AH1840" s="10"/>
      <c r="AI1840" s="10"/>
      <c r="AJ1840" s="10"/>
      <c r="AK1840" s="10"/>
      <c r="AL1840" s="10"/>
      <c r="AM1840" s="236"/>
      <c r="AN1840" s="10"/>
      <c r="AO1840" s="236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236"/>
      <c r="AZ1840" s="10"/>
      <c r="BA1840" s="10"/>
      <c r="BB1840" s="10"/>
      <c r="BC1840" s="10"/>
      <c r="BD1840" s="10"/>
      <c r="BE1840" s="236"/>
      <c r="BF1840" s="10"/>
      <c r="BG1840" s="10"/>
      <c r="BH1840" s="10"/>
      <c r="BI1840" s="236"/>
      <c r="BJ1840" s="10"/>
      <c r="BK1840" s="10"/>
      <c r="BL1840" s="10"/>
      <c r="BM1840" s="10"/>
      <c r="BN1840" s="10"/>
      <c r="BO1840" s="10"/>
      <c r="BP1840" s="8"/>
      <c r="BQ1840" s="10"/>
      <c r="BR1840" s="11"/>
      <c r="BS1840" s="12"/>
      <c r="BT1840" s="13"/>
      <c r="BU1840" s="8"/>
    </row>
    <row r="1841" s="1" customFormat="1" customHeight="1" spans="1:73">
      <c r="A1841" s="5"/>
      <c r="B1841" s="6"/>
      <c r="C1841" s="6"/>
      <c r="D1841" s="5"/>
      <c r="E1841" s="5"/>
      <c r="F1841" s="5"/>
      <c r="G1841" s="228"/>
      <c r="H1841" s="5"/>
      <c r="I1841" s="5"/>
      <c r="J1841" s="10"/>
      <c r="K1841" s="10"/>
      <c r="L1841" s="10"/>
      <c r="M1841" s="10"/>
      <c r="N1841" s="10"/>
      <c r="O1841" s="10"/>
      <c r="P1841" s="236"/>
      <c r="Q1841" s="10"/>
      <c r="R1841" s="236"/>
      <c r="S1841" s="10"/>
      <c r="T1841" s="10"/>
      <c r="U1841" s="10"/>
      <c r="V1841" s="236"/>
      <c r="W1841" s="236"/>
      <c r="X1841" s="10"/>
      <c r="Y1841" s="236"/>
      <c r="Z1841" s="10"/>
      <c r="AA1841" s="10"/>
      <c r="AB1841" s="10"/>
      <c r="AC1841" s="236"/>
      <c r="AD1841" s="10"/>
      <c r="AE1841" s="10"/>
      <c r="AF1841" s="10"/>
      <c r="AG1841" s="236"/>
      <c r="AH1841" s="10"/>
      <c r="AI1841" s="10"/>
      <c r="AJ1841" s="10"/>
      <c r="AK1841" s="10"/>
      <c r="AL1841" s="10"/>
      <c r="AM1841" s="236"/>
      <c r="AN1841" s="10"/>
      <c r="AO1841" s="236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236"/>
      <c r="AZ1841" s="10"/>
      <c r="BA1841" s="10"/>
      <c r="BB1841" s="10"/>
      <c r="BC1841" s="10"/>
      <c r="BD1841" s="10"/>
      <c r="BE1841" s="236"/>
      <c r="BF1841" s="10"/>
      <c r="BG1841" s="10"/>
      <c r="BH1841" s="10"/>
      <c r="BI1841" s="236"/>
      <c r="BJ1841" s="10"/>
      <c r="BK1841" s="10"/>
      <c r="BL1841" s="10"/>
      <c r="BM1841" s="10"/>
      <c r="BN1841" s="10"/>
      <c r="BO1841" s="10"/>
      <c r="BP1841" s="8"/>
      <c r="BQ1841" s="10"/>
      <c r="BR1841" s="11"/>
      <c r="BS1841" s="12"/>
      <c r="BT1841" s="13"/>
      <c r="BU1841" s="8"/>
    </row>
    <row r="1842" s="1" customFormat="1" customHeight="1" spans="1:73">
      <c r="A1842" s="5"/>
      <c r="B1842" s="6"/>
      <c r="C1842" s="6"/>
      <c r="D1842" s="5"/>
      <c r="E1842" s="5"/>
      <c r="F1842" s="5"/>
      <c r="G1842" s="228"/>
      <c r="H1842" s="5"/>
      <c r="I1842" s="5"/>
      <c r="J1842" s="10"/>
      <c r="K1842" s="10"/>
      <c r="L1842" s="10"/>
      <c r="M1842" s="10"/>
      <c r="N1842" s="10"/>
      <c r="O1842" s="10"/>
      <c r="P1842" s="236"/>
      <c r="Q1842" s="10"/>
      <c r="R1842" s="236"/>
      <c r="S1842" s="10"/>
      <c r="T1842" s="10"/>
      <c r="U1842" s="10"/>
      <c r="V1842" s="236"/>
      <c r="W1842" s="236"/>
      <c r="X1842" s="10"/>
      <c r="Y1842" s="236"/>
      <c r="Z1842" s="10"/>
      <c r="AA1842" s="10"/>
      <c r="AB1842" s="10"/>
      <c r="AC1842" s="236"/>
      <c r="AD1842" s="10"/>
      <c r="AE1842" s="10"/>
      <c r="AF1842" s="10"/>
      <c r="AG1842" s="236"/>
      <c r="AH1842" s="10"/>
      <c r="AI1842" s="10"/>
      <c r="AJ1842" s="10"/>
      <c r="AK1842" s="10"/>
      <c r="AL1842" s="10"/>
      <c r="AM1842" s="236"/>
      <c r="AN1842" s="10"/>
      <c r="AO1842" s="236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236"/>
      <c r="AZ1842" s="10"/>
      <c r="BA1842" s="10"/>
      <c r="BB1842" s="10"/>
      <c r="BC1842" s="10"/>
      <c r="BD1842" s="10"/>
      <c r="BE1842" s="236"/>
      <c r="BF1842" s="10"/>
      <c r="BG1842" s="10"/>
      <c r="BH1842" s="10"/>
      <c r="BI1842" s="236"/>
      <c r="BJ1842" s="10"/>
      <c r="BK1842" s="10"/>
      <c r="BL1842" s="10"/>
      <c r="BM1842" s="10"/>
      <c r="BN1842" s="10"/>
      <c r="BO1842" s="10"/>
      <c r="BP1842" s="8"/>
      <c r="BQ1842" s="10"/>
      <c r="BR1842" s="11"/>
      <c r="BS1842" s="12"/>
      <c r="BT1842" s="13"/>
      <c r="BU1842" s="8"/>
    </row>
    <row r="1843" s="1" customFormat="1" customHeight="1" spans="1:73">
      <c r="A1843" s="5"/>
      <c r="B1843" s="6"/>
      <c r="C1843" s="6"/>
      <c r="D1843" s="5"/>
      <c r="E1843" s="5"/>
      <c r="F1843" s="5"/>
      <c r="G1843" s="228"/>
      <c r="H1843" s="5"/>
      <c r="I1843" s="5"/>
      <c r="J1843" s="10"/>
      <c r="K1843" s="10"/>
      <c r="L1843" s="10"/>
      <c r="M1843" s="10"/>
      <c r="N1843" s="10"/>
      <c r="O1843" s="10"/>
      <c r="P1843" s="236"/>
      <c r="Q1843" s="10"/>
      <c r="R1843" s="236"/>
      <c r="S1843" s="10"/>
      <c r="T1843" s="10"/>
      <c r="U1843" s="10"/>
      <c r="V1843" s="236"/>
      <c r="W1843" s="236"/>
      <c r="X1843" s="10"/>
      <c r="Y1843" s="236"/>
      <c r="Z1843" s="10"/>
      <c r="AA1843" s="10"/>
      <c r="AB1843" s="10"/>
      <c r="AC1843" s="236"/>
      <c r="AD1843" s="10"/>
      <c r="AE1843" s="10"/>
      <c r="AF1843" s="10"/>
      <c r="AG1843" s="236"/>
      <c r="AH1843" s="10"/>
      <c r="AI1843" s="10"/>
      <c r="AJ1843" s="10"/>
      <c r="AK1843" s="10"/>
      <c r="AL1843" s="10"/>
      <c r="AM1843" s="236"/>
      <c r="AN1843" s="10"/>
      <c r="AO1843" s="236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236"/>
      <c r="AZ1843" s="10"/>
      <c r="BA1843" s="10"/>
      <c r="BB1843" s="10"/>
      <c r="BC1843" s="10"/>
      <c r="BD1843" s="10"/>
      <c r="BE1843" s="236"/>
      <c r="BF1843" s="10"/>
      <c r="BG1843" s="10"/>
      <c r="BH1843" s="10"/>
      <c r="BI1843" s="236"/>
      <c r="BJ1843" s="10"/>
      <c r="BK1843" s="10"/>
      <c r="BL1843" s="10"/>
      <c r="BM1843" s="10"/>
      <c r="BN1843" s="10"/>
      <c r="BO1843" s="10"/>
      <c r="BP1843" s="8"/>
      <c r="BQ1843" s="10"/>
      <c r="BR1843" s="11"/>
      <c r="BS1843" s="12"/>
      <c r="BT1843" s="13"/>
      <c r="BU1843" s="8"/>
    </row>
    <row r="1844" s="1" customFormat="1" customHeight="1" spans="1:73">
      <c r="A1844" s="5"/>
      <c r="B1844" s="6"/>
      <c r="C1844" s="6"/>
      <c r="D1844" s="5"/>
      <c r="E1844" s="5"/>
      <c r="F1844" s="5"/>
      <c r="G1844" s="228"/>
      <c r="H1844" s="5"/>
      <c r="I1844" s="5"/>
      <c r="J1844" s="10"/>
      <c r="K1844" s="10"/>
      <c r="L1844" s="10"/>
      <c r="M1844" s="10"/>
      <c r="N1844" s="10"/>
      <c r="O1844" s="10"/>
      <c r="P1844" s="236"/>
      <c r="Q1844" s="10"/>
      <c r="R1844" s="236"/>
      <c r="S1844" s="10"/>
      <c r="T1844" s="10"/>
      <c r="U1844" s="10"/>
      <c r="V1844" s="236"/>
      <c r="W1844" s="236"/>
      <c r="X1844" s="10"/>
      <c r="Y1844" s="236"/>
      <c r="Z1844" s="10"/>
      <c r="AA1844" s="10"/>
      <c r="AB1844" s="10"/>
      <c r="AC1844" s="236"/>
      <c r="AD1844" s="10"/>
      <c r="AE1844" s="10"/>
      <c r="AF1844" s="10"/>
      <c r="AG1844" s="236"/>
      <c r="AH1844" s="10"/>
      <c r="AI1844" s="10"/>
      <c r="AJ1844" s="10"/>
      <c r="AK1844" s="10"/>
      <c r="AL1844" s="10"/>
      <c r="AM1844" s="236"/>
      <c r="AN1844" s="10"/>
      <c r="AO1844" s="236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236"/>
      <c r="AZ1844" s="10"/>
      <c r="BA1844" s="10"/>
      <c r="BB1844" s="10"/>
      <c r="BC1844" s="10"/>
      <c r="BD1844" s="10"/>
      <c r="BE1844" s="236"/>
      <c r="BF1844" s="10"/>
      <c r="BG1844" s="10"/>
      <c r="BH1844" s="10"/>
      <c r="BI1844" s="236"/>
      <c r="BJ1844" s="10"/>
      <c r="BK1844" s="10"/>
      <c r="BL1844" s="10"/>
      <c r="BM1844" s="10"/>
      <c r="BN1844" s="10"/>
      <c r="BO1844" s="10"/>
      <c r="BP1844" s="8"/>
      <c r="BQ1844" s="10"/>
      <c r="BR1844" s="11"/>
      <c r="BS1844" s="12"/>
      <c r="BT1844" s="13"/>
      <c r="BU1844" s="8"/>
    </row>
    <row r="1845" s="1" customFormat="1" customHeight="1" spans="1:73">
      <c r="A1845" s="5"/>
      <c r="B1845" s="6"/>
      <c r="C1845" s="6"/>
      <c r="D1845" s="5"/>
      <c r="E1845" s="5"/>
      <c r="F1845" s="5"/>
      <c r="G1845" s="228"/>
      <c r="H1845" s="5"/>
      <c r="I1845" s="5"/>
      <c r="J1845" s="10"/>
      <c r="K1845" s="10"/>
      <c r="L1845" s="10"/>
      <c r="M1845" s="10"/>
      <c r="N1845" s="10"/>
      <c r="O1845" s="10"/>
      <c r="P1845" s="236"/>
      <c r="Q1845" s="10"/>
      <c r="R1845" s="236"/>
      <c r="S1845" s="10"/>
      <c r="T1845" s="10"/>
      <c r="U1845" s="10"/>
      <c r="V1845" s="236"/>
      <c r="W1845" s="236"/>
      <c r="X1845" s="10"/>
      <c r="Y1845" s="236"/>
      <c r="Z1845" s="10"/>
      <c r="AA1845" s="10"/>
      <c r="AB1845" s="10"/>
      <c r="AC1845" s="236"/>
      <c r="AD1845" s="10"/>
      <c r="AE1845" s="10"/>
      <c r="AF1845" s="10"/>
      <c r="AG1845" s="236"/>
      <c r="AH1845" s="10"/>
      <c r="AI1845" s="10"/>
      <c r="AJ1845" s="10"/>
      <c r="AK1845" s="10"/>
      <c r="AL1845" s="10"/>
      <c r="AM1845" s="236"/>
      <c r="AN1845" s="10"/>
      <c r="AO1845" s="236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236"/>
      <c r="AZ1845" s="10"/>
      <c r="BA1845" s="10"/>
      <c r="BB1845" s="10"/>
      <c r="BC1845" s="10"/>
      <c r="BD1845" s="10"/>
      <c r="BE1845" s="236"/>
      <c r="BF1845" s="10"/>
      <c r="BG1845" s="10"/>
      <c r="BH1845" s="10"/>
      <c r="BI1845" s="236"/>
      <c r="BJ1845" s="10"/>
      <c r="BK1845" s="10"/>
      <c r="BL1845" s="10"/>
      <c r="BM1845" s="10"/>
      <c r="BN1845" s="10"/>
      <c r="BO1845" s="10"/>
      <c r="BP1845" s="8"/>
      <c r="BQ1845" s="10"/>
      <c r="BR1845" s="11"/>
      <c r="BS1845" s="12"/>
      <c r="BT1845" s="13"/>
      <c r="BU1845" s="8"/>
    </row>
    <row r="1846" s="1" customFormat="1" customHeight="1" spans="1:73">
      <c r="A1846" s="5"/>
      <c r="B1846" s="6"/>
      <c r="C1846" s="6"/>
      <c r="D1846" s="5"/>
      <c r="E1846" s="5"/>
      <c r="F1846" s="5"/>
      <c r="G1846" s="228"/>
      <c r="H1846" s="5"/>
      <c r="I1846" s="5"/>
      <c r="J1846" s="10"/>
      <c r="K1846" s="10"/>
      <c r="L1846" s="10"/>
      <c r="M1846" s="10"/>
      <c r="N1846" s="10"/>
      <c r="O1846" s="10"/>
      <c r="P1846" s="236"/>
      <c r="Q1846" s="10"/>
      <c r="R1846" s="236"/>
      <c r="S1846" s="10"/>
      <c r="T1846" s="10"/>
      <c r="U1846" s="10"/>
      <c r="V1846" s="236"/>
      <c r="W1846" s="236"/>
      <c r="X1846" s="10"/>
      <c r="Y1846" s="236"/>
      <c r="Z1846" s="10"/>
      <c r="AA1846" s="10"/>
      <c r="AB1846" s="10"/>
      <c r="AC1846" s="236"/>
      <c r="AD1846" s="10"/>
      <c r="AE1846" s="10"/>
      <c r="AF1846" s="10"/>
      <c r="AG1846" s="236"/>
      <c r="AH1846" s="10"/>
      <c r="AI1846" s="10"/>
      <c r="AJ1846" s="10"/>
      <c r="AK1846" s="10"/>
      <c r="AL1846" s="10"/>
      <c r="AM1846" s="236"/>
      <c r="AN1846" s="10"/>
      <c r="AO1846" s="236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236"/>
      <c r="AZ1846" s="10"/>
      <c r="BA1846" s="10"/>
      <c r="BB1846" s="10"/>
      <c r="BC1846" s="10"/>
      <c r="BD1846" s="10"/>
      <c r="BE1846" s="236"/>
      <c r="BF1846" s="10"/>
      <c r="BG1846" s="10"/>
      <c r="BH1846" s="10"/>
      <c r="BI1846" s="236"/>
      <c r="BJ1846" s="10"/>
      <c r="BK1846" s="10"/>
      <c r="BL1846" s="10"/>
      <c r="BM1846" s="10"/>
      <c r="BN1846" s="10"/>
      <c r="BO1846" s="10"/>
      <c r="BP1846" s="8"/>
      <c r="BQ1846" s="10"/>
      <c r="BR1846" s="11"/>
      <c r="BS1846" s="12"/>
      <c r="BT1846" s="13"/>
      <c r="BU1846" s="8"/>
    </row>
    <row r="1847" s="1" customFormat="1" customHeight="1" spans="1:73">
      <c r="A1847" s="5"/>
      <c r="B1847" s="6"/>
      <c r="C1847" s="6"/>
      <c r="D1847" s="5"/>
      <c r="E1847" s="5"/>
      <c r="F1847" s="5"/>
      <c r="G1847" s="228"/>
      <c r="H1847" s="5"/>
      <c r="I1847" s="5"/>
      <c r="J1847" s="10"/>
      <c r="K1847" s="10"/>
      <c r="L1847" s="10"/>
      <c r="M1847" s="10"/>
      <c r="N1847" s="10"/>
      <c r="O1847" s="10"/>
      <c r="P1847" s="236"/>
      <c r="Q1847" s="10"/>
      <c r="R1847" s="236"/>
      <c r="S1847" s="10"/>
      <c r="T1847" s="10"/>
      <c r="U1847" s="10"/>
      <c r="V1847" s="236"/>
      <c r="W1847" s="236"/>
      <c r="X1847" s="10"/>
      <c r="Y1847" s="236"/>
      <c r="Z1847" s="10"/>
      <c r="AA1847" s="10"/>
      <c r="AB1847" s="10"/>
      <c r="AC1847" s="236"/>
      <c r="AD1847" s="10"/>
      <c r="AE1847" s="10"/>
      <c r="AF1847" s="10"/>
      <c r="AG1847" s="236"/>
      <c r="AH1847" s="10"/>
      <c r="AI1847" s="10"/>
      <c r="AJ1847" s="10"/>
      <c r="AK1847" s="10"/>
      <c r="AL1847" s="10"/>
      <c r="AM1847" s="236"/>
      <c r="AN1847" s="10"/>
      <c r="AO1847" s="236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236"/>
      <c r="AZ1847" s="10"/>
      <c r="BA1847" s="10"/>
      <c r="BB1847" s="10"/>
      <c r="BC1847" s="10"/>
      <c r="BD1847" s="10"/>
      <c r="BE1847" s="236"/>
      <c r="BF1847" s="10"/>
      <c r="BG1847" s="10"/>
      <c r="BH1847" s="10"/>
      <c r="BI1847" s="236"/>
      <c r="BJ1847" s="10"/>
      <c r="BK1847" s="10"/>
      <c r="BL1847" s="10"/>
      <c r="BM1847" s="10"/>
      <c r="BN1847" s="10"/>
      <c r="BO1847" s="10"/>
      <c r="BP1847" s="8"/>
      <c r="BQ1847" s="10"/>
      <c r="BR1847" s="11"/>
      <c r="BS1847" s="12"/>
      <c r="BT1847" s="13"/>
      <c r="BU1847" s="8"/>
    </row>
    <row r="1848" s="1" customFormat="1" customHeight="1" spans="1:73">
      <c r="A1848" s="5"/>
      <c r="B1848" s="6"/>
      <c r="C1848" s="6"/>
      <c r="D1848" s="5"/>
      <c r="E1848" s="5"/>
      <c r="F1848" s="5"/>
      <c r="G1848" s="228"/>
      <c r="H1848" s="5"/>
      <c r="I1848" s="5"/>
      <c r="J1848" s="10"/>
      <c r="K1848" s="10"/>
      <c r="L1848" s="10"/>
      <c r="M1848" s="10"/>
      <c r="N1848" s="10"/>
      <c r="O1848" s="10"/>
      <c r="P1848" s="236"/>
      <c r="Q1848" s="10"/>
      <c r="R1848" s="236"/>
      <c r="S1848" s="10"/>
      <c r="T1848" s="10"/>
      <c r="U1848" s="10"/>
      <c r="V1848" s="236"/>
      <c r="W1848" s="236"/>
      <c r="X1848" s="10"/>
      <c r="Y1848" s="236"/>
      <c r="Z1848" s="10"/>
      <c r="AA1848" s="10"/>
      <c r="AB1848" s="10"/>
      <c r="AC1848" s="236"/>
      <c r="AD1848" s="10"/>
      <c r="AE1848" s="10"/>
      <c r="AF1848" s="10"/>
      <c r="AG1848" s="236"/>
      <c r="AH1848" s="10"/>
      <c r="AI1848" s="10"/>
      <c r="AJ1848" s="10"/>
      <c r="AK1848" s="10"/>
      <c r="AL1848" s="10"/>
      <c r="AM1848" s="236"/>
      <c r="AN1848" s="10"/>
      <c r="AO1848" s="236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236"/>
      <c r="AZ1848" s="10"/>
      <c r="BA1848" s="10"/>
      <c r="BB1848" s="10"/>
      <c r="BC1848" s="10"/>
      <c r="BD1848" s="10"/>
      <c r="BE1848" s="236"/>
      <c r="BF1848" s="10"/>
      <c r="BG1848" s="10"/>
      <c r="BH1848" s="10"/>
      <c r="BI1848" s="236"/>
      <c r="BJ1848" s="10"/>
      <c r="BK1848" s="10"/>
      <c r="BL1848" s="10"/>
      <c r="BM1848" s="10"/>
      <c r="BN1848" s="10"/>
      <c r="BO1848" s="10"/>
      <c r="BP1848" s="8"/>
      <c r="BQ1848" s="10"/>
      <c r="BR1848" s="11"/>
      <c r="BS1848" s="12"/>
      <c r="BT1848" s="13"/>
      <c r="BU1848" s="8"/>
    </row>
    <row r="1849" s="1" customFormat="1" customHeight="1" spans="1:73">
      <c r="A1849" s="5"/>
      <c r="B1849" s="6"/>
      <c r="C1849" s="6"/>
      <c r="D1849" s="5"/>
      <c r="E1849" s="5"/>
      <c r="F1849" s="5"/>
      <c r="G1849" s="228"/>
      <c r="H1849" s="5"/>
      <c r="I1849" s="5"/>
      <c r="J1849" s="10"/>
      <c r="K1849" s="10"/>
      <c r="L1849" s="10"/>
      <c r="M1849" s="10"/>
      <c r="N1849" s="10"/>
      <c r="O1849" s="10"/>
      <c r="P1849" s="236"/>
      <c r="Q1849" s="10"/>
      <c r="R1849" s="236"/>
      <c r="S1849" s="10"/>
      <c r="T1849" s="10"/>
      <c r="U1849" s="10"/>
      <c r="V1849" s="236"/>
      <c r="W1849" s="236"/>
      <c r="X1849" s="10"/>
      <c r="Y1849" s="236"/>
      <c r="Z1849" s="10"/>
      <c r="AA1849" s="10"/>
      <c r="AB1849" s="10"/>
      <c r="AC1849" s="236"/>
      <c r="AD1849" s="10"/>
      <c r="AE1849" s="10"/>
      <c r="AF1849" s="10"/>
      <c r="AG1849" s="236"/>
      <c r="AH1849" s="10"/>
      <c r="AI1849" s="10"/>
      <c r="AJ1849" s="10"/>
      <c r="AK1849" s="10"/>
      <c r="AL1849" s="10"/>
      <c r="AM1849" s="236"/>
      <c r="AN1849" s="10"/>
      <c r="AO1849" s="236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236"/>
      <c r="AZ1849" s="10"/>
      <c r="BA1849" s="10"/>
      <c r="BB1849" s="10"/>
      <c r="BC1849" s="10"/>
      <c r="BD1849" s="10"/>
      <c r="BE1849" s="236"/>
      <c r="BF1849" s="10"/>
      <c r="BG1849" s="10"/>
      <c r="BH1849" s="10"/>
      <c r="BI1849" s="236"/>
      <c r="BJ1849" s="10"/>
      <c r="BK1849" s="10"/>
      <c r="BL1849" s="10"/>
      <c r="BM1849" s="10"/>
      <c r="BN1849" s="10"/>
      <c r="BO1849" s="10"/>
      <c r="BP1849" s="8"/>
      <c r="BQ1849" s="10"/>
      <c r="BR1849" s="11"/>
      <c r="BS1849" s="12"/>
      <c r="BT1849" s="13"/>
      <c r="BU1849" s="8"/>
    </row>
    <row r="1850" s="1" customFormat="1" customHeight="1" spans="1:73">
      <c r="A1850" s="5"/>
      <c r="B1850" s="6"/>
      <c r="C1850" s="6"/>
      <c r="D1850" s="5"/>
      <c r="E1850" s="5"/>
      <c r="F1850" s="5"/>
      <c r="G1850" s="228"/>
      <c r="H1850" s="5"/>
      <c r="I1850" s="5"/>
      <c r="J1850" s="10"/>
      <c r="K1850" s="10"/>
      <c r="L1850" s="10"/>
      <c r="M1850" s="10"/>
      <c r="N1850" s="10"/>
      <c r="O1850" s="10"/>
      <c r="P1850" s="236"/>
      <c r="Q1850" s="10"/>
      <c r="R1850" s="236"/>
      <c r="S1850" s="10"/>
      <c r="T1850" s="10"/>
      <c r="U1850" s="10"/>
      <c r="V1850" s="236"/>
      <c r="W1850" s="236"/>
      <c r="X1850" s="10"/>
      <c r="Y1850" s="236"/>
      <c r="Z1850" s="10"/>
      <c r="AA1850" s="10"/>
      <c r="AB1850" s="10"/>
      <c r="AC1850" s="236"/>
      <c r="AD1850" s="10"/>
      <c r="AE1850" s="10"/>
      <c r="AF1850" s="10"/>
      <c r="AG1850" s="236"/>
      <c r="AH1850" s="10"/>
      <c r="AI1850" s="10"/>
      <c r="AJ1850" s="10"/>
      <c r="AK1850" s="10"/>
      <c r="AL1850" s="10"/>
      <c r="AM1850" s="236"/>
      <c r="AN1850" s="10"/>
      <c r="AO1850" s="236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236"/>
      <c r="AZ1850" s="10"/>
      <c r="BA1850" s="10"/>
      <c r="BB1850" s="10"/>
      <c r="BC1850" s="10"/>
      <c r="BD1850" s="10"/>
      <c r="BE1850" s="236"/>
      <c r="BF1850" s="10"/>
      <c r="BG1850" s="10"/>
      <c r="BH1850" s="10"/>
      <c r="BI1850" s="236"/>
      <c r="BJ1850" s="10"/>
      <c r="BK1850" s="10"/>
      <c r="BL1850" s="10"/>
      <c r="BM1850" s="10"/>
      <c r="BN1850" s="10"/>
      <c r="BO1850" s="10"/>
      <c r="BP1850" s="8"/>
      <c r="BQ1850" s="10"/>
      <c r="BR1850" s="11"/>
      <c r="BS1850" s="12"/>
      <c r="BT1850" s="13"/>
      <c r="BU1850" s="8"/>
    </row>
    <row r="1851" s="1" customFormat="1" customHeight="1" spans="1:73">
      <c r="A1851" s="5"/>
      <c r="B1851" s="6"/>
      <c r="C1851" s="6"/>
      <c r="D1851" s="5"/>
      <c r="E1851" s="5"/>
      <c r="F1851" s="5"/>
      <c r="G1851" s="228"/>
      <c r="H1851" s="5"/>
      <c r="I1851" s="5"/>
      <c r="J1851" s="10"/>
      <c r="K1851" s="10"/>
      <c r="L1851" s="10"/>
      <c r="M1851" s="10"/>
      <c r="N1851" s="10"/>
      <c r="O1851" s="10"/>
      <c r="P1851" s="236"/>
      <c r="Q1851" s="10"/>
      <c r="R1851" s="236"/>
      <c r="S1851" s="10"/>
      <c r="T1851" s="10"/>
      <c r="U1851" s="10"/>
      <c r="V1851" s="236"/>
      <c r="W1851" s="236"/>
      <c r="X1851" s="10"/>
      <c r="Y1851" s="236"/>
      <c r="Z1851" s="10"/>
      <c r="AA1851" s="10"/>
      <c r="AB1851" s="10"/>
      <c r="AC1851" s="236"/>
      <c r="AD1851" s="10"/>
      <c r="AE1851" s="10"/>
      <c r="AF1851" s="10"/>
      <c r="AG1851" s="236"/>
      <c r="AH1851" s="10"/>
      <c r="AI1851" s="10"/>
      <c r="AJ1851" s="10"/>
      <c r="AK1851" s="10"/>
      <c r="AL1851" s="10"/>
      <c r="AM1851" s="236"/>
      <c r="AN1851" s="10"/>
      <c r="AO1851" s="236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236"/>
      <c r="AZ1851" s="10"/>
      <c r="BA1851" s="10"/>
      <c r="BB1851" s="10"/>
      <c r="BC1851" s="10"/>
      <c r="BD1851" s="10"/>
      <c r="BE1851" s="236"/>
      <c r="BF1851" s="10"/>
      <c r="BG1851" s="10"/>
      <c r="BH1851" s="10"/>
      <c r="BI1851" s="236"/>
      <c r="BJ1851" s="10"/>
      <c r="BK1851" s="10"/>
      <c r="BL1851" s="10"/>
      <c r="BM1851" s="10"/>
      <c r="BN1851" s="10"/>
      <c r="BO1851" s="10"/>
      <c r="BP1851" s="8"/>
      <c r="BQ1851" s="10"/>
      <c r="BR1851" s="11"/>
      <c r="BS1851" s="12"/>
      <c r="BT1851" s="13"/>
      <c r="BU1851" s="8"/>
    </row>
    <row r="1852" s="1" customFormat="1" customHeight="1" spans="1:73">
      <c r="A1852" s="5"/>
      <c r="B1852" s="6"/>
      <c r="C1852" s="6"/>
      <c r="D1852" s="5"/>
      <c r="E1852" s="5"/>
      <c r="F1852" s="5"/>
      <c r="G1852" s="228"/>
      <c r="H1852" s="5"/>
      <c r="I1852" s="5"/>
      <c r="J1852" s="10"/>
      <c r="K1852" s="10"/>
      <c r="L1852" s="10"/>
      <c r="M1852" s="10"/>
      <c r="N1852" s="10"/>
      <c r="O1852" s="10"/>
      <c r="P1852" s="236"/>
      <c r="Q1852" s="10"/>
      <c r="R1852" s="236"/>
      <c r="S1852" s="10"/>
      <c r="T1852" s="10"/>
      <c r="U1852" s="10"/>
      <c r="V1852" s="236"/>
      <c r="W1852" s="236"/>
      <c r="X1852" s="10"/>
      <c r="Y1852" s="236"/>
      <c r="Z1852" s="10"/>
      <c r="AA1852" s="10"/>
      <c r="AB1852" s="10"/>
      <c r="AC1852" s="236"/>
      <c r="AD1852" s="10"/>
      <c r="AE1852" s="10"/>
      <c r="AF1852" s="10"/>
      <c r="AG1852" s="236"/>
      <c r="AH1852" s="10"/>
      <c r="AI1852" s="10"/>
      <c r="AJ1852" s="10"/>
      <c r="AK1852" s="10"/>
      <c r="AL1852" s="10"/>
      <c r="AM1852" s="236"/>
      <c r="AN1852" s="10"/>
      <c r="AO1852" s="236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236"/>
      <c r="AZ1852" s="10"/>
      <c r="BA1852" s="10"/>
      <c r="BB1852" s="10"/>
      <c r="BC1852" s="10"/>
      <c r="BD1852" s="10"/>
      <c r="BE1852" s="236"/>
      <c r="BF1852" s="10"/>
      <c r="BG1852" s="10"/>
      <c r="BH1852" s="10"/>
      <c r="BI1852" s="236"/>
      <c r="BJ1852" s="10"/>
      <c r="BK1852" s="10"/>
      <c r="BL1852" s="10"/>
      <c r="BM1852" s="10"/>
      <c r="BN1852" s="10"/>
      <c r="BO1852" s="10"/>
      <c r="BP1852" s="8"/>
      <c r="BQ1852" s="10"/>
      <c r="BR1852" s="11"/>
      <c r="BS1852" s="12"/>
      <c r="BT1852" s="13"/>
      <c r="BU1852" s="8"/>
    </row>
    <row r="1853" s="1" customFormat="1" customHeight="1" spans="1:73">
      <c r="A1853" s="5"/>
      <c r="B1853" s="6"/>
      <c r="C1853" s="6"/>
      <c r="D1853" s="5"/>
      <c r="E1853" s="5"/>
      <c r="F1853" s="5"/>
      <c r="G1853" s="228"/>
      <c r="H1853" s="5"/>
      <c r="I1853" s="5"/>
      <c r="J1853" s="10"/>
      <c r="K1853" s="10"/>
      <c r="L1853" s="10"/>
      <c r="M1853" s="10"/>
      <c r="N1853" s="10"/>
      <c r="O1853" s="10"/>
      <c r="P1853" s="236"/>
      <c r="Q1853" s="10"/>
      <c r="R1853" s="236"/>
      <c r="S1853" s="10"/>
      <c r="T1853" s="10"/>
      <c r="U1853" s="10"/>
      <c r="V1853" s="236"/>
      <c r="W1853" s="236"/>
      <c r="X1853" s="10"/>
      <c r="Y1853" s="236"/>
      <c r="Z1853" s="10"/>
      <c r="AA1853" s="10"/>
      <c r="AB1853" s="10"/>
      <c r="AC1853" s="236"/>
      <c r="AD1853" s="10"/>
      <c r="AE1853" s="10"/>
      <c r="AF1853" s="10"/>
      <c r="AG1853" s="236"/>
      <c r="AH1853" s="10"/>
      <c r="AI1853" s="10"/>
      <c r="AJ1853" s="10"/>
      <c r="AK1853" s="10"/>
      <c r="AL1853" s="10"/>
      <c r="AM1853" s="236"/>
      <c r="AN1853" s="10"/>
      <c r="AO1853" s="236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236"/>
      <c r="AZ1853" s="10"/>
      <c r="BA1853" s="10"/>
      <c r="BB1853" s="10"/>
      <c r="BC1853" s="10"/>
      <c r="BD1853" s="10"/>
      <c r="BE1853" s="236"/>
      <c r="BF1853" s="10"/>
      <c r="BG1853" s="10"/>
      <c r="BH1853" s="10"/>
      <c r="BI1853" s="236"/>
      <c r="BJ1853" s="10"/>
      <c r="BK1853" s="10"/>
      <c r="BL1853" s="10"/>
      <c r="BM1853" s="10"/>
      <c r="BN1853" s="10"/>
      <c r="BO1853" s="10"/>
      <c r="BP1853" s="8"/>
      <c r="BQ1853" s="10"/>
      <c r="BR1853" s="11"/>
      <c r="BS1853" s="12"/>
      <c r="BT1853" s="13"/>
      <c r="BU1853" s="8"/>
    </row>
    <row r="1854" s="1" customFormat="1" customHeight="1" spans="1:73">
      <c r="A1854" s="5"/>
      <c r="B1854" s="6"/>
      <c r="C1854" s="6"/>
      <c r="D1854" s="5"/>
      <c r="E1854" s="5"/>
      <c r="F1854" s="5"/>
      <c r="G1854" s="228"/>
      <c r="H1854" s="5"/>
      <c r="I1854" s="5"/>
      <c r="J1854" s="10"/>
      <c r="K1854" s="10"/>
      <c r="L1854" s="10"/>
      <c r="M1854" s="10"/>
      <c r="N1854" s="10"/>
      <c r="O1854" s="10"/>
      <c r="P1854" s="236"/>
      <c r="Q1854" s="10"/>
      <c r="R1854" s="236"/>
      <c r="S1854" s="10"/>
      <c r="T1854" s="10"/>
      <c r="U1854" s="10"/>
      <c r="V1854" s="236"/>
      <c r="W1854" s="236"/>
      <c r="X1854" s="10"/>
      <c r="Y1854" s="236"/>
      <c r="Z1854" s="10"/>
      <c r="AA1854" s="10"/>
      <c r="AB1854" s="10"/>
      <c r="AC1854" s="236"/>
      <c r="AD1854" s="10"/>
      <c r="AE1854" s="10"/>
      <c r="AF1854" s="10"/>
      <c r="AG1854" s="236"/>
      <c r="AH1854" s="10"/>
      <c r="AI1854" s="10"/>
      <c r="AJ1854" s="10"/>
      <c r="AK1854" s="10"/>
      <c r="AL1854" s="10"/>
      <c r="AM1854" s="236"/>
      <c r="AN1854" s="10"/>
      <c r="AO1854" s="236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236"/>
      <c r="AZ1854" s="10"/>
      <c r="BA1854" s="10"/>
      <c r="BB1854" s="10"/>
      <c r="BC1854" s="10"/>
      <c r="BD1854" s="10"/>
      <c r="BE1854" s="236"/>
      <c r="BF1854" s="10"/>
      <c r="BG1854" s="10"/>
      <c r="BH1854" s="10"/>
      <c r="BI1854" s="236"/>
      <c r="BJ1854" s="10"/>
      <c r="BK1854" s="10"/>
      <c r="BL1854" s="10"/>
      <c r="BM1854" s="10"/>
      <c r="BN1854" s="10"/>
      <c r="BO1854" s="10"/>
      <c r="BP1854" s="8"/>
      <c r="BQ1854" s="10"/>
      <c r="BR1854" s="11"/>
      <c r="BS1854" s="12"/>
      <c r="BT1854" s="13"/>
      <c r="BU1854" s="8"/>
    </row>
    <row r="1855" s="1" customFormat="1" customHeight="1" spans="1:73">
      <c r="A1855" s="5"/>
      <c r="B1855" s="6"/>
      <c r="C1855" s="6"/>
      <c r="D1855" s="5"/>
      <c r="E1855" s="5"/>
      <c r="F1855" s="5"/>
      <c r="G1855" s="228"/>
      <c r="H1855" s="5"/>
      <c r="I1855" s="5"/>
      <c r="J1855" s="10"/>
      <c r="K1855" s="10"/>
      <c r="L1855" s="10"/>
      <c r="M1855" s="10"/>
      <c r="N1855" s="10"/>
      <c r="O1855" s="10"/>
      <c r="P1855" s="236"/>
      <c r="Q1855" s="10"/>
      <c r="R1855" s="236"/>
      <c r="S1855" s="10"/>
      <c r="T1855" s="10"/>
      <c r="U1855" s="10"/>
      <c r="V1855" s="236"/>
      <c r="W1855" s="236"/>
      <c r="X1855" s="10"/>
      <c r="Y1855" s="236"/>
      <c r="Z1855" s="10"/>
      <c r="AA1855" s="10"/>
      <c r="AB1855" s="10"/>
      <c r="AC1855" s="236"/>
      <c r="AD1855" s="10"/>
      <c r="AE1855" s="10"/>
      <c r="AF1855" s="10"/>
      <c r="AG1855" s="236"/>
      <c r="AH1855" s="10"/>
      <c r="AI1855" s="10"/>
      <c r="AJ1855" s="10"/>
      <c r="AK1855" s="10"/>
      <c r="AL1855" s="10"/>
      <c r="AM1855" s="236"/>
      <c r="AN1855" s="10"/>
      <c r="AO1855" s="236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236"/>
      <c r="AZ1855" s="10"/>
      <c r="BA1855" s="10"/>
      <c r="BB1855" s="10"/>
      <c r="BC1855" s="10"/>
      <c r="BD1855" s="10"/>
      <c r="BE1855" s="236"/>
      <c r="BF1855" s="10"/>
      <c r="BG1855" s="10"/>
      <c r="BH1855" s="10"/>
      <c r="BI1855" s="236"/>
      <c r="BJ1855" s="10"/>
      <c r="BK1855" s="10"/>
      <c r="BL1855" s="10"/>
      <c r="BM1855" s="10"/>
      <c r="BN1855" s="10"/>
      <c r="BO1855" s="10"/>
      <c r="BP1855" s="8"/>
      <c r="BQ1855" s="10"/>
      <c r="BR1855" s="11"/>
      <c r="BS1855" s="12"/>
      <c r="BT1855" s="13"/>
      <c r="BU1855" s="8"/>
    </row>
    <row r="1856" s="1" customFormat="1" customHeight="1" spans="1:73">
      <c r="A1856" s="5"/>
      <c r="B1856" s="6"/>
      <c r="C1856" s="6"/>
      <c r="D1856" s="5"/>
      <c r="E1856" s="5"/>
      <c r="F1856" s="5"/>
      <c r="G1856" s="228"/>
      <c r="H1856" s="5"/>
      <c r="I1856" s="5"/>
      <c r="J1856" s="10"/>
      <c r="K1856" s="10"/>
      <c r="L1856" s="10"/>
      <c r="M1856" s="10"/>
      <c r="N1856" s="10"/>
      <c r="O1856" s="10"/>
      <c r="P1856" s="236"/>
      <c r="Q1856" s="10"/>
      <c r="R1856" s="236"/>
      <c r="S1856" s="10"/>
      <c r="T1856" s="10"/>
      <c r="U1856" s="10"/>
      <c r="V1856" s="236"/>
      <c r="W1856" s="236"/>
      <c r="X1856" s="10"/>
      <c r="Y1856" s="236"/>
      <c r="Z1856" s="10"/>
      <c r="AA1856" s="10"/>
      <c r="AB1856" s="10"/>
      <c r="AC1856" s="236"/>
      <c r="AD1856" s="10"/>
      <c r="AE1856" s="10"/>
      <c r="AF1856" s="10"/>
      <c r="AG1856" s="236"/>
      <c r="AH1856" s="10"/>
      <c r="AI1856" s="10"/>
      <c r="AJ1856" s="10"/>
      <c r="AK1856" s="10"/>
      <c r="AL1856" s="10"/>
      <c r="AM1856" s="236"/>
      <c r="AN1856" s="10"/>
      <c r="AO1856" s="236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236"/>
      <c r="AZ1856" s="10"/>
      <c r="BA1856" s="10"/>
      <c r="BB1856" s="10"/>
      <c r="BC1856" s="10"/>
      <c r="BD1856" s="10"/>
      <c r="BE1856" s="236"/>
      <c r="BF1856" s="10"/>
      <c r="BG1856" s="10"/>
      <c r="BH1856" s="10"/>
      <c r="BI1856" s="236"/>
      <c r="BJ1856" s="10"/>
      <c r="BK1856" s="10"/>
      <c r="BL1856" s="10"/>
      <c r="BM1856" s="10"/>
      <c r="BN1856" s="10"/>
      <c r="BO1856" s="10"/>
      <c r="BP1856" s="8"/>
      <c r="BQ1856" s="10"/>
      <c r="BR1856" s="11"/>
      <c r="BS1856" s="12"/>
      <c r="BT1856" s="13"/>
      <c r="BU1856" s="8"/>
    </row>
    <row r="1857" s="1" customFormat="1" customHeight="1" spans="1:73">
      <c r="A1857" s="5"/>
      <c r="B1857" s="6"/>
      <c r="C1857" s="6"/>
      <c r="D1857" s="5"/>
      <c r="E1857" s="5"/>
      <c r="F1857" s="5"/>
      <c r="G1857" s="228"/>
      <c r="H1857" s="5"/>
      <c r="I1857" s="5"/>
      <c r="J1857" s="10"/>
      <c r="K1857" s="10"/>
      <c r="L1857" s="10"/>
      <c r="M1857" s="10"/>
      <c r="N1857" s="10"/>
      <c r="O1857" s="10"/>
      <c r="P1857" s="236"/>
      <c r="Q1857" s="10"/>
      <c r="R1857" s="236"/>
      <c r="S1857" s="10"/>
      <c r="T1857" s="10"/>
      <c r="U1857" s="10"/>
      <c r="V1857" s="236"/>
      <c r="W1857" s="236"/>
      <c r="X1857" s="10"/>
      <c r="Y1857" s="236"/>
      <c r="Z1857" s="10"/>
      <c r="AA1857" s="10"/>
      <c r="AB1857" s="10"/>
      <c r="AC1857" s="236"/>
      <c r="AD1857" s="10"/>
      <c r="AE1857" s="10"/>
      <c r="AF1857" s="10"/>
      <c r="AG1857" s="236"/>
      <c r="AH1857" s="10"/>
      <c r="AI1857" s="10"/>
      <c r="AJ1857" s="10"/>
      <c r="AK1857" s="10"/>
      <c r="AL1857" s="10"/>
      <c r="AM1857" s="236"/>
      <c r="AN1857" s="10"/>
      <c r="AO1857" s="236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236"/>
      <c r="AZ1857" s="10"/>
      <c r="BA1857" s="10"/>
      <c r="BB1857" s="10"/>
      <c r="BC1857" s="10"/>
      <c r="BD1857" s="10"/>
      <c r="BE1857" s="236"/>
      <c r="BF1857" s="10"/>
      <c r="BG1857" s="10"/>
      <c r="BH1857" s="10"/>
      <c r="BI1857" s="236"/>
      <c r="BJ1857" s="10"/>
      <c r="BK1857" s="10"/>
      <c r="BL1857" s="10"/>
      <c r="BM1857" s="10"/>
      <c r="BN1857" s="10"/>
      <c r="BO1857" s="10"/>
      <c r="BP1857" s="8"/>
      <c r="BQ1857" s="10"/>
      <c r="BR1857" s="11"/>
      <c r="BS1857" s="12"/>
      <c r="BT1857" s="13"/>
      <c r="BU1857" s="8"/>
    </row>
    <row r="1858" s="1" customFormat="1" customHeight="1" spans="1:73">
      <c r="A1858" s="5"/>
      <c r="B1858" s="6"/>
      <c r="C1858" s="6"/>
      <c r="D1858" s="5"/>
      <c r="E1858" s="5"/>
      <c r="F1858" s="5"/>
      <c r="G1858" s="228"/>
      <c r="H1858" s="5"/>
      <c r="I1858" s="5"/>
      <c r="J1858" s="10"/>
      <c r="K1858" s="10"/>
      <c r="L1858" s="10"/>
      <c r="M1858" s="10"/>
      <c r="N1858" s="10"/>
      <c r="O1858" s="10"/>
      <c r="P1858" s="236"/>
      <c r="Q1858" s="10"/>
      <c r="R1858" s="236"/>
      <c r="S1858" s="10"/>
      <c r="T1858" s="10"/>
      <c r="U1858" s="10"/>
      <c r="V1858" s="236"/>
      <c r="W1858" s="236"/>
      <c r="X1858" s="10"/>
      <c r="Y1858" s="236"/>
      <c r="Z1858" s="10"/>
      <c r="AA1858" s="10"/>
      <c r="AB1858" s="10"/>
      <c r="AC1858" s="236"/>
      <c r="AD1858" s="10"/>
      <c r="AE1858" s="10"/>
      <c r="AF1858" s="10"/>
      <c r="AG1858" s="236"/>
      <c r="AH1858" s="10"/>
      <c r="AI1858" s="10"/>
      <c r="AJ1858" s="10"/>
      <c r="AK1858" s="10"/>
      <c r="AL1858" s="10"/>
      <c r="AM1858" s="236"/>
      <c r="AN1858" s="10"/>
      <c r="AO1858" s="236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236"/>
      <c r="AZ1858" s="10"/>
      <c r="BA1858" s="10"/>
      <c r="BB1858" s="10"/>
      <c r="BC1858" s="10"/>
      <c r="BD1858" s="10"/>
      <c r="BE1858" s="236"/>
      <c r="BF1858" s="10"/>
      <c r="BG1858" s="10"/>
      <c r="BH1858" s="10"/>
      <c r="BI1858" s="236"/>
      <c r="BJ1858" s="10"/>
      <c r="BK1858" s="10"/>
      <c r="BL1858" s="10"/>
      <c r="BM1858" s="10"/>
      <c r="BN1858" s="10"/>
      <c r="BO1858" s="10"/>
      <c r="BP1858" s="8"/>
      <c r="BQ1858" s="10"/>
      <c r="BR1858" s="11"/>
      <c r="BS1858" s="12"/>
      <c r="BT1858" s="13"/>
      <c r="BU1858" s="8"/>
    </row>
    <row r="1859" s="1" customFormat="1" customHeight="1" spans="1:73">
      <c r="A1859" s="5"/>
      <c r="B1859" s="6"/>
      <c r="C1859" s="6"/>
      <c r="D1859" s="5"/>
      <c r="E1859" s="5"/>
      <c r="F1859" s="5"/>
      <c r="G1859" s="228"/>
      <c r="H1859" s="5"/>
      <c r="I1859" s="5"/>
      <c r="J1859" s="10"/>
      <c r="K1859" s="10"/>
      <c r="L1859" s="10"/>
      <c r="M1859" s="10"/>
      <c r="N1859" s="10"/>
      <c r="O1859" s="10"/>
      <c r="P1859" s="236"/>
      <c r="Q1859" s="10"/>
      <c r="R1859" s="236"/>
      <c r="S1859" s="10"/>
      <c r="T1859" s="10"/>
      <c r="U1859" s="10"/>
      <c r="V1859" s="236"/>
      <c r="W1859" s="236"/>
      <c r="X1859" s="10"/>
      <c r="Y1859" s="236"/>
      <c r="Z1859" s="10"/>
      <c r="AA1859" s="10"/>
      <c r="AB1859" s="10"/>
      <c r="AC1859" s="236"/>
      <c r="AD1859" s="10"/>
      <c r="AE1859" s="10"/>
      <c r="AF1859" s="10"/>
      <c r="AG1859" s="236"/>
      <c r="AH1859" s="10"/>
      <c r="AI1859" s="10"/>
      <c r="AJ1859" s="10"/>
      <c r="AK1859" s="10"/>
      <c r="AL1859" s="10"/>
      <c r="AM1859" s="236"/>
      <c r="AN1859" s="10"/>
      <c r="AO1859" s="236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236"/>
      <c r="AZ1859" s="10"/>
      <c r="BA1859" s="10"/>
      <c r="BB1859" s="10"/>
      <c r="BC1859" s="10"/>
      <c r="BD1859" s="10"/>
      <c r="BE1859" s="236"/>
      <c r="BF1859" s="10"/>
      <c r="BG1859" s="10"/>
      <c r="BH1859" s="10"/>
      <c r="BI1859" s="236"/>
      <c r="BJ1859" s="10"/>
      <c r="BK1859" s="10"/>
      <c r="BL1859" s="10"/>
      <c r="BM1859" s="10"/>
      <c r="BN1859" s="10"/>
      <c r="BO1859" s="10"/>
      <c r="BP1859" s="8"/>
      <c r="BQ1859" s="10"/>
      <c r="BR1859" s="11"/>
      <c r="BS1859" s="12"/>
      <c r="BT1859" s="13"/>
      <c r="BU1859" s="8"/>
    </row>
    <row r="1860" s="1" customFormat="1" customHeight="1" spans="1:73">
      <c r="A1860" s="5"/>
      <c r="B1860" s="6"/>
      <c r="C1860" s="6"/>
      <c r="D1860" s="5"/>
      <c r="E1860" s="5"/>
      <c r="F1860" s="5"/>
      <c r="G1860" s="228"/>
      <c r="H1860" s="5"/>
      <c r="I1860" s="5"/>
      <c r="J1860" s="10"/>
      <c r="K1860" s="10"/>
      <c r="L1860" s="10"/>
      <c r="M1860" s="10"/>
      <c r="N1860" s="10"/>
      <c r="O1860" s="10"/>
      <c r="P1860" s="236"/>
      <c r="Q1860" s="10"/>
      <c r="R1860" s="236"/>
      <c r="S1860" s="10"/>
      <c r="T1860" s="10"/>
      <c r="U1860" s="10"/>
      <c r="V1860" s="236"/>
      <c r="W1860" s="236"/>
      <c r="X1860" s="10"/>
      <c r="Y1860" s="236"/>
      <c r="Z1860" s="10"/>
      <c r="AA1860" s="10"/>
      <c r="AB1860" s="10"/>
      <c r="AC1860" s="236"/>
      <c r="AD1860" s="10"/>
      <c r="AE1860" s="10"/>
      <c r="AF1860" s="10"/>
      <c r="AG1860" s="236"/>
      <c r="AH1860" s="10"/>
      <c r="AI1860" s="10"/>
      <c r="AJ1860" s="10"/>
      <c r="AK1860" s="10"/>
      <c r="AL1860" s="10"/>
      <c r="AM1860" s="236"/>
      <c r="AN1860" s="10"/>
      <c r="AO1860" s="236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236"/>
      <c r="AZ1860" s="10"/>
      <c r="BA1860" s="10"/>
      <c r="BB1860" s="10"/>
      <c r="BC1860" s="10"/>
      <c r="BD1860" s="10"/>
      <c r="BE1860" s="236"/>
      <c r="BF1860" s="10"/>
      <c r="BG1860" s="10"/>
      <c r="BH1860" s="10"/>
      <c r="BI1860" s="236"/>
      <c r="BJ1860" s="10"/>
      <c r="BK1860" s="10"/>
      <c r="BL1860" s="10"/>
      <c r="BM1860" s="10"/>
      <c r="BN1860" s="10"/>
      <c r="BO1860" s="10"/>
      <c r="BP1860" s="8"/>
      <c r="BQ1860" s="10"/>
      <c r="BR1860" s="11"/>
      <c r="BS1860" s="12"/>
      <c r="BT1860" s="13"/>
      <c r="BU1860" s="8"/>
    </row>
    <row r="1861" s="1" customFormat="1" customHeight="1" spans="1:73">
      <c r="A1861" s="5"/>
      <c r="B1861" s="6"/>
      <c r="C1861" s="6"/>
      <c r="D1861" s="5"/>
      <c r="E1861" s="5"/>
      <c r="F1861" s="5"/>
      <c r="G1861" s="228"/>
      <c r="H1861" s="5"/>
      <c r="I1861" s="5"/>
      <c r="J1861" s="10"/>
      <c r="K1861" s="10"/>
      <c r="L1861" s="10"/>
      <c r="M1861" s="10"/>
      <c r="N1861" s="10"/>
      <c r="O1861" s="10"/>
      <c r="P1861" s="236"/>
      <c r="Q1861" s="10"/>
      <c r="R1861" s="236"/>
      <c r="S1861" s="10"/>
      <c r="T1861" s="10"/>
      <c r="U1861" s="10"/>
      <c r="V1861" s="236"/>
      <c r="W1861" s="236"/>
      <c r="X1861" s="10"/>
      <c r="Y1861" s="236"/>
      <c r="Z1861" s="10"/>
      <c r="AA1861" s="10"/>
      <c r="AB1861" s="10"/>
      <c r="AC1861" s="236"/>
      <c r="AD1861" s="10"/>
      <c r="AE1861" s="10"/>
      <c r="AF1861" s="10"/>
      <c r="AG1861" s="236"/>
      <c r="AH1861" s="10"/>
      <c r="AI1861" s="10"/>
      <c r="AJ1861" s="10"/>
      <c r="AK1861" s="10"/>
      <c r="AL1861" s="10"/>
      <c r="AM1861" s="236"/>
      <c r="AN1861" s="10"/>
      <c r="AO1861" s="236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236"/>
      <c r="AZ1861" s="10"/>
      <c r="BA1861" s="10"/>
      <c r="BB1861" s="10"/>
      <c r="BC1861" s="10"/>
      <c r="BD1861" s="10"/>
      <c r="BE1861" s="236"/>
      <c r="BF1861" s="10"/>
      <c r="BG1861" s="10"/>
      <c r="BH1861" s="10"/>
      <c r="BI1861" s="236"/>
      <c r="BJ1861" s="10"/>
      <c r="BK1861" s="10"/>
      <c r="BL1861" s="10"/>
      <c r="BM1861" s="10"/>
      <c r="BN1861" s="10"/>
      <c r="BO1861" s="10"/>
      <c r="BP1861" s="8"/>
      <c r="BQ1861" s="10"/>
      <c r="BR1861" s="11"/>
      <c r="BS1861" s="12"/>
      <c r="BT1861" s="13"/>
      <c r="BU1861" s="8"/>
    </row>
    <row r="1862" s="1" customFormat="1" customHeight="1" spans="1:73">
      <c r="A1862" s="5"/>
      <c r="B1862" s="6"/>
      <c r="C1862" s="6"/>
      <c r="D1862" s="5"/>
      <c r="E1862" s="5"/>
      <c r="F1862" s="5"/>
      <c r="G1862" s="228"/>
      <c r="H1862" s="5"/>
      <c r="I1862" s="5"/>
      <c r="J1862" s="10"/>
      <c r="K1862" s="10"/>
      <c r="L1862" s="10"/>
      <c r="M1862" s="10"/>
      <c r="N1862" s="10"/>
      <c r="O1862" s="10"/>
      <c r="P1862" s="236"/>
      <c r="Q1862" s="10"/>
      <c r="R1862" s="236"/>
      <c r="S1862" s="10"/>
      <c r="T1862" s="10"/>
      <c r="U1862" s="10"/>
      <c r="V1862" s="236"/>
      <c r="W1862" s="236"/>
      <c r="X1862" s="10"/>
      <c r="Y1862" s="236"/>
      <c r="Z1862" s="10"/>
      <c r="AA1862" s="10"/>
      <c r="AB1862" s="10"/>
      <c r="AC1862" s="236"/>
      <c r="AD1862" s="10"/>
      <c r="AE1862" s="10"/>
      <c r="AF1862" s="10"/>
      <c r="AG1862" s="236"/>
      <c r="AH1862" s="10"/>
      <c r="AI1862" s="10"/>
      <c r="AJ1862" s="10"/>
      <c r="AK1862" s="10"/>
      <c r="AL1862" s="10"/>
      <c r="AM1862" s="236"/>
      <c r="AN1862" s="10"/>
      <c r="AO1862" s="236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236"/>
      <c r="AZ1862" s="10"/>
      <c r="BA1862" s="10"/>
      <c r="BB1862" s="10"/>
      <c r="BC1862" s="10"/>
      <c r="BD1862" s="10"/>
      <c r="BE1862" s="236"/>
      <c r="BF1862" s="10"/>
      <c r="BG1862" s="10"/>
      <c r="BH1862" s="10"/>
      <c r="BI1862" s="236"/>
      <c r="BJ1862" s="10"/>
      <c r="BK1862" s="10"/>
      <c r="BL1862" s="10"/>
      <c r="BM1862" s="10"/>
      <c r="BN1862" s="10"/>
      <c r="BO1862" s="10"/>
      <c r="BP1862" s="8"/>
      <c r="BQ1862" s="10"/>
      <c r="BR1862" s="11"/>
      <c r="BS1862" s="12"/>
      <c r="BT1862" s="13"/>
      <c r="BU1862" s="8"/>
    </row>
    <row r="1863" s="1" customFormat="1" customHeight="1" spans="1:73">
      <c r="A1863" s="5"/>
      <c r="B1863" s="6"/>
      <c r="C1863" s="6"/>
      <c r="D1863" s="5"/>
      <c r="E1863" s="5"/>
      <c r="F1863" s="5"/>
      <c r="G1863" s="228"/>
      <c r="H1863" s="5"/>
      <c r="I1863" s="5"/>
      <c r="J1863" s="10"/>
      <c r="K1863" s="10"/>
      <c r="L1863" s="10"/>
      <c r="M1863" s="10"/>
      <c r="N1863" s="10"/>
      <c r="O1863" s="10"/>
      <c r="P1863" s="236"/>
      <c r="Q1863" s="10"/>
      <c r="R1863" s="236"/>
      <c r="S1863" s="10"/>
      <c r="T1863" s="10"/>
      <c r="U1863" s="10"/>
      <c r="V1863" s="236"/>
      <c r="W1863" s="236"/>
      <c r="X1863" s="10"/>
      <c r="Y1863" s="236"/>
      <c r="Z1863" s="10"/>
      <c r="AA1863" s="10"/>
      <c r="AB1863" s="10"/>
      <c r="AC1863" s="236"/>
      <c r="AD1863" s="10"/>
      <c r="AE1863" s="10"/>
      <c r="AF1863" s="10"/>
      <c r="AG1863" s="236"/>
      <c r="AH1863" s="10"/>
      <c r="AI1863" s="10"/>
      <c r="AJ1863" s="10"/>
      <c r="AK1863" s="10"/>
      <c r="AL1863" s="10"/>
      <c r="AM1863" s="236"/>
      <c r="AN1863" s="10"/>
      <c r="AO1863" s="236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236"/>
      <c r="AZ1863" s="10"/>
      <c r="BA1863" s="10"/>
      <c r="BB1863" s="10"/>
      <c r="BC1863" s="10"/>
      <c r="BD1863" s="10"/>
      <c r="BE1863" s="236"/>
      <c r="BF1863" s="10"/>
      <c r="BG1863" s="10"/>
      <c r="BH1863" s="10"/>
      <c r="BI1863" s="236"/>
      <c r="BJ1863" s="10"/>
      <c r="BK1863" s="10"/>
      <c r="BL1863" s="10"/>
      <c r="BM1863" s="10"/>
      <c r="BN1863" s="10"/>
      <c r="BO1863" s="10"/>
      <c r="BP1863" s="8"/>
      <c r="BQ1863" s="10"/>
      <c r="BR1863" s="11"/>
      <c r="BS1863" s="12"/>
      <c r="BT1863" s="13"/>
      <c r="BU1863" s="8"/>
    </row>
    <row r="1864" s="1" customFormat="1" customHeight="1" spans="1:73">
      <c r="A1864" s="5"/>
      <c r="B1864" s="6"/>
      <c r="C1864" s="6"/>
      <c r="D1864" s="5"/>
      <c r="E1864" s="5"/>
      <c r="F1864" s="5"/>
      <c r="G1864" s="228"/>
      <c r="H1864" s="5"/>
      <c r="I1864" s="5"/>
      <c r="J1864" s="10"/>
      <c r="K1864" s="10"/>
      <c r="L1864" s="10"/>
      <c r="M1864" s="10"/>
      <c r="N1864" s="10"/>
      <c r="O1864" s="10"/>
      <c r="P1864" s="236"/>
      <c r="Q1864" s="10"/>
      <c r="R1864" s="236"/>
      <c r="S1864" s="10"/>
      <c r="T1864" s="10"/>
      <c r="U1864" s="10"/>
      <c r="V1864" s="236"/>
      <c r="W1864" s="236"/>
      <c r="X1864" s="10"/>
      <c r="Y1864" s="236"/>
      <c r="Z1864" s="10"/>
      <c r="AA1864" s="10"/>
      <c r="AB1864" s="10"/>
      <c r="AC1864" s="236"/>
      <c r="AD1864" s="10"/>
      <c r="AE1864" s="10"/>
      <c r="AF1864" s="10"/>
      <c r="AG1864" s="236"/>
      <c r="AH1864" s="10"/>
      <c r="AI1864" s="10"/>
      <c r="AJ1864" s="10"/>
      <c r="AK1864" s="10"/>
      <c r="AL1864" s="10"/>
      <c r="AM1864" s="236"/>
      <c r="AN1864" s="10"/>
      <c r="AO1864" s="236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236"/>
      <c r="AZ1864" s="10"/>
      <c r="BA1864" s="10"/>
      <c r="BB1864" s="10"/>
      <c r="BC1864" s="10"/>
      <c r="BD1864" s="10"/>
      <c r="BE1864" s="236"/>
      <c r="BF1864" s="10"/>
      <c r="BG1864" s="10"/>
      <c r="BH1864" s="10"/>
      <c r="BI1864" s="236"/>
      <c r="BJ1864" s="10"/>
      <c r="BK1864" s="10"/>
      <c r="BL1864" s="10"/>
      <c r="BM1864" s="10"/>
      <c r="BN1864" s="10"/>
      <c r="BO1864" s="10"/>
      <c r="BP1864" s="8"/>
      <c r="BQ1864" s="10"/>
      <c r="BR1864" s="11"/>
      <c r="BS1864" s="12"/>
      <c r="BT1864" s="13"/>
      <c r="BU1864" s="8"/>
    </row>
    <row r="1865" s="1" customFormat="1" customHeight="1" spans="1:73">
      <c r="A1865" s="5"/>
      <c r="B1865" s="6"/>
      <c r="C1865" s="6"/>
      <c r="D1865" s="5"/>
      <c r="E1865" s="5"/>
      <c r="F1865" s="5"/>
      <c r="G1865" s="228"/>
      <c r="H1865" s="5"/>
      <c r="I1865" s="5"/>
      <c r="J1865" s="10"/>
      <c r="K1865" s="10"/>
      <c r="L1865" s="10"/>
      <c r="M1865" s="10"/>
      <c r="N1865" s="10"/>
      <c r="O1865" s="10"/>
      <c r="P1865" s="236"/>
      <c r="Q1865" s="10"/>
      <c r="R1865" s="236"/>
      <c r="S1865" s="10"/>
      <c r="T1865" s="10"/>
      <c r="U1865" s="10"/>
      <c r="V1865" s="236"/>
      <c r="W1865" s="236"/>
      <c r="X1865" s="10"/>
      <c r="Y1865" s="236"/>
      <c r="Z1865" s="10"/>
      <c r="AA1865" s="10"/>
      <c r="AB1865" s="10"/>
      <c r="AC1865" s="236"/>
      <c r="AD1865" s="10"/>
      <c r="AE1865" s="10"/>
      <c r="AF1865" s="10"/>
      <c r="AG1865" s="236"/>
      <c r="AH1865" s="10"/>
      <c r="AI1865" s="10"/>
      <c r="AJ1865" s="10"/>
      <c r="AK1865" s="10"/>
      <c r="AL1865" s="10"/>
      <c r="AM1865" s="236"/>
      <c r="AN1865" s="10"/>
      <c r="AO1865" s="236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236"/>
      <c r="AZ1865" s="10"/>
      <c r="BA1865" s="10"/>
      <c r="BB1865" s="10"/>
      <c r="BC1865" s="10"/>
      <c r="BD1865" s="10"/>
      <c r="BE1865" s="236"/>
      <c r="BF1865" s="10"/>
      <c r="BG1865" s="10"/>
      <c r="BH1865" s="10"/>
      <c r="BI1865" s="236"/>
      <c r="BJ1865" s="10"/>
      <c r="BK1865" s="10"/>
      <c r="BL1865" s="10"/>
      <c r="BM1865" s="10"/>
      <c r="BN1865" s="10"/>
      <c r="BO1865" s="10"/>
      <c r="BP1865" s="8"/>
      <c r="BQ1865" s="10"/>
      <c r="BR1865" s="11"/>
      <c r="BS1865" s="12"/>
      <c r="BT1865" s="13"/>
      <c r="BU1865" s="8"/>
    </row>
    <row r="1866" s="1" customFormat="1" customHeight="1" spans="1:73">
      <c r="A1866" s="5"/>
      <c r="B1866" s="6"/>
      <c r="C1866" s="6"/>
      <c r="D1866" s="5"/>
      <c r="E1866" s="5"/>
      <c r="F1866" s="5"/>
      <c r="G1866" s="228"/>
      <c r="H1866" s="5"/>
      <c r="I1866" s="5"/>
      <c r="J1866" s="10"/>
      <c r="K1866" s="10"/>
      <c r="L1866" s="10"/>
      <c r="M1866" s="10"/>
      <c r="N1866" s="10"/>
      <c r="O1866" s="10"/>
      <c r="P1866" s="236"/>
      <c r="Q1866" s="10"/>
      <c r="R1866" s="236"/>
      <c r="S1866" s="10"/>
      <c r="T1866" s="10"/>
      <c r="U1866" s="10"/>
      <c r="V1866" s="236"/>
      <c r="W1866" s="236"/>
      <c r="X1866" s="10"/>
      <c r="Y1866" s="236"/>
      <c r="Z1866" s="10"/>
      <c r="AA1866" s="10"/>
      <c r="AB1866" s="10"/>
      <c r="AC1866" s="236"/>
      <c r="AD1866" s="10"/>
      <c r="AE1866" s="10"/>
      <c r="AF1866" s="10"/>
      <c r="AG1866" s="236"/>
      <c r="AH1866" s="10"/>
      <c r="AI1866" s="10"/>
      <c r="AJ1866" s="10"/>
      <c r="AK1866" s="10"/>
      <c r="AL1866" s="10"/>
      <c r="AM1866" s="236"/>
      <c r="AN1866" s="10"/>
      <c r="AO1866" s="236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236"/>
      <c r="AZ1866" s="10"/>
      <c r="BA1866" s="10"/>
      <c r="BB1866" s="10"/>
      <c r="BC1866" s="10"/>
      <c r="BD1866" s="10"/>
      <c r="BE1866" s="236"/>
      <c r="BF1866" s="10"/>
      <c r="BG1866" s="10"/>
      <c r="BH1866" s="10"/>
      <c r="BI1866" s="236"/>
      <c r="BJ1866" s="10"/>
      <c r="BK1866" s="10"/>
      <c r="BL1866" s="10"/>
      <c r="BM1866" s="10"/>
      <c r="BN1866" s="10"/>
      <c r="BO1866" s="10"/>
      <c r="BP1866" s="8"/>
      <c r="BQ1866" s="10"/>
      <c r="BR1866" s="11"/>
      <c r="BS1866" s="12"/>
      <c r="BT1866" s="13"/>
      <c r="BU1866" s="8"/>
    </row>
    <row r="1867" s="1" customFormat="1" customHeight="1" spans="1:73">
      <c r="A1867" s="5"/>
      <c r="B1867" s="6"/>
      <c r="C1867" s="6"/>
      <c r="D1867" s="5"/>
      <c r="E1867" s="5"/>
      <c r="F1867" s="5"/>
      <c r="G1867" s="228"/>
      <c r="H1867" s="5"/>
      <c r="I1867" s="5"/>
      <c r="J1867" s="10"/>
      <c r="K1867" s="10"/>
      <c r="L1867" s="10"/>
      <c r="M1867" s="10"/>
      <c r="N1867" s="10"/>
      <c r="O1867" s="10"/>
      <c r="P1867" s="236"/>
      <c r="Q1867" s="10"/>
      <c r="R1867" s="236"/>
      <c r="S1867" s="10"/>
      <c r="T1867" s="10"/>
      <c r="U1867" s="10"/>
      <c r="V1867" s="236"/>
      <c r="W1867" s="236"/>
      <c r="X1867" s="10"/>
      <c r="Y1867" s="236"/>
      <c r="Z1867" s="10"/>
      <c r="AA1867" s="10"/>
      <c r="AB1867" s="10"/>
      <c r="AC1867" s="236"/>
      <c r="AD1867" s="10"/>
      <c r="AE1867" s="10"/>
      <c r="AF1867" s="10"/>
      <c r="AG1867" s="236"/>
      <c r="AH1867" s="10"/>
      <c r="AI1867" s="10"/>
      <c r="AJ1867" s="10"/>
      <c r="AK1867" s="10"/>
      <c r="AL1867" s="10"/>
      <c r="AM1867" s="236"/>
      <c r="AN1867" s="10"/>
      <c r="AO1867" s="236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236"/>
      <c r="AZ1867" s="10"/>
      <c r="BA1867" s="10"/>
      <c r="BB1867" s="10"/>
      <c r="BC1867" s="10"/>
      <c r="BD1867" s="10"/>
      <c r="BE1867" s="236"/>
      <c r="BF1867" s="10"/>
      <c r="BG1867" s="10"/>
      <c r="BH1867" s="10"/>
      <c r="BI1867" s="236"/>
      <c r="BJ1867" s="10"/>
      <c r="BK1867" s="10"/>
      <c r="BL1867" s="10"/>
      <c r="BM1867" s="10"/>
      <c r="BN1867" s="10"/>
      <c r="BO1867" s="10"/>
      <c r="BP1867" s="8"/>
      <c r="BQ1867" s="10"/>
      <c r="BR1867" s="11"/>
      <c r="BS1867" s="12"/>
      <c r="BT1867" s="13"/>
      <c r="BU1867" s="8"/>
    </row>
    <row r="1868" s="1" customFormat="1" customHeight="1" spans="1:73">
      <c r="A1868" s="5"/>
      <c r="B1868" s="6"/>
      <c r="C1868" s="6"/>
      <c r="D1868" s="5"/>
      <c r="E1868" s="5"/>
      <c r="F1868" s="5"/>
      <c r="G1868" s="228"/>
      <c r="H1868" s="5"/>
      <c r="I1868" s="5"/>
      <c r="J1868" s="10"/>
      <c r="K1868" s="10"/>
      <c r="L1868" s="10"/>
      <c r="M1868" s="10"/>
      <c r="N1868" s="10"/>
      <c r="O1868" s="10"/>
      <c r="P1868" s="236"/>
      <c r="Q1868" s="10"/>
      <c r="R1868" s="236"/>
      <c r="S1868" s="10"/>
      <c r="T1868" s="10"/>
      <c r="U1868" s="10"/>
      <c r="V1868" s="236"/>
      <c r="W1868" s="236"/>
      <c r="X1868" s="10"/>
      <c r="Y1868" s="236"/>
      <c r="Z1868" s="10"/>
      <c r="AA1868" s="10"/>
      <c r="AB1868" s="10"/>
      <c r="AC1868" s="236"/>
      <c r="AD1868" s="10"/>
      <c r="AE1868" s="10"/>
      <c r="AF1868" s="10"/>
      <c r="AG1868" s="236"/>
      <c r="AH1868" s="10"/>
      <c r="AI1868" s="10"/>
      <c r="AJ1868" s="10"/>
      <c r="AK1868" s="10"/>
      <c r="AL1868" s="10"/>
      <c r="AM1868" s="236"/>
      <c r="AN1868" s="10"/>
      <c r="AO1868" s="236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236"/>
      <c r="AZ1868" s="10"/>
      <c r="BA1868" s="10"/>
      <c r="BB1868" s="10"/>
      <c r="BC1868" s="10"/>
      <c r="BD1868" s="10"/>
      <c r="BE1868" s="236"/>
      <c r="BF1868" s="10"/>
      <c r="BG1868" s="10"/>
      <c r="BH1868" s="10"/>
      <c r="BI1868" s="236"/>
      <c r="BJ1868" s="10"/>
      <c r="BK1868" s="10"/>
      <c r="BL1868" s="10"/>
      <c r="BM1868" s="10"/>
      <c r="BN1868" s="10"/>
      <c r="BO1868" s="10"/>
      <c r="BP1868" s="8"/>
      <c r="BQ1868" s="10"/>
      <c r="BR1868" s="11"/>
      <c r="BS1868" s="12"/>
      <c r="BT1868" s="13"/>
      <c r="BU1868" s="8"/>
    </row>
    <row r="1869" s="1" customFormat="1" customHeight="1" spans="1:73">
      <c r="A1869" s="5"/>
      <c r="B1869" s="6"/>
      <c r="C1869" s="6"/>
      <c r="D1869" s="5"/>
      <c r="E1869" s="5"/>
      <c r="F1869" s="5"/>
      <c r="G1869" s="228"/>
      <c r="H1869" s="5"/>
      <c r="I1869" s="5"/>
      <c r="J1869" s="10"/>
      <c r="K1869" s="10"/>
      <c r="L1869" s="10"/>
      <c r="M1869" s="10"/>
      <c r="N1869" s="10"/>
      <c r="O1869" s="10"/>
      <c r="P1869" s="236"/>
      <c r="Q1869" s="10"/>
      <c r="R1869" s="236"/>
      <c r="S1869" s="10"/>
      <c r="T1869" s="10"/>
      <c r="U1869" s="10"/>
      <c r="V1869" s="236"/>
      <c r="W1869" s="236"/>
      <c r="X1869" s="10"/>
      <c r="Y1869" s="236"/>
      <c r="Z1869" s="10"/>
      <c r="AA1869" s="10"/>
      <c r="AB1869" s="10"/>
      <c r="AC1869" s="236"/>
      <c r="AD1869" s="10"/>
      <c r="AE1869" s="10"/>
      <c r="AF1869" s="10"/>
      <c r="AG1869" s="236"/>
      <c r="AH1869" s="10"/>
      <c r="AI1869" s="10"/>
      <c r="AJ1869" s="10"/>
      <c r="AK1869" s="10"/>
      <c r="AL1869" s="10"/>
      <c r="AM1869" s="236"/>
      <c r="AN1869" s="10"/>
      <c r="AO1869" s="236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236"/>
      <c r="AZ1869" s="10"/>
      <c r="BA1869" s="10"/>
      <c r="BB1869" s="10"/>
      <c r="BC1869" s="10"/>
      <c r="BD1869" s="10"/>
      <c r="BE1869" s="236"/>
      <c r="BF1869" s="10"/>
      <c r="BG1869" s="10"/>
      <c r="BH1869" s="10"/>
      <c r="BI1869" s="236"/>
      <c r="BJ1869" s="10"/>
      <c r="BK1869" s="10"/>
      <c r="BL1869" s="10"/>
      <c r="BM1869" s="10"/>
      <c r="BN1869" s="10"/>
      <c r="BO1869" s="10"/>
      <c r="BP1869" s="8"/>
      <c r="BQ1869" s="10"/>
      <c r="BR1869" s="11"/>
      <c r="BS1869" s="12"/>
      <c r="BT1869" s="13"/>
      <c r="BU1869" s="8"/>
    </row>
    <row r="1870" s="1" customFormat="1" customHeight="1" spans="1:73">
      <c r="A1870" s="5"/>
      <c r="B1870" s="6"/>
      <c r="C1870" s="6"/>
      <c r="D1870" s="5"/>
      <c r="E1870" s="5"/>
      <c r="F1870" s="5"/>
      <c r="G1870" s="228"/>
      <c r="H1870" s="5"/>
      <c r="I1870" s="5"/>
      <c r="J1870" s="10"/>
      <c r="K1870" s="10"/>
      <c r="L1870" s="10"/>
      <c r="M1870" s="10"/>
      <c r="N1870" s="10"/>
      <c r="O1870" s="10"/>
      <c r="P1870" s="236"/>
      <c r="Q1870" s="10"/>
      <c r="R1870" s="236"/>
      <c r="S1870" s="10"/>
      <c r="T1870" s="10"/>
      <c r="U1870" s="10"/>
      <c r="V1870" s="236"/>
      <c r="W1870" s="236"/>
      <c r="X1870" s="10"/>
      <c r="Y1870" s="236"/>
      <c r="Z1870" s="10"/>
      <c r="AA1870" s="10"/>
      <c r="AB1870" s="10"/>
      <c r="AC1870" s="236"/>
      <c r="AD1870" s="10"/>
      <c r="AE1870" s="10"/>
      <c r="AF1870" s="10"/>
      <c r="AG1870" s="236"/>
      <c r="AH1870" s="10"/>
      <c r="AI1870" s="10"/>
      <c r="AJ1870" s="10"/>
      <c r="AK1870" s="10"/>
      <c r="AL1870" s="10"/>
      <c r="AM1870" s="236"/>
      <c r="AN1870" s="10"/>
      <c r="AO1870" s="236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236"/>
      <c r="AZ1870" s="10"/>
      <c r="BA1870" s="10"/>
      <c r="BB1870" s="10"/>
      <c r="BC1870" s="10"/>
      <c r="BD1870" s="10"/>
      <c r="BE1870" s="236"/>
      <c r="BF1870" s="10"/>
      <c r="BG1870" s="10"/>
      <c r="BH1870" s="10"/>
      <c r="BI1870" s="236"/>
      <c r="BJ1870" s="10"/>
      <c r="BK1870" s="10"/>
      <c r="BL1870" s="10"/>
      <c r="BM1870" s="10"/>
      <c r="BN1870" s="10"/>
      <c r="BO1870" s="10"/>
      <c r="BP1870" s="8"/>
      <c r="BQ1870" s="10"/>
      <c r="BR1870" s="11"/>
      <c r="BS1870" s="12"/>
      <c r="BT1870" s="13"/>
      <c r="BU1870" s="8"/>
    </row>
    <row r="1871" s="1" customFormat="1" customHeight="1" spans="1:73">
      <c r="A1871" s="5"/>
      <c r="B1871" s="6"/>
      <c r="C1871" s="6"/>
      <c r="D1871" s="5"/>
      <c r="E1871" s="5"/>
      <c r="F1871" s="5"/>
      <c r="G1871" s="228"/>
      <c r="H1871" s="5"/>
      <c r="I1871" s="5"/>
      <c r="J1871" s="10"/>
      <c r="K1871" s="10"/>
      <c r="L1871" s="10"/>
      <c r="M1871" s="10"/>
      <c r="N1871" s="10"/>
      <c r="O1871" s="10"/>
      <c r="P1871" s="236"/>
      <c r="Q1871" s="10"/>
      <c r="R1871" s="236"/>
      <c r="S1871" s="10"/>
      <c r="T1871" s="10"/>
      <c r="U1871" s="10"/>
      <c r="V1871" s="236"/>
      <c r="W1871" s="236"/>
      <c r="X1871" s="10"/>
      <c r="Y1871" s="236"/>
      <c r="Z1871" s="10"/>
      <c r="AA1871" s="10"/>
      <c r="AB1871" s="10"/>
      <c r="AC1871" s="236"/>
      <c r="AD1871" s="10"/>
      <c r="AE1871" s="10"/>
      <c r="AF1871" s="10"/>
      <c r="AG1871" s="236"/>
      <c r="AH1871" s="10"/>
      <c r="AI1871" s="10"/>
      <c r="AJ1871" s="10"/>
      <c r="AK1871" s="10"/>
      <c r="AL1871" s="10"/>
      <c r="AM1871" s="236"/>
      <c r="AN1871" s="10"/>
      <c r="AO1871" s="236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236"/>
      <c r="AZ1871" s="10"/>
      <c r="BA1871" s="10"/>
      <c r="BB1871" s="10"/>
      <c r="BC1871" s="10"/>
      <c r="BD1871" s="10"/>
      <c r="BE1871" s="236"/>
      <c r="BF1871" s="10"/>
      <c r="BG1871" s="10"/>
      <c r="BH1871" s="10"/>
      <c r="BI1871" s="236"/>
      <c r="BJ1871" s="10"/>
      <c r="BK1871" s="10"/>
      <c r="BL1871" s="10"/>
      <c r="BM1871" s="10"/>
      <c r="BN1871" s="10"/>
      <c r="BO1871" s="10"/>
      <c r="BP1871" s="8"/>
      <c r="BQ1871" s="10"/>
      <c r="BR1871" s="11"/>
      <c r="BS1871" s="12"/>
      <c r="BT1871" s="13"/>
      <c r="BU1871" s="8"/>
    </row>
    <row r="1872" s="1" customFormat="1" customHeight="1" spans="1:73">
      <c r="A1872" s="5"/>
      <c r="B1872" s="6"/>
      <c r="C1872" s="6"/>
      <c r="D1872" s="5"/>
      <c r="E1872" s="5"/>
      <c r="F1872" s="5"/>
      <c r="G1872" s="228"/>
      <c r="H1872" s="5"/>
      <c r="I1872" s="5"/>
      <c r="J1872" s="10"/>
      <c r="K1872" s="10"/>
      <c r="L1872" s="10"/>
      <c r="M1872" s="10"/>
      <c r="N1872" s="10"/>
      <c r="O1872" s="10"/>
      <c r="P1872" s="236"/>
      <c r="Q1872" s="10"/>
      <c r="R1872" s="236"/>
      <c r="S1872" s="10"/>
      <c r="T1872" s="10"/>
      <c r="U1872" s="10"/>
      <c r="V1872" s="236"/>
      <c r="W1872" s="236"/>
      <c r="X1872" s="10"/>
      <c r="Y1872" s="236"/>
      <c r="Z1872" s="10"/>
      <c r="AA1872" s="10"/>
      <c r="AB1872" s="10"/>
      <c r="AC1872" s="236"/>
      <c r="AD1872" s="10"/>
      <c r="AE1872" s="10"/>
      <c r="AF1872" s="10"/>
      <c r="AG1872" s="236"/>
      <c r="AH1872" s="10"/>
      <c r="AI1872" s="10"/>
      <c r="AJ1872" s="10"/>
      <c r="AK1872" s="10"/>
      <c r="AL1872" s="10"/>
      <c r="AM1872" s="236"/>
      <c r="AN1872" s="10"/>
      <c r="AO1872" s="236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236"/>
      <c r="AZ1872" s="10"/>
      <c r="BA1872" s="10"/>
      <c r="BB1872" s="10"/>
      <c r="BC1872" s="10"/>
      <c r="BD1872" s="10"/>
      <c r="BE1872" s="236"/>
      <c r="BF1872" s="10"/>
      <c r="BG1872" s="10"/>
      <c r="BH1872" s="10"/>
      <c r="BI1872" s="236"/>
      <c r="BJ1872" s="10"/>
      <c r="BK1872" s="10"/>
      <c r="BL1872" s="10"/>
      <c r="BM1872" s="10"/>
      <c r="BN1872" s="10"/>
      <c r="BO1872" s="10"/>
      <c r="BP1872" s="8"/>
      <c r="BQ1872" s="10"/>
      <c r="BR1872" s="11"/>
      <c r="BS1872" s="12"/>
      <c r="BT1872" s="13"/>
      <c r="BU1872" s="8"/>
    </row>
    <row r="1873" s="1" customFormat="1" customHeight="1" spans="1:73">
      <c r="A1873" s="5"/>
      <c r="B1873" s="6"/>
      <c r="C1873" s="6"/>
      <c r="D1873" s="5"/>
      <c r="E1873" s="5"/>
      <c r="F1873" s="5"/>
      <c r="G1873" s="228"/>
      <c r="H1873" s="5"/>
      <c r="I1873" s="5"/>
      <c r="J1873" s="10"/>
      <c r="K1873" s="10"/>
      <c r="L1873" s="10"/>
      <c r="M1873" s="10"/>
      <c r="N1873" s="10"/>
      <c r="O1873" s="10"/>
      <c r="P1873" s="236"/>
      <c r="Q1873" s="10"/>
      <c r="R1873" s="236"/>
      <c r="S1873" s="10"/>
      <c r="T1873" s="10"/>
      <c r="U1873" s="10"/>
      <c r="V1873" s="236"/>
      <c r="W1873" s="236"/>
      <c r="X1873" s="10"/>
      <c r="Y1873" s="236"/>
      <c r="Z1873" s="10"/>
      <c r="AA1873" s="10"/>
      <c r="AB1873" s="10"/>
      <c r="AC1873" s="236"/>
      <c r="AD1873" s="10"/>
      <c r="AE1873" s="10"/>
      <c r="AF1873" s="10"/>
      <c r="AG1873" s="236"/>
      <c r="AH1873" s="10"/>
      <c r="AI1873" s="10"/>
      <c r="AJ1873" s="10"/>
      <c r="AK1873" s="10"/>
      <c r="AL1873" s="10"/>
      <c r="AM1873" s="236"/>
      <c r="AN1873" s="10"/>
      <c r="AO1873" s="236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236"/>
      <c r="AZ1873" s="10"/>
      <c r="BA1873" s="10"/>
      <c r="BB1873" s="10"/>
      <c r="BC1873" s="10"/>
      <c r="BD1873" s="10"/>
      <c r="BE1873" s="236"/>
      <c r="BF1873" s="10"/>
      <c r="BG1873" s="10"/>
      <c r="BH1873" s="10"/>
      <c r="BI1873" s="236"/>
      <c r="BJ1873" s="10"/>
      <c r="BK1873" s="10"/>
      <c r="BL1873" s="10"/>
      <c r="BM1873" s="10"/>
      <c r="BN1873" s="10"/>
      <c r="BO1873" s="10"/>
      <c r="BP1873" s="8"/>
      <c r="BQ1873" s="10"/>
      <c r="BR1873" s="11"/>
      <c r="BS1873" s="12"/>
      <c r="BT1873" s="13"/>
      <c r="BU1873" s="8"/>
    </row>
    <row r="1874" s="1" customFormat="1" customHeight="1" spans="1:73">
      <c r="A1874" s="5"/>
      <c r="B1874" s="6"/>
      <c r="C1874" s="6"/>
      <c r="D1874" s="5"/>
      <c r="E1874" s="5"/>
      <c r="F1874" s="5"/>
      <c r="G1874" s="228"/>
      <c r="H1874" s="5"/>
      <c r="I1874" s="5"/>
      <c r="J1874" s="10"/>
      <c r="K1874" s="10"/>
      <c r="L1874" s="10"/>
      <c r="M1874" s="10"/>
      <c r="N1874" s="10"/>
      <c r="O1874" s="10"/>
      <c r="P1874" s="236"/>
      <c r="Q1874" s="10"/>
      <c r="R1874" s="236"/>
      <c r="S1874" s="10"/>
      <c r="T1874" s="10"/>
      <c r="U1874" s="10"/>
      <c r="V1874" s="236"/>
      <c r="W1874" s="236"/>
      <c r="X1874" s="10"/>
      <c r="Y1874" s="236"/>
      <c r="Z1874" s="10"/>
      <c r="AA1874" s="10"/>
      <c r="AB1874" s="10"/>
      <c r="AC1874" s="236"/>
      <c r="AD1874" s="10"/>
      <c r="AE1874" s="10"/>
      <c r="AF1874" s="10"/>
      <c r="AG1874" s="236"/>
      <c r="AH1874" s="10"/>
      <c r="AI1874" s="10"/>
      <c r="AJ1874" s="10"/>
      <c r="AK1874" s="10"/>
      <c r="AL1874" s="10"/>
      <c r="AM1874" s="236"/>
      <c r="AN1874" s="10"/>
      <c r="AO1874" s="236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236"/>
      <c r="AZ1874" s="10"/>
      <c r="BA1874" s="10"/>
      <c r="BB1874" s="10"/>
      <c r="BC1874" s="10"/>
      <c r="BD1874" s="10"/>
      <c r="BE1874" s="236"/>
      <c r="BF1874" s="10"/>
      <c r="BG1874" s="10"/>
      <c r="BH1874" s="10"/>
      <c r="BI1874" s="236"/>
      <c r="BJ1874" s="10"/>
      <c r="BK1874" s="10"/>
      <c r="BL1874" s="10"/>
      <c r="BM1874" s="10"/>
      <c r="BN1874" s="10"/>
      <c r="BO1874" s="10"/>
      <c r="BP1874" s="8"/>
      <c r="BQ1874" s="10"/>
      <c r="BR1874" s="11"/>
      <c r="BS1874" s="12"/>
      <c r="BT1874" s="13"/>
      <c r="BU1874" s="8"/>
    </row>
    <row r="1875" s="1" customFormat="1" customHeight="1" spans="1:73">
      <c r="A1875" s="5"/>
      <c r="B1875" s="6"/>
      <c r="C1875" s="6"/>
      <c r="D1875" s="5"/>
      <c r="E1875" s="5"/>
      <c r="F1875" s="5"/>
      <c r="G1875" s="228"/>
      <c r="H1875" s="5"/>
      <c r="I1875" s="5"/>
      <c r="J1875" s="10"/>
      <c r="K1875" s="10"/>
      <c r="L1875" s="10"/>
      <c r="M1875" s="10"/>
      <c r="N1875" s="10"/>
      <c r="O1875" s="10"/>
      <c r="P1875" s="236"/>
      <c r="Q1875" s="10"/>
      <c r="R1875" s="236"/>
      <c r="S1875" s="10"/>
      <c r="T1875" s="10"/>
      <c r="U1875" s="10"/>
      <c r="V1875" s="236"/>
      <c r="W1875" s="236"/>
      <c r="X1875" s="10"/>
      <c r="Y1875" s="236"/>
      <c r="Z1875" s="10"/>
      <c r="AA1875" s="10"/>
      <c r="AB1875" s="10"/>
      <c r="AC1875" s="236"/>
      <c r="AD1875" s="10"/>
      <c r="AE1875" s="10"/>
      <c r="AF1875" s="10"/>
      <c r="AG1875" s="236"/>
      <c r="AH1875" s="10"/>
      <c r="AI1875" s="10"/>
      <c r="AJ1875" s="10"/>
      <c r="AK1875" s="10"/>
      <c r="AL1875" s="10"/>
      <c r="AM1875" s="236"/>
      <c r="AN1875" s="10"/>
      <c r="AO1875" s="236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236"/>
      <c r="AZ1875" s="10"/>
      <c r="BA1875" s="10"/>
      <c r="BB1875" s="10"/>
      <c r="BC1875" s="10"/>
      <c r="BD1875" s="10"/>
      <c r="BE1875" s="236"/>
      <c r="BF1875" s="10"/>
      <c r="BG1875" s="10"/>
      <c r="BH1875" s="10"/>
      <c r="BI1875" s="236"/>
      <c r="BJ1875" s="10"/>
      <c r="BK1875" s="10"/>
      <c r="BL1875" s="10"/>
      <c r="BM1875" s="10"/>
      <c r="BN1875" s="10"/>
      <c r="BO1875" s="10"/>
      <c r="BP1875" s="8"/>
      <c r="BQ1875" s="10"/>
      <c r="BR1875" s="11"/>
      <c r="BS1875" s="12"/>
      <c r="BT1875" s="13"/>
      <c r="BU1875" s="8"/>
    </row>
    <row r="1876" s="1" customFormat="1" customHeight="1" spans="1:73">
      <c r="A1876" s="5"/>
      <c r="B1876" s="6"/>
      <c r="C1876" s="6"/>
      <c r="D1876" s="5"/>
      <c r="E1876" s="5"/>
      <c r="F1876" s="5"/>
      <c r="G1876" s="228"/>
      <c r="H1876" s="5"/>
      <c r="I1876" s="5"/>
      <c r="J1876" s="10"/>
      <c r="K1876" s="10"/>
      <c r="L1876" s="10"/>
      <c r="M1876" s="10"/>
      <c r="N1876" s="10"/>
      <c r="O1876" s="10"/>
      <c r="P1876" s="236"/>
      <c r="Q1876" s="10"/>
      <c r="R1876" s="236"/>
      <c r="S1876" s="10"/>
      <c r="T1876" s="10"/>
      <c r="U1876" s="10"/>
      <c r="V1876" s="236"/>
      <c r="W1876" s="236"/>
      <c r="X1876" s="10"/>
      <c r="Y1876" s="236"/>
      <c r="Z1876" s="10"/>
      <c r="AA1876" s="10"/>
      <c r="AB1876" s="10"/>
      <c r="AC1876" s="236"/>
      <c r="AD1876" s="10"/>
      <c r="AE1876" s="10"/>
      <c r="AF1876" s="10"/>
      <c r="AG1876" s="236"/>
      <c r="AH1876" s="10"/>
      <c r="AI1876" s="10"/>
      <c r="AJ1876" s="10"/>
      <c r="AK1876" s="10"/>
      <c r="AL1876" s="10"/>
      <c r="AM1876" s="236"/>
      <c r="AN1876" s="10"/>
      <c r="AO1876" s="236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236"/>
      <c r="AZ1876" s="10"/>
      <c r="BA1876" s="10"/>
      <c r="BB1876" s="10"/>
      <c r="BC1876" s="10"/>
      <c r="BD1876" s="10"/>
      <c r="BE1876" s="236"/>
      <c r="BF1876" s="10"/>
      <c r="BG1876" s="10"/>
      <c r="BH1876" s="10"/>
      <c r="BI1876" s="236"/>
      <c r="BJ1876" s="10"/>
      <c r="BK1876" s="10"/>
      <c r="BL1876" s="10"/>
      <c r="BM1876" s="10"/>
      <c r="BN1876" s="10"/>
      <c r="BO1876" s="10"/>
      <c r="BP1876" s="8"/>
      <c r="BQ1876" s="10"/>
      <c r="BR1876" s="11"/>
      <c r="BS1876" s="12"/>
      <c r="BT1876" s="13"/>
      <c r="BU1876" s="8"/>
    </row>
    <row r="1877" s="1" customFormat="1" customHeight="1" spans="1:73">
      <c r="A1877" s="5"/>
      <c r="B1877" s="6"/>
      <c r="C1877" s="6"/>
      <c r="D1877" s="5"/>
      <c r="E1877" s="5"/>
      <c r="F1877" s="5"/>
      <c r="G1877" s="228"/>
      <c r="H1877" s="5"/>
      <c r="I1877" s="5"/>
      <c r="J1877" s="10"/>
      <c r="K1877" s="10"/>
      <c r="L1877" s="10"/>
      <c r="M1877" s="10"/>
      <c r="N1877" s="10"/>
      <c r="O1877" s="10"/>
      <c r="P1877" s="236"/>
      <c r="Q1877" s="10"/>
      <c r="R1877" s="236"/>
      <c r="S1877" s="10"/>
      <c r="T1877" s="10"/>
      <c r="U1877" s="10"/>
      <c r="V1877" s="236"/>
      <c r="W1877" s="236"/>
      <c r="X1877" s="10"/>
      <c r="Y1877" s="236"/>
      <c r="Z1877" s="10"/>
      <c r="AA1877" s="10"/>
      <c r="AB1877" s="10"/>
      <c r="AC1877" s="236"/>
      <c r="AD1877" s="10"/>
      <c r="AE1877" s="10"/>
      <c r="AF1877" s="10"/>
      <c r="AG1877" s="236"/>
      <c r="AH1877" s="10"/>
      <c r="AI1877" s="10"/>
      <c r="AJ1877" s="10"/>
      <c r="AK1877" s="10"/>
      <c r="AL1877" s="10"/>
      <c r="AM1877" s="236"/>
      <c r="AN1877" s="10"/>
      <c r="AO1877" s="236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236"/>
      <c r="AZ1877" s="10"/>
      <c r="BA1877" s="10"/>
      <c r="BB1877" s="10"/>
      <c r="BC1877" s="10"/>
      <c r="BD1877" s="10"/>
      <c r="BE1877" s="236"/>
      <c r="BF1877" s="10"/>
      <c r="BG1877" s="10"/>
      <c r="BH1877" s="10"/>
      <c r="BI1877" s="236"/>
      <c r="BJ1877" s="10"/>
      <c r="BK1877" s="10"/>
      <c r="BL1877" s="10"/>
      <c r="BM1877" s="10"/>
      <c r="BN1877" s="10"/>
      <c r="BO1877" s="10"/>
      <c r="BP1877" s="8"/>
      <c r="BQ1877" s="10"/>
      <c r="BR1877" s="11"/>
      <c r="BS1877" s="12"/>
      <c r="BT1877" s="13"/>
      <c r="BU1877" s="8"/>
    </row>
    <row r="1878" s="1" customFormat="1" customHeight="1" spans="1:73">
      <c r="A1878" s="5"/>
      <c r="B1878" s="6"/>
      <c r="C1878" s="6"/>
      <c r="D1878" s="5"/>
      <c r="E1878" s="5"/>
      <c r="F1878" s="5"/>
      <c r="G1878" s="228"/>
      <c r="H1878" s="5"/>
      <c r="I1878" s="5"/>
      <c r="J1878" s="10"/>
      <c r="K1878" s="10"/>
      <c r="L1878" s="10"/>
      <c r="M1878" s="10"/>
      <c r="N1878" s="10"/>
      <c r="O1878" s="10"/>
      <c r="P1878" s="236"/>
      <c r="Q1878" s="10"/>
      <c r="R1878" s="236"/>
      <c r="S1878" s="10"/>
      <c r="T1878" s="10"/>
      <c r="U1878" s="10"/>
      <c r="V1878" s="236"/>
      <c r="W1878" s="236"/>
      <c r="X1878" s="10"/>
      <c r="Y1878" s="236"/>
      <c r="Z1878" s="10"/>
      <c r="AA1878" s="10"/>
      <c r="AB1878" s="10"/>
      <c r="AC1878" s="236"/>
      <c r="AD1878" s="10"/>
      <c r="AE1878" s="10"/>
      <c r="AF1878" s="10"/>
      <c r="AG1878" s="236"/>
      <c r="AH1878" s="10"/>
      <c r="AI1878" s="10"/>
      <c r="AJ1878" s="10"/>
      <c r="AK1878" s="10"/>
      <c r="AL1878" s="10"/>
      <c r="AM1878" s="236"/>
      <c r="AN1878" s="10"/>
      <c r="AO1878" s="236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236"/>
      <c r="AZ1878" s="10"/>
      <c r="BA1878" s="10"/>
      <c r="BB1878" s="10"/>
      <c r="BC1878" s="10"/>
      <c r="BD1878" s="10"/>
      <c r="BE1878" s="236"/>
      <c r="BF1878" s="10"/>
      <c r="BG1878" s="10"/>
      <c r="BH1878" s="10"/>
      <c r="BI1878" s="236"/>
      <c r="BJ1878" s="10"/>
      <c r="BK1878" s="10"/>
      <c r="BL1878" s="10"/>
      <c r="BM1878" s="10"/>
      <c r="BN1878" s="10"/>
      <c r="BO1878" s="10"/>
      <c r="BP1878" s="8"/>
      <c r="BQ1878" s="10"/>
      <c r="BR1878" s="11"/>
      <c r="BS1878" s="12"/>
      <c r="BT1878" s="13"/>
      <c r="BU1878" s="8"/>
    </row>
    <row r="1879" s="1" customFormat="1" customHeight="1" spans="1:73">
      <c r="A1879" s="5"/>
      <c r="B1879" s="6"/>
      <c r="C1879" s="6"/>
      <c r="D1879" s="5"/>
      <c r="E1879" s="5"/>
      <c r="F1879" s="5"/>
      <c r="G1879" s="228"/>
      <c r="H1879" s="5"/>
      <c r="I1879" s="5"/>
      <c r="J1879" s="10"/>
      <c r="K1879" s="10"/>
      <c r="L1879" s="10"/>
      <c r="M1879" s="10"/>
      <c r="N1879" s="10"/>
      <c r="O1879" s="10"/>
      <c r="P1879" s="236"/>
      <c r="Q1879" s="10"/>
      <c r="R1879" s="236"/>
      <c r="S1879" s="10"/>
      <c r="T1879" s="10"/>
      <c r="U1879" s="10"/>
      <c r="V1879" s="236"/>
      <c r="W1879" s="236"/>
      <c r="X1879" s="10"/>
      <c r="Y1879" s="236"/>
      <c r="Z1879" s="10"/>
      <c r="AA1879" s="10"/>
      <c r="AB1879" s="10"/>
      <c r="AC1879" s="236"/>
      <c r="AD1879" s="10"/>
      <c r="AE1879" s="10"/>
      <c r="AF1879" s="10"/>
      <c r="AG1879" s="236"/>
      <c r="AH1879" s="10"/>
      <c r="AI1879" s="10"/>
      <c r="AJ1879" s="10"/>
      <c r="AK1879" s="10"/>
      <c r="AL1879" s="10"/>
      <c r="AM1879" s="236"/>
      <c r="AN1879" s="10"/>
      <c r="AO1879" s="236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236"/>
      <c r="AZ1879" s="10"/>
      <c r="BA1879" s="10"/>
      <c r="BB1879" s="10"/>
      <c r="BC1879" s="10"/>
      <c r="BD1879" s="10"/>
      <c r="BE1879" s="236"/>
      <c r="BF1879" s="10"/>
      <c r="BG1879" s="10"/>
      <c r="BH1879" s="10"/>
      <c r="BI1879" s="236"/>
      <c r="BJ1879" s="10"/>
      <c r="BK1879" s="10"/>
      <c r="BL1879" s="10"/>
      <c r="BM1879" s="10"/>
      <c r="BN1879" s="10"/>
      <c r="BO1879" s="10"/>
      <c r="BP1879" s="8"/>
      <c r="BQ1879" s="10"/>
      <c r="BR1879" s="11"/>
      <c r="BS1879" s="12"/>
      <c r="BT1879" s="13"/>
      <c r="BU1879" s="8"/>
    </row>
    <row r="1880" s="1" customFormat="1" customHeight="1" spans="1:73">
      <c r="A1880" s="5"/>
      <c r="B1880" s="6"/>
      <c r="C1880" s="6"/>
      <c r="D1880" s="5"/>
      <c r="E1880" s="5"/>
      <c r="F1880" s="5"/>
      <c r="G1880" s="228"/>
      <c r="H1880" s="5"/>
      <c r="I1880" s="5"/>
      <c r="J1880" s="10"/>
      <c r="K1880" s="10"/>
      <c r="L1880" s="10"/>
      <c r="M1880" s="10"/>
      <c r="N1880" s="10"/>
      <c r="O1880" s="10"/>
      <c r="P1880" s="236"/>
      <c r="Q1880" s="10"/>
      <c r="R1880" s="236"/>
      <c r="S1880" s="10"/>
      <c r="T1880" s="10"/>
      <c r="U1880" s="10"/>
      <c r="V1880" s="236"/>
      <c r="W1880" s="236"/>
      <c r="X1880" s="10"/>
      <c r="Y1880" s="236"/>
      <c r="Z1880" s="10"/>
      <c r="AA1880" s="10"/>
      <c r="AB1880" s="10"/>
      <c r="AC1880" s="236"/>
      <c r="AD1880" s="10"/>
      <c r="AE1880" s="10"/>
      <c r="AF1880" s="10"/>
      <c r="AG1880" s="236"/>
      <c r="AH1880" s="10"/>
      <c r="AI1880" s="10"/>
      <c r="AJ1880" s="10"/>
      <c r="AK1880" s="10"/>
      <c r="AL1880" s="10"/>
      <c r="AM1880" s="236"/>
      <c r="AN1880" s="10"/>
      <c r="AO1880" s="236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236"/>
      <c r="AZ1880" s="10"/>
      <c r="BA1880" s="10"/>
      <c r="BB1880" s="10"/>
      <c r="BC1880" s="10"/>
      <c r="BD1880" s="10"/>
      <c r="BE1880" s="236"/>
      <c r="BF1880" s="10"/>
      <c r="BG1880" s="10"/>
      <c r="BH1880" s="10"/>
      <c r="BI1880" s="236"/>
      <c r="BJ1880" s="10"/>
      <c r="BK1880" s="10"/>
      <c r="BL1880" s="10"/>
      <c r="BM1880" s="10"/>
      <c r="BN1880" s="10"/>
      <c r="BO1880" s="10"/>
      <c r="BP1880" s="8"/>
      <c r="BQ1880" s="10"/>
      <c r="BR1880" s="11"/>
      <c r="BS1880" s="12"/>
      <c r="BT1880" s="13"/>
      <c r="BU1880" s="8"/>
    </row>
    <row r="1881" s="1" customFormat="1" customHeight="1" spans="1:73">
      <c r="A1881" s="5"/>
      <c r="B1881" s="6"/>
      <c r="C1881" s="6"/>
      <c r="D1881" s="5"/>
      <c r="E1881" s="5"/>
      <c r="F1881" s="5"/>
      <c r="G1881" s="228"/>
      <c r="H1881" s="5"/>
      <c r="I1881" s="5"/>
      <c r="J1881" s="10"/>
      <c r="K1881" s="10"/>
      <c r="L1881" s="10"/>
      <c r="M1881" s="10"/>
      <c r="N1881" s="10"/>
      <c r="O1881" s="10"/>
      <c r="P1881" s="236"/>
      <c r="Q1881" s="10"/>
      <c r="R1881" s="236"/>
      <c r="S1881" s="10"/>
      <c r="T1881" s="10"/>
      <c r="U1881" s="10"/>
      <c r="V1881" s="236"/>
      <c r="W1881" s="236"/>
      <c r="X1881" s="10"/>
      <c r="Y1881" s="236"/>
      <c r="Z1881" s="10"/>
      <c r="AA1881" s="10"/>
      <c r="AB1881" s="10"/>
      <c r="AC1881" s="236"/>
      <c r="AD1881" s="10"/>
      <c r="AE1881" s="10"/>
      <c r="AF1881" s="10"/>
      <c r="AG1881" s="236"/>
      <c r="AH1881" s="10"/>
      <c r="AI1881" s="10"/>
      <c r="AJ1881" s="10"/>
      <c r="AK1881" s="10"/>
      <c r="AL1881" s="10"/>
      <c r="AM1881" s="236"/>
      <c r="AN1881" s="10"/>
      <c r="AO1881" s="236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236"/>
      <c r="AZ1881" s="10"/>
      <c r="BA1881" s="10"/>
      <c r="BB1881" s="10"/>
      <c r="BC1881" s="10"/>
      <c r="BD1881" s="10"/>
      <c r="BE1881" s="236"/>
      <c r="BF1881" s="10"/>
      <c r="BG1881" s="10"/>
      <c r="BH1881" s="10"/>
      <c r="BI1881" s="236"/>
      <c r="BJ1881" s="10"/>
      <c r="BK1881" s="10"/>
      <c r="BL1881" s="10"/>
      <c r="BM1881" s="10"/>
      <c r="BN1881" s="10"/>
      <c r="BO1881" s="10"/>
      <c r="BP1881" s="8"/>
      <c r="BQ1881" s="10"/>
      <c r="BR1881" s="11"/>
      <c r="BS1881" s="12"/>
      <c r="BT1881" s="13"/>
      <c r="BU1881" s="8"/>
    </row>
    <row r="1882" s="1" customFormat="1" customHeight="1" spans="1:73">
      <c r="A1882" s="5"/>
      <c r="B1882" s="6"/>
      <c r="C1882" s="6"/>
      <c r="D1882" s="5"/>
      <c r="E1882" s="5"/>
      <c r="F1882" s="5"/>
      <c r="G1882" s="228"/>
      <c r="H1882" s="5"/>
      <c r="I1882" s="5"/>
      <c r="J1882" s="10"/>
      <c r="K1882" s="10"/>
      <c r="L1882" s="10"/>
      <c r="M1882" s="10"/>
      <c r="N1882" s="10"/>
      <c r="O1882" s="10"/>
      <c r="P1882" s="236"/>
      <c r="Q1882" s="10"/>
      <c r="R1882" s="236"/>
      <c r="S1882" s="10"/>
      <c r="T1882" s="10"/>
      <c r="U1882" s="10"/>
      <c r="V1882" s="236"/>
      <c r="W1882" s="236"/>
      <c r="X1882" s="10"/>
      <c r="Y1882" s="236"/>
      <c r="Z1882" s="10"/>
      <c r="AA1882" s="10"/>
      <c r="AB1882" s="10"/>
      <c r="AC1882" s="236"/>
      <c r="AD1882" s="10"/>
      <c r="AE1882" s="10"/>
      <c r="AF1882" s="10"/>
      <c r="AG1882" s="236"/>
      <c r="AH1882" s="10"/>
      <c r="AI1882" s="10"/>
      <c r="AJ1882" s="10"/>
      <c r="AK1882" s="10"/>
      <c r="AL1882" s="10"/>
      <c r="AM1882" s="236"/>
      <c r="AN1882" s="10"/>
      <c r="AO1882" s="236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236"/>
      <c r="AZ1882" s="10"/>
      <c r="BA1882" s="10"/>
      <c r="BB1882" s="10"/>
      <c r="BC1882" s="10"/>
      <c r="BD1882" s="10"/>
      <c r="BE1882" s="236"/>
      <c r="BF1882" s="10"/>
      <c r="BG1882" s="10"/>
      <c r="BH1882" s="10"/>
      <c r="BI1882" s="236"/>
      <c r="BJ1882" s="10"/>
      <c r="BK1882" s="10"/>
      <c r="BL1882" s="10"/>
      <c r="BM1882" s="10"/>
      <c r="BN1882" s="10"/>
      <c r="BO1882" s="10"/>
      <c r="BP1882" s="8"/>
      <c r="BQ1882" s="10"/>
      <c r="BR1882" s="11"/>
      <c r="BS1882" s="12"/>
      <c r="BT1882" s="13"/>
      <c r="BU1882" s="8"/>
    </row>
    <row r="1883" s="1" customFormat="1" customHeight="1" spans="1:73">
      <c r="A1883" s="5"/>
      <c r="B1883" s="6"/>
      <c r="C1883" s="6"/>
      <c r="D1883" s="5"/>
      <c r="E1883" s="5"/>
      <c r="F1883" s="5"/>
      <c r="G1883" s="228"/>
      <c r="H1883" s="5"/>
      <c r="I1883" s="5"/>
      <c r="J1883" s="10"/>
      <c r="K1883" s="10"/>
      <c r="L1883" s="10"/>
      <c r="M1883" s="10"/>
      <c r="N1883" s="10"/>
      <c r="O1883" s="10"/>
      <c r="P1883" s="236"/>
      <c r="Q1883" s="10"/>
      <c r="R1883" s="236"/>
      <c r="S1883" s="10"/>
      <c r="T1883" s="10"/>
      <c r="U1883" s="10"/>
      <c r="V1883" s="236"/>
      <c r="W1883" s="236"/>
      <c r="X1883" s="10"/>
      <c r="Y1883" s="236"/>
      <c r="Z1883" s="10"/>
      <c r="AA1883" s="10"/>
      <c r="AB1883" s="10"/>
      <c r="AC1883" s="236"/>
      <c r="AD1883" s="10"/>
      <c r="AE1883" s="10"/>
      <c r="AF1883" s="10"/>
      <c r="AG1883" s="236"/>
      <c r="AH1883" s="10"/>
      <c r="AI1883" s="10"/>
      <c r="AJ1883" s="10"/>
      <c r="AK1883" s="10"/>
      <c r="AL1883" s="10"/>
      <c r="AM1883" s="236"/>
      <c r="AN1883" s="10"/>
      <c r="AO1883" s="236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236"/>
      <c r="AZ1883" s="10"/>
      <c r="BA1883" s="10"/>
      <c r="BB1883" s="10"/>
      <c r="BC1883" s="10"/>
      <c r="BD1883" s="10"/>
      <c r="BE1883" s="236"/>
      <c r="BF1883" s="10"/>
      <c r="BG1883" s="10"/>
      <c r="BH1883" s="10"/>
      <c r="BI1883" s="236"/>
      <c r="BJ1883" s="10"/>
      <c r="BK1883" s="10"/>
      <c r="BL1883" s="10"/>
      <c r="BM1883" s="10"/>
      <c r="BN1883" s="10"/>
      <c r="BO1883" s="10"/>
      <c r="BP1883" s="8"/>
      <c r="BQ1883" s="10"/>
      <c r="BR1883" s="11"/>
      <c r="BS1883" s="12"/>
      <c r="BT1883" s="13"/>
      <c r="BU1883" s="8"/>
    </row>
    <row r="1884" s="1" customFormat="1" customHeight="1" spans="1:73">
      <c r="A1884" s="5"/>
      <c r="B1884" s="6"/>
      <c r="C1884" s="6"/>
      <c r="D1884" s="5"/>
      <c r="E1884" s="5"/>
      <c r="F1884" s="5"/>
      <c r="G1884" s="228"/>
      <c r="H1884" s="5"/>
      <c r="I1884" s="5"/>
      <c r="J1884" s="10"/>
      <c r="K1884" s="10"/>
      <c r="L1884" s="10"/>
      <c r="M1884" s="10"/>
      <c r="N1884" s="10"/>
      <c r="O1884" s="10"/>
      <c r="P1884" s="236"/>
      <c r="Q1884" s="10"/>
      <c r="R1884" s="236"/>
      <c r="S1884" s="10"/>
      <c r="T1884" s="10"/>
      <c r="U1884" s="10"/>
      <c r="V1884" s="236"/>
      <c r="W1884" s="236"/>
      <c r="X1884" s="10"/>
      <c r="Y1884" s="236"/>
      <c r="Z1884" s="10"/>
      <c r="AA1884" s="10"/>
      <c r="AB1884" s="10"/>
      <c r="AC1884" s="236"/>
      <c r="AD1884" s="10"/>
      <c r="AE1884" s="10"/>
      <c r="AF1884" s="10"/>
      <c r="AG1884" s="236"/>
      <c r="AH1884" s="10"/>
      <c r="AI1884" s="10"/>
      <c r="AJ1884" s="10"/>
      <c r="AK1884" s="10"/>
      <c r="AL1884" s="10"/>
      <c r="AM1884" s="236"/>
      <c r="AN1884" s="10"/>
      <c r="AO1884" s="236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236"/>
      <c r="AZ1884" s="10"/>
      <c r="BA1884" s="10"/>
      <c r="BB1884" s="10"/>
      <c r="BC1884" s="10"/>
      <c r="BD1884" s="10"/>
      <c r="BE1884" s="236"/>
      <c r="BF1884" s="10"/>
      <c r="BG1884" s="10"/>
      <c r="BH1884" s="10"/>
      <c r="BI1884" s="236"/>
      <c r="BJ1884" s="10"/>
      <c r="BK1884" s="10"/>
      <c r="BL1884" s="10"/>
      <c r="BM1884" s="10"/>
      <c r="BN1884" s="10"/>
      <c r="BO1884" s="10"/>
      <c r="BP1884" s="8"/>
      <c r="BQ1884" s="10"/>
      <c r="BR1884" s="11"/>
      <c r="BS1884" s="12"/>
      <c r="BT1884" s="13"/>
      <c r="BU1884" s="8"/>
    </row>
    <row r="1885" s="1" customFormat="1" customHeight="1" spans="1:73">
      <c r="A1885" s="5"/>
      <c r="B1885" s="6"/>
      <c r="C1885" s="6"/>
      <c r="D1885" s="5"/>
      <c r="E1885" s="5"/>
      <c r="F1885" s="5"/>
      <c r="G1885" s="228"/>
      <c r="H1885" s="5"/>
      <c r="I1885" s="5"/>
      <c r="J1885" s="10"/>
      <c r="K1885" s="10"/>
      <c r="L1885" s="10"/>
      <c r="M1885" s="10"/>
      <c r="N1885" s="10"/>
      <c r="O1885" s="10"/>
      <c r="P1885" s="236"/>
      <c r="Q1885" s="10"/>
      <c r="R1885" s="236"/>
      <c r="S1885" s="10"/>
      <c r="T1885" s="10"/>
      <c r="U1885" s="10"/>
      <c r="V1885" s="236"/>
      <c r="W1885" s="236"/>
      <c r="X1885" s="10"/>
      <c r="Y1885" s="236"/>
      <c r="Z1885" s="10"/>
      <c r="AA1885" s="10"/>
      <c r="AB1885" s="10"/>
      <c r="AC1885" s="236"/>
      <c r="AD1885" s="10"/>
      <c r="AE1885" s="10"/>
      <c r="AF1885" s="10"/>
      <c r="AG1885" s="236"/>
      <c r="AH1885" s="10"/>
      <c r="AI1885" s="10"/>
      <c r="AJ1885" s="10"/>
      <c r="AK1885" s="10"/>
      <c r="AL1885" s="10"/>
      <c r="AM1885" s="236"/>
      <c r="AN1885" s="10"/>
      <c r="AO1885" s="236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236"/>
      <c r="AZ1885" s="10"/>
      <c r="BA1885" s="10"/>
      <c r="BB1885" s="10"/>
      <c r="BC1885" s="10"/>
      <c r="BD1885" s="10"/>
      <c r="BE1885" s="236"/>
      <c r="BF1885" s="10"/>
      <c r="BG1885" s="10"/>
      <c r="BH1885" s="10"/>
      <c r="BI1885" s="236"/>
      <c r="BJ1885" s="10"/>
      <c r="BK1885" s="10"/>
      <c r="BL1885" s="10"/>
      <c r="BM1885" s="10"/>
      <c r="BN1885" s="10"/>
      <c r="BO1885" s="10"/>
      <c r="BP1885" s="8"/>
      <c r="BQ1885" s="10"/>
      <c r="BR1885" s="11"/>
      <c r="BS1885" s="12"/>
      <c r="BT1885" s="13"/>
      <c r="BU1885" s="8"/>
    </row>
    <row r="1886" s="1" customFormat="1" customHeight="1" spans="1:73">
      <c r="A1886" s="5"/>
      <c r="B1886" s="6"/>
      <c r="C1886" s="6"/>
      <c r="D1886" s="5"/>
      <c r="E1886" s="5"/>
      <c r="F1886" s="5"/>
      <c r="G1886" s="228"/>
      <c r="H1886" s="5"/>
      <c r="I1886" s="5"/>
      <c r="J1886" s="10"/>
      <c r="K1886" s="10"/>
      <c r="L1886" s="10"/>
      <c r="M1886" s="10"/>
      <c r="N1886" s="10"/>
      <c r="O1886" s="10"/>
      <c r="P1886" s="236"/>
      <c r="Q1886" s="10"/>
      <c r="R1886" s="236"/>
      <c r="S1886" s="10"/>
      <c r="T1886" s="10"/>
      <c r="U1886" s="10"/>
      <c r="V1886" s="236"/>
      <c r="W1886" s="236"/>
      <c r="X1886" s="10"/>
      <c r="Y1886" s="236"/>
      <c r="Z1886" s="10"/>
      <c r="AA1886" s="10"/>
      <c r="AB1886" s="10"/>
      <c r="AC1886" s="236"/>
      <c r="AD1886" s="10"/>
      <c r="AE1886" s="10"/>
      <c r="AF1886" s="10"/>
      <c r="AG1886" s="236"/>
      <c r="AH1886" s="10"/>
      <c r="AI1886" s="10"/>
      <c r="AJ1886" s="10"/>
      <c r="AK1886" s="10"/>
      <c r="AL1886" s="10"/>
      <c r="AM1886" s="236"/>
      <c r="AN1886" s="10"/>
      <c r="AO1886" s="236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236"/>
      <c r="AZ1886" s="10"/>
      <c r="BA1886" s="10"/>
      <c r="BB1886" s="10"/>
      <c r="BC1886" s="10"/>
      <c r="BD1886" s="10"/>
      <c r="BE1886" s="236"/>
      <c r="BF1886" s="10"/>
      <c r="BG1886" s="10"/>
      <c r="BH1886" s="10"/>
      <c r="BI1886" s="236"/>
      <c r="BJ1886" s="10"/>
      <c r="BK1886" s="10"/>
      <c r="BL1886" s="10"/>
      <c r="BM1886" s="10"/>
      <c r="BN1886" s="10"/>
      <c r="BO1886" s="10"/>
      <c r="BP1886" s="8"/>
      <c r="BQ1886" s="10"/>
      <c r="BR1886" s="11"/>
      <c r="BS1886" s="12"/>
      <c r="BT1886" s="13"/>
      <c r="BU1886" s="8"/>
    </row>
    <row r="1887" s="1" customFormat="1" customHeight="1" spans="1:73">
      <c r="A1887" s="5"/>
      <c r="B1887" s="6"/>
      <c r="C1887" s="6"/>
      <c r="D1887" s="5"/>
      <c r="E1887" s="5"/>
      <c r="F1887" s="5"/>
      <c r="G1887" s="228"/>
      <c r="H1887" s="5"/>
      <c r="I1887" s="5"/>
      <c r="J1887" s="10"/>
      <c r="K1887" s="10"/>
      <c r="L1887" s="10"/>
      <c r="M1887" s="10"/>
      <c r="N1887" s="10"/>
      <c r="O1887" s="10"/>
      <c r="P1887" s="236"/>
      <c r="Q1887" s="10"/>
      <c r="R1887" s="236"/>
      <c r="S1887" s="10"/>
      <c r="T1887" s="10"/>
      <c r="U1887" s="10"/>
      <c r="V1887" s="236"/>
      <c r="W1887" s="236"/>
      <c r="X1887" s="10"/>
      <c r="Y1887" s="236"/>
      <c r="Z1887" s="10"/>
      <c r="AA1887" s="10"/>
      <c r="AB1887" s="10"/>
      <c r="AC1887" s="236"/>
      <c r="AD1887" s="10"/>
      <c r="AE1887" s="10"/>
      <c r="AF1887" s="10"/>
      <c r="AG1887" s="236"/>
      <c r="AH1887" s="10"/>
      <c r="AI1887" s="10"/>
      <c r="AJ1887" s="10"/>
      <c r="AK1887" s="10"/>
      <c r="AL1887" s="10"/>
      <c r="AM1887" s="236"/>
      <c r="AN1887" s="10"/>
      <c r="AO1887" s="236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236"/>
      <c r="AZ1887" s="10"/>
      <c r="BA1887" s="10"/>
      <c r="BB1887" s="10"/>
      <c r="BC1887" s="10"/>
      <c r="BD1887" s="10"/>
      <c r="BE1887" s="236"/>
      <c r="BF1887" s="10"/>
      <c r="BG1887" s="10"/>
      <c r="BH1887" s="10"/>
      <c r="BI1887" s="236"/>
      <c r="BJ1887" s="10"/>
      <c r="BK1887" s="10"/>
      <c r="BL1887" s="10"/>
      <c r="BM1887" s="10"/>
      <c r="BN1887" s="10"/>
      <c r="BO1887" s="10"/>
      <c r="BP1887" s="8"/>
      <c r="BQ1887" s="10"/>
      <c r="BR1887" s="11"/>
      <c r="BS1887" s="12"/>
      <c r="BT1887" s="13"/>
      <c r="BU1887" s="8"/>
    </row>
    <row r="1888" s="1" customFormat="1" customHeight="1" spans="1:73">
      <c r="A1888" s="5"/>
      <c r="B1888" s="6"/>
      <c r="C1888" s="6"/>
      <c r="D1888" s="5"/>
      <c r="E1888" s="5"/>
      <c r="F1888" s="5"/>
      <c r="G1888" s="228"/>
      <c r="H1888" s="5"/>
      <c r="I1888" s="5"/>
      <c r="J1888" s="10"/>
      <c r="K1888" s="10"/>
      <c r="L1888" s="10"/>
      <c r="M1888" s="10"/>
      <c r="N1888" s="10"/>
      <c r="O1888" s="10"/>
      <c r="P1888" s="236"/>
      <c r="Q1888" s="10"/>
      <c r="R1888" s="236"/>
      <c r="S1888" s="10"/>
      <c r="T1888" s="10"/>
      <c r="U1888" s="10"/>
      <c r="V1888" s="236"/>
      <c r="W1888" s="236"/>
      <c r="X1888" s="10"/>
      <c r="Y1888" s="236"/>
      <c r="Z1888" s="10"/>
      <c r="AA1888" s="10"/>
      <c r="AB1888" s="10"/>
      <c r="AC1888" s="236"/>
      <c r="AD1888" s="10"/>
      <c r="AE1888" s="10"/>
      <c r="AF1888" s="10"/>
      <c r="AG1888" s="236"/>
      <c r="AH1888" s="10"/>
      <c r="AI1888" s="10"/>
      <c r="AJ1888" s="10"/>
      <c r="AK1888" s="10"/>
      <c r="AL1888" s="10"/>
      <c r="AM1888" s="236"/>
      <c r="AN1888" s="10"/>
      <c r="AO1888" s="236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236"/>
      <c r="AZ1888" s="10"/>
      <c r="BA1888" s="10"/>
      <c r="BB1888" s="10"/>
      <c r="BC1888" s="10"/>
      <c r="BD1888" s="10"/>
      <c r="BE1888" s="236"/>
      <c r="BF1888" s="10"/>
      <c r="BG1888" s="10"/>
      <c r="BH1888" s="10"/>
      <c r="BI1888" s="236"/>
      <c r="BJ1888" s="10"/>
      <c r="BK1888" s="10"/>
      <c r="BL1888" s="10"/>
      <c r="BM1888" s="10"/>
      <c r="BN1888" s="10"/>
      <c r="BO1888" s="10"/>
      <c r="BP1888" s="8"/>
      <c r="BQ1888" s="10"/>
      <c r="BR1888" s="11"/>
      <c r="BS1888" s="12"/>
      <c r="BT1888" s="13"/>
      <c r="BU1888" s="8"/>
    </row>
    <row r="1889" s="1" customFormat="1" customHeight="1" spans="1:73">
      <c r="A1889" s="5"/>
      <c r="B1889" s="6"/>
      <c r="C1889" s="6"/>
      <c r="D1889" s="5"/>
      <c r="E1889" s="5"/>
      <c r="F1889" s="5"/>
      <c r="G1889" s="228"/>
      <c r="H1889" s="5"/>
      <c r="I1889" s="5"/>
      <c r="J1889" s="10"/>
      <c r="K1889" s="10"/>
      <c r="L1889" s="10"/>
      <c r="M1889" s="10"/>
      <c r="N1889" s="10"/>
      <c r="O1889" s="10"/>
      <c r="P1889" s="236"/>
      <c r="Q1889" s="10"/>
      <c r="R1889" s="236"/>
      <c r="S1889" s="10"/>
      <c r="T1889" s="10"/>
      <c r="U1889" s="10"/>
      <c r="V1889" s="236"/>
      <c r="W1889" s="236"/>
      <c r="X1889" s="10"/>
      <c r="Y1889" s="236"/>
      <c r="Z1889" s="10"/>
      <c r="AA1889" s="10"/>
      <c r="AB1889" s="10"/>
      <c r="AC1889" s="236"/>
      <c r="AD1889" s="10"/>
      <c r="AE1889" s="10"/>
      <c r="AF1889" s="10"/>
      <c r="AG1889" s="236"/>
      <c r="AH1889" s="10"/>
      <c r="AI1889" s="10"/>
      <c r="AJ1889" s="10"/>
      <c r="AK1889" s="10"/>
      <c r="AL1889" s="10"/>
      <c r="AM1889" s="236"/>
      <c r="AN1889" s="10"/>
      <c r="AO1889" s="236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236"/>
      <c r="AZ1889" s="10"/>
      <c r="BA1889" s="10"/>
      <c r="BB1889" s="10"/>
      <c r="BC1889" s="10"/>
      <c r="BD1889" s="10"/>
      <c r="BE1889" s="236"/>
      <c r="BF1889" s="10"/>
      <c r="BG1889" s="10"/>
      <c r="BH1889" s="10"/>
      <c r="BI1889" s="236"/>
      <c r="BJ1889" s="10"/>
      <c r="BK1889" s="10"/>
      <c r="BL1889" s="10"/>
      <c r="BM1889" s="10"/>
      <c r="BN1889" s="10"/>
      <c r="BO1889" s="10"/>
      <c r="BP1889" s="8"/>
      <c r="BQ1889" s="10"/>
      <c r="BR1889" s="11"/>
      <c r="BS1889" s="12"/>
      <c r="BT1889" s="13"/>
      <c r="BU1889" s="8"/>
    </row>
    <row r="2044" s="1" customFormat="1" customHeight="1" spans="1:73">
      <c r="A2044" s="5"/>
      <c r="B2044" s="6"/>
      <c r="C2044" s="6"/>
      <c r="D2044" s="7"/>
      <c r="E2044" s="7"/>
      <c r="F2044" s="7" t="s">
        <v>2695</v>
      </c>
      <c r="G2044" s="6" t="s">
        <v>2696</v>
      </c>
      <c r="H2044" s="7"/>
      <c r="I2044" s="7" t="s">
        <v>2697</v>
      </c>
      <c r="J2044" s="8"/>
      <c r="K2044" s="8"/>
      <c r="L2044" s="8"/>
      <c r="M2044" s="8"/>
      <c r="N2044" s="8"/>
      <c r="O2044" s="8"/>
      <c r="P2044" s="9"/>
      <c r="Q2044" s="8"/>
      <c r="R2044" s="9"/>
      <c r="S2044" s="8"/>
      <c r="T2044" s="8"/>
      <c r="U2044" s="8"/>
      <c r="V2044" s="9"/>
      <c r="W2044" s="9"/>
      <c r="X2044" s="8"/>
      <c r="Y2044" s="9"/>
      <c r="Z2044" s="8"/>
      <c r="AA2044" s="8"/>
      <c r="AB2044" s="8"/>
      <c r="AC2044" s="9"/>
      <c r="AD2044" s="8"/>
      <c r="AE2044" s="8"/>
      <c r="AF2044" s="8"/>
      <c r="AG2044" s="9"/>
      <c r="AH2044" s="8"/>
      <c r="AI2044" s="8"/>
      <c r="AJ2044" s="8"/>
      <c r="AK2044" s="8"/>
      <c r="AL2044" s="8"/>
      <c r="AM2044" s="9"/>
      <c r="AN2044" s="8"/>
      <c r="AO2044" s="9"/>
      <c r="AP2044" s="8"/>
      <c r="AQ2044" s="8"/>
      <c r="AR2044" s="8"/>
      <c r="AS2044" s="8"/>
      <c r="AT2044" s="8"/>
      <c r="AU2044" s="8"/>
      <c r="AV2044" s="8"/>
      <c r="AW2044" s="8"/>
      <c r="AX2044" s="8"/>
      <c r="AY2044" s="9"/>
      <c r="AZ2044" s="8"/>
      <c r="BA2044" s="8"/>
      <c r="BB2044" s="8"/>
      <c r="BC2044" s="8"/>
      <c r="BD2044" s="8"/>
      <c r="BE2044" s="9"/>
      <c r="BF2044" s="8"/>
      <c r="BG2044" s="8"/>
      <c r="BH2044" s="8"/>
      <c r="BI2044" s="9"/>
      <c r="BJ2044" s="8"/>
      <c r="BK2044" s="8"/>
      <c r="BL2044" s="8"/>
      <c r="BM2044" s="8"/>
      <c r="BN2044" s="10"/>
      <c r="BO2044" s="10"/>
      <c r="BP2044" s="8"/>
      <c r="BQ2044" s="10"/>
      <c r="BR2044" s="11"/>
      <c r="BS2044" s="12"/>
      <c r="BT2044" s="13"/>
      <c r="BU2044" s="8"/>
    </row>
    <row r="2045" s="1" customFormat="1" customHeight="1" spans="1:73">
      <c r="A2045" s="5"/>
      <c r="B2045" s="6"/>
      <c r="C2045" s="6"/>
      <c r="D2045" s="7"/>
      <c r="E2045" s="7"/>
      <c r="F2045" s="7" t="s">
        <v>2695</v>
      </c>
      <c r="G2045" s="6" t="s">
        <v>2698</v>
      </c>
      <c r="H2045" s="7"/>
      <c r="I2045" s="7" t="s">
        <v>2697</v>
      </c>
      <c r="J2045" s="8"/>
      <c r="K2045" s="8"/>
      <c r="L2045" s="8"/>
      <c r="M2045" s="8"/>
      <c r="N2045" s="8"/>
      <c r="O2045" s="8"/>
      <c r="P2045" s="9"/>
      <c r="Q2045" s="8"/>
      <c r="R2045" s="9"/>
      <c r="S2045" s="8"/>
      <c r="T2045" s="8"/>
      <c r="U2045" s="8"/>
      <c r="V2045" s="9"/>
      <c r="W2045" s="9"/>
      <c r="X2045" s="8"/>
      <c r="Y2045" s="9"/>
      <c r="Z2045" s="8"/>
      <c r="AA2045" s="8"/>
      <c r="AB2045" s="8"/>
      <c r="AC2045" s="9"/>
      <c r="AD2045" s="8"/>
      <c r="AE2045" s="8"/>
      <c r="AF2045" s="8"/>
      <c r="AG2045" s="9"/>
      <c r="AH2045" s="8"/>
      <c r="AI2045" s="8"/>
      <c r="AJ2045" s="8"/>
      <c r="AK2045" s="8"/>
      <c r="AL2045" s="8"/>
      <c r="AM2045" s="9"/>
      <c r="AN2045" s="8"/>
      <c r="AO2045" s="9"/>
      <c r="AP2045" s="8"/>
      <c r="AQ2045" s="8"/>
      <c r="AR2045" s="8"/>
      <c r="AS2045" s="8"/>
      <c r="AT2045" s="8"/>
      <c r="AU2045" s="8"/>
      <c r="AV2045" s="8"/>
      <c r="AW2045" s="8"/>
      <c r="AX2045" s="8"/>
      <c r="AY2045" s="9"/>
      <c r="AZ2045" s="8"/>
      <c r="BA2045" s="8"/>
      <c r="BB2045" s="8"/>
      <c r="BC2045" s="8"/>
      <c r="BD2045" s="8"/>
      <c r="BE2045" s="9"/>
      <c r="BF2045" s="8"/>
      <c r="BG2045" s="8"/>
      <c r="BH2045" s="8"/>
      <c r="BI2045" s="9"/>
      <c r="BJ2045" s="8"/>
      <c r="BK2045" s="8"/>
      <c r="BL2045" s="8"/>
      <c r="BM2045" s="8"/>
      <c r="BN2045" s="10"/>
      <c r="BO2045" s="10"/>
      <c r="BP2045" s="8"/>
      <c r="BQ2045" s="10"/>
      <c r="BR2045" s="11"/>
      <c r="BS2045" s="12"/>
      <c r="BT2045" s="13"/>
      <c r="BU2045" s="8"/>
    </row>
    <row r="2046" s="1" customFormat="1" customHeight="1" spans="1:73">
      <c r="A2046" s="5"/>
      <c r="B2046" s="6" t="s">
        <v>2699</v>
      </c>
      <c r="C2046" s="6"/>
      <c r="D2046" s="7"/>
      <c r="E2046" s="7"/>
      <c r="F2046" s="7" t="s">
        <v>2700</v>
      </c>
      <c r="G2046" s="6" t="s">
        <v>2701</v>
      </c>
      <c r="H2046" s="7"/>
      <c r="I2046" s="7" t="s">
        <v>2702</v>
      </c>
      <c r="J2046" s="8"/>
      <c r="K2046" s="8"/>
      <c r="L2046" s="8"/>
      <c r="M2046" s="8"/>
      <c r="N2046" s="8"/>
      <c r="O2046" s="8"/>
      <c r="P2046" s="9"/>
      <c r="Q2046" s="8"/>
      <c r="R2046" s="9"/>
      <c r="S2046" s="8"/>
      <c r="T2046" s="8"/>
      <c r="U2046" s="8"/>
      <c r="V2046" s="9"/>
      <c r="W2046" s="9"/>
      <c r="X2046" s="8"/>
      <c r="Y2046" s="9"/>
      <c r="Z2046" s="8"/>
      <c r="AA2046" s="8"/>
      <c r="AB2046" s="8"/>
      <c r="AC2046" s="9"/>
      <c r="AD2046" s="8"/>
      <c r="AE2046" s="8"/>
      <c r="AF2046" s="8"/>
      <c r="AG2046" s="9"/>
      <c r="AH2046" s="8"/>
      <c r="AI2046" s="8"/>
      <c r="AJ2046" s="8"/>
      <c r="AK2046" s="8"/>
      <c r="AL2046" s="8"/>
      <c r="AM2046" s="9"/>
      <c r="AN2046" s="8"/>
      <c r="AO2046" s="9"/>
      <c r="AP2046" s="8"/>
      <c r="AQ2046" s="8"/>
      <c r="AR2046" s="8"/>
      <c r="AS2046" s="8"/>
      <c r="AT2046" s="8"/>
      <c r="AU2046" s="8"/>
      <c r="AV2046" s="8"/>
      <c r="AW2046" s="8"/>
      <c r="AX2046" s="8"/>
      <c r="AY2046" s="9"/>
      <c r="AZ2046" s="8"/>
      <c r="BA2046" s="8"/>
      <c r="BB2046" s="8"/>
      <c r="BC2046" s="8"/>
      <c r="BD2046" s="8"/>
      <c r="BE2046" s="9"/>
      <c r="BF2046" s="8"/>
      <c r="BG2046" s="8"/>
      <c r="BH2046" s="8"/>
      <c r="BI2046" s="9"/>
      <c r="BJ2046" s="8"/>
      <c r="BK2046" s="8"/>
      <c r="BL2046" s="8"/>
      <c r="BM2046" s="8"/>
      <c r="BN2046" s="10"/>
      <c r="BO2046" s="10"/>
      <c r="BP2046" s="8"/>
      <c r="BQ2046" s="10"/>
      <c r="BR2046" s="11"/>
      <c r="BS2046" s="12"/>
      <c r="BT2046" s="13"/>
      <c r="BU2046" s="8"/>
    </row>
    <row r="2047" s="1" customFormat="1" customHeight="1" spans="1:73">
      <c r="A2047" s="5"/>
      <c r="B2047" s="6" t="s">
        <v>2703</v>
      </c>
      <c r="C2047" s="6"/>
      <c r="D2047" s="7"/>
      <c r="E2047" s="7"/>
      <c r="F2047" s="7" t="s">
        <v>2704</v>
      </c>
      <c r="G2047" s="6" t="s">
        <v>2705</v>
      </c>
      <c r="H2047" s="7"/>
      <c r="I2047" s="7" t="s">
        <v>2706</v>
      </c>
      <c r="J2047" s="8"/>
      <c r="K2047" s="8"/>
      <c r="L2047" s="8"/>
      <c r="M2047" s="8"/>
      <c r="N2047" s="8"/>
      <c r="O2047" s="8"/>
      <c r="P2047" s="9"/>
      <c r="Q2047" s="8"/>
      <c r="R2047" s="9"/>
      <c r="S2047" s="8"/>
      <c r="T2047" s="8"/>
      <c r="U2047" s="8"/>
      <c r="V2047" s="9"/>
      <c r="W2047" s="9"/>
      <c r="X2047" s="8"/>
      <c r="Y2047" s="9"/>
      <c r="Z2047" s="8"/>
      <c r="AA2047" s="8"/>
      <c r="AB2047" s="8"/>
      <c r="AC2047" s="9"/>
      <c r="AD2047" s="8"/>
      <c r="AE2047" s="8"/>
      <c r="AF2047" s="8"/>
      <c r="AG2047" s="9"/>
      <c r="AH2047" s="8"/>
      <c r="AI2047" s="8"/>
      <c r="AJ2047" s="8"/>
      <c r="AK2047" s="8"/>
      <c r="AL2047" s="8"/>
      <c r="AM2047" s="9"/>
      <c r="AN2047" s="8"/>
      <c r="AO2047" s="9"/>
      <c r="AP2047" s="8"/>
      <c r="AQ2047" s="8"/>
      <c r="AR2047" s="8"/>
      <c r="AS2047" s="8"/>
      <c r="AT2047" s="8"/>
      <c r="AU2047" s="8"/>
      <c r="AV2047" s="8"/>
      <c r="AW2047" s="8"/>
      <c r="AX2047" s="8"/>
      <c r="AY2047" s="9"/>
      <c r="AZ2047" s="8"/>
      <c r="BA2047" s="8"/>
      <c r="BB2047" s="8"/>
      <c r="BC2047" s="8"/>
      <c r="BD2047" s="8"/>
      <c r="BE2047" s="9"/>
      <c r="BF2047" s="8"/>
      <c r="BG2047" s="8"/>
      <c r="BH2047" s="8"/>
      <c r="BI2047" s="9"/>
      <c r="BJ2047" s="8"/>
      <c r="BK2047" s="8"/>
      <c r="BL2047" s="8"/>
      <c r="BM2047" s="8"/>
      <c r="BN2047" s="10"/>
      <c r="BO2047" s="10"/>
      <c r="BP2047" s="8"/>
      <c r="BQ2047" s="10"/>
      <c r="BR2047" s="11"/>
      <c r="BS2047" s="12"/>
      <c r="BT2047" s="13"/>
      <c r="BU2047" s="8"/>
    </row>
    <row r="2049" s="1" customFormat="1" customHeight="1" spans="1:73">
      <c r="A2049" s="5"/>
      <c r="B2049" s="6"/>
      <c r="C2049" s="7"/>
      <c r="D2049" s="7"/>
      <c r="E2049" s="7"/>
      <c r="F2049" s="7"/>
      <c r="G2049" s="6"/>
      <c r="H2049" s="7"/>
      <c r="I2049" s="7"/>
      <c r="J2049" s="8"/>
      <c r="K2049" s="8"/>
      <c r="L2049" s="8"/>
      <c r="M2049" s="8"/>
      <c r="N2049" s="8"/>
      <c r="O2049" s="8"/>
      <c r="P2049" s="9"/>
      <c r="Q2049" s="8"/>
      <c r="R2049" s="9"/>
      <c r="S2049" s="8"/>
      <c r="T2049" s="8"/>
      <c r="U2049" s="8"/>
      <c r="V2049" s="9"/>
      <c r="W2049" s="9"/>
      <c r="X2049" s="8"/>
      <c r="Y2049" s="9"/>
      <c r="Z2049" s="8"/>
      <c r="AA2049" s="8"/>
      <c r="AB2049" s="8"/>
      <c r="AC2049" s="9"/>
      <c r="AD2049" s="8"/>
      <c r="AE2049" s="8"/>
      <c r="AF2049" s="8"/>
      <c r="AG2049" s="9"/>
      <c r="AH2049" s="8"/>
      <c r="AI2049" s="8"/>
      <c r="AJ2049" s="8"/>
      <c r="AK2049" s="8"/>
      <c r="AL2049" s="8"/>
      <c r="AM2049" s="9"/>
      <c r="AN2049" s="8"/>
      <c r="AO2049" s="9"/>
      <c r="AP2049" s="8"/>
      <c r="AQ2049" s="8"/>
      <c r="AR2049" s="8"/>
      <c r="AS2049" s="8"/>
      <c r="AT2049" s="8"/>
      <c r="AU2049" s="8"/>
      <c r="AV2049" s="8"/>
      <c r="AW2049" s="8"/>
      <c r="AX2049" s="8"/>
      <c r="AY2049" s="9"/>
      <c r="AZ2049" s="8"/>
      <c r="BA2049" s="8"/>
      <c r="BB2049" s="8"/>
      <c r="BC2049" s="8"/>
      <c r="BD2049" s="8"/>
      <c r="BE2049" s="9"/>
      <c r="BF2049" s="8"/>
      <c r="BG2049" s="8"/>
      <c r="BH2049" s="8"/>
      <c r="BI2049" s="9"/>
      <c r="BJ2049" s="8"/>
      <c r="BK2049" s="8"/>
      <c r="BL2049" s="8"/>
      <c r="BM2049" s="8"/>
      <c r="BN2049" s="10"/>
      <c r="BO2049" s="10"/>
      <c r="BP2049" s="8"/>
      <c r="BQ2049" s="10"/>
      <c r="BR2049" s="11"/>
      <c r="BS2049" s="12"/>
      <c r="BT2049" s="13"/>
      <c r="BU2049" s="8"/>
    </row>
  </sheetData>
  <mergeCells count="76"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A1680:BT1680"/>
    <mergeCell ref="D1681:E1681"/>
    <mergeCell ref="F1681:G1681"/>
    <mergeCell ref="H1681:I1681"/>
    <mergeCell ref="J1681:K1681"/>
    <mergeCell ref="L1681:M1681"/>
    <mergeCell ref="N1681:O1681"/>
    <mergeCell ref="P1681:Q1681"/>
    <mergeCell ref="R1681:S1681"/>
    <mergeCell ref="T1681:U1681"/>
    <mergeCell ref="V1681:W1681"/>
    <mergeCell ref="X1681:Y1681"/>
    <mergeCell ref="Z1681:AA1681"/>
    <mergeCell ref="AB1681:AC1681"/>
    <mergeCell ref="AD1681:AE1681"/>
    <mergeCell ref="AF1681:AG1681"/>
    <mergeCell ref="AH1681:AI1681"/>
    <mergeCell ref="AJ1681:AK1681"/>
    <mergeCell ref="AL1681:AM1681"/>
    <mergeCell ref="AN1681:AO1681"/>
    <mergeCell ref="AP1681:AQ1681"/>
    <mergeCell ref="AR1681:AS1681"/>
    <mergeCell ref="AT1681:AU1681"/>
    <mergeCell ref="AV1681:AW1681"/>
    <mergeCell ref="AX1681:AY1681"/>
    <mergeCell ref="AZ1681:BA1681"/>
    <mergeCell ref="BB1681:BC1681"/>
    <mergeCell ref="BD1681:BE1681"/>
    <mergeCell ref="BF1681:BG1681"/>
    <mergeCell ref="BH1681:BI1681"/>
    <mergeCell ref="BJ1681:BK1681"/>
    <mergeCell ref="BL1681:BM1681"/>
    <mergeCell ref="B1:B2"/>
    <mergeCell ref="B1681:B1682"/>
    <mergeCell ref="C1:C2"/>
    <mergeCell ref="C1681:C1682"/>
    <mergeCell ref="BN1:BN2"/>
    <mergeCell ref="BN1681:BN1682"/>
    <mergeCell ref="BO1:BO2"/>
    <mergeCell ref="BO1681:BO1682"/>
    <mergeCell ref="BP1:BP2"/>
    <mergeCell ref="BP1681:BP1682"/>
    <mergeCell ref="BQ1:BQ2"/>
    <mergeCell ref="BQ1681:BQ1682"/>
    <mergeCell ref="BS1681:BS168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2026-08-06T08:50:26Z</dcterms:created>
  <dcterms:modified xsi:type="dcterms:W3CDTF">2026-08-06T08:53:08Z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39790077D44C4B098251E4FB7780C312_11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1</vt:i4>
  </property>
</Properties>
</file>