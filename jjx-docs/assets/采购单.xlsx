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<sst xmlns="http://schemas.openxmlformats.org/spreadsheetml/2006/main" count="43" uniqueCount="39">
  <si>
    <t xml:space="preserve">深圳市精捷信科技有限公司
</t>
  </si>
  <si>
    <t>地址：深圳市宝安区沙井街共和村丽城工业园F栋4楼</t>
  </si>
  <si>
    <t>电话：0755-21507378  传真：0755-29856700</t>
  </si>
  <si>
    <t xml:space="preserve"> E-mail: cg@jjx.cc   QQ：1452049538</t>
  </si>
  <si>
    <t>订  购  单</t>
  </si>
  <si>
    <t>订单号码:</t>
  </si>
  <si>
    <t>厂商：诚亿光</t>
  </si>
  <si>
    <t>订货时间：</t>
  </si>
  <si>
    <t>联系人：高丹小姐 13411875043</t>
  </si>
  <si>
    <t>交货时间：</t>
  </si>
  <si>
    <t>TEL：0755-61101286  FAX：0755-61101285</t>
  </si>
  <si>
    <t>交易方式：</t>
  </si>
  <si>
    <t>月清 RMB 含税</t>
  </si>
  <si>
    <t>项次</t>
  </si>
  <si>
    <t>品名</t>
  </si>
  <si>
    <t>规格</t>
  </si>
  <si>
    <t>单位</t>
  </si>
  <si>
    <t>数量</t>
  </si>
  <si>
    <t>单价</t>
  </si>
  <si>
    <t>金额</t>
  </si>
  <si>
    <t>备注</t>
  </si>
  <si>
    <t>GT-197</t>
  </si>
  <si>
    <t>白灯</t>
  </si>
  <si>
    <t>PCS</t>
  </si>
  <si>
    <t xml:space="preserve">JST-531 </t>
  </si>
  <si>
    <t>19-217/G7C-AN1P2/3T</t>
  </si>
  <si>
    <t>黄绿灯</t>
  </si>
  <si>
    <t>6K/R</t>
  </si>
  <si>
    <t>合计：</t>
  </si>
  <si>
    <r>
      <rPr>
        <b/>
        <sz val="14"/>
        <color theme="1"/>
        <rFont val="宋体"/>
        <charset val="134"/>
        <scheme val="minor"/>
      </rPr>
      <t>交易条款：</t>
    </r>
    <r>
      <rPr>
        <sz val="10"/>
        <color theme="1"/>
        <rFont val="宋体"/>
        <charset val="134"/>
        <scheme val="minor"/>
      </rPr>
      <t xml:space="preserve">
1. 供方如无法遵守本订单交期，需及时通知需方调整；若延误交期给需方造成的直接经济损失将由供方负责，若因供方交货延时而导致需方客户退货，需方将无条件退回供方。
2. 供方的送货单上必须注明买方的订单号，品名，规格，数量，生产日期，货物需符合ROHS，REACH（255项）Non~Phtha1atc环保要求，若供应商所发货物不符合我厂要求而由此造成的一切的经济损失将由供应商负责承担.
3. 供方负责把需方所订货物送达需方指定地点，运费由供方承担。
4. 若供方所发货物不符合需方要求而由此造成的经济损失将由供方负责。需方在收到货物验收合格后按双方约定时间付款；
5. 供需双方在签订和履行合同过程中，要对双方商业信息负有保密责任。
6. 本合同双方盖章签字即生效，传真件具有同等效力，若出现纠纷，以需方所在地仲裁委员会仲裁或者需方所在地法院解决。
7. 供方收到需方所下订单后确认签字盖章回传，一日内没有异议视为认同。未经双方同意而作修改，涂改，添加的内容视为无效。
8. 货物检验后如发现品质不良，应在接到通知后3日内将货物取回，并尽快补回，逾期本公司概不负责。</t>
    </r>
  </si>
  <si>
    <t xml:space="preserve"> JJX-QR-024</t>
  </si>
  <si>
    <t>供应商回签：</t>
  </si>
  <si>
    <t>经理审核：</t>
  </si>
  <si>
    <t>制表人：袁辉</t>
  </si>
  <si>
    <t>APHCM2012CGCK-F01</t>
  </si>
  <si>
    <t>pcs</t>
  </si>
  <si>
    <t>APHCM2012SURCK-F01</t>
  </si>
  <si>
    <t>没有订</t>
  </si>
  <si>
    <t>APHBM2012SURKCGKC</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</si>
</sst>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35">
    <font>
      <sz val="11"/>
      <color theme="1"/>
      <name val="宋体"/>
      <charset val="134"/>
      <scheme val="minor"/>
    </font>
    <font>
      <sz val="11"/>
      <color theme="1"/>
      <name val="宋体"/>
      <charset val="134"/>
      <scheme val="minor"/>
    </font>
    <font>
      <sz val="12"/>
      <color theme="1"/>
      <name val="宋体"/>
      <charset val="134"/>
      <scheme val="minor"/>
    </font>
    <font>
      <sz val="12"/>
      <color theme="1"/>
      <name val="宋体"/>
      <charset val="134"/>
      <scheme val="minor"/>
    </font>
    <font>
      <b/>
      <sz val="12"/>
      <color theme="1"/>
      <name val="宋体"/>
      <charset val="134"/>
      <scheme val="minor"/>
    </font>
    <font>
      <b/>
      <sz val="12"/>
      <name val="宋体"/>
      <charset val="134"/>
      <scheme val="minor"/>
    </font>
    <font>
      <b/>
      <sz val="11"/>
      <color theme="1"/>
      <name val="宋体"/>
      <charset val="134"/>
      <scheme val="minor"/>
    </font>
    <font>
      <b/>
      <sz val="20"/>
      <color theme="1"/>
      <name val="宋体"/>
      <charset val="134"/>
      <scheme val="minor"/>
    </font>
    <font>
      <sz val="10"/>
      <color theme="1"/>
      <name val="宋体"/>
      <charset val="134"/>
      <scheme val="minor"/>
    </font>
    <font>
      <b/>
      <sz val="14"/>
      <color theme="1"/>
      <name val="宋体"/>
      <charset val="134"/>
      <scheme val="minor"/>
    </font>
    <font>
      <sz val="12"/>
      <name val="宋体"/>
      <charset val="134"/>
      <scheme val="minor"/>
    </font>
    <font>
      <sz val="11"/>
      <color theme="1"/>
      <name val="宋体"/>
      <charset val="134"/>
      <scheme val="minor"/>
    </font>
    <font>
      <sz val="12"/>
      <name val="宋体"/>
      <charset val="134"/>
    </font>
    <font>
      <sz val="10"/>
      <color theme="1"/>
      <name val="宋体"/>
      <charset val="134"/>
      <scheme val="minor"/>
    </font>
    <font>
      <sz val="11"/>
      <name val="宋体"/>
      <charset val="134"/>
    </font>
    <font>
      <sz val="12"/>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3" borderId="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24" fillId="4" borderId="10" applyNumberFormat="0" applyAlignment="0" applyProtection="0">
      <alignment vertical="center"/>
    </xf>
    <xf numFmtId="0" fontId="25" fillId="5" borderId="11" applyNumberFormat="0" applyAlignment="0" applyProtection="0">
      <alignment vertical="center"/>
    </xf>
    <xf numFmtId="0" fontId="26" fillId="5" borderId="10" applyNumberFormat="0" applyAlignment="0" applyProtection="0">
      <alignment vertical="center"/>
    </xf>
    <xf numFmtId="0" fontId="27" fillId="6" borderId="12" applyNumberFormat="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12" fillId="0" borderId="0">
      <alignment vertical="center"/>
    </xf>
    <xf numFmtId="0" fontId="12" fillId="0" borderId="0"/>
    <xf numFmtId="0" fontId="11" fillId="0" borderId="0">
      <alignment vertical="center"/>
    </xf>
    <xf numFmtId="0" fontId="12" fillId="0" borderId="0"/>
    <xf numFmtId="0" fontId="12" fillId="0" borderId="0"/>
  </cellStyleXfs>
  <cellXfs count="36">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4" fillId="0" borderId="0" xfId="0" applyFont="1" applyFill="1" applyAlignment="1">
      <alignment vertical="center"/>
    </xf>
    <xf numFmtId="0" fontId="5" fillId="0" borderId="0" xfId="49" applyFont="1">
      <alignment vertical="center"/>
    </xf>
    <xf numFmtId="0" fontId="6" fillId="0" borderId="0" xfId="0" applyFont="1" applyFill="1" applyAlignment="1">
      <alignment vertical="center"/>
    </xf>
    <xf numFmtId="0" fontId="7" fillId="0" borderId="0" xfId="0" applyFont="1" applyFill="1" applyAlignment="1">
      <alignment horizontal="center" vertical="center" wrapText="1"/>
    </xf>
    <xf numFmtId="0" fontId="7" fillId="0" borderId="1" xfId="0" applyFont="1" applyFill="1" applyBorder="1" applyAlignment="1">
      <alignment vertical="center" wrapText="1"/>
    </xf>
    <xf numFmtId="0" fontId="8" fillId="0" borderId="0" xfId="0" applyFont="1" applyFill="1" applyAlignment="1">
      <alignment horizontal="center" vertical="center"/>
    </xf>
    <xf numFmtId="0" fontId="9" fillId="0" borderId="0" xfId="0" applyFont="1" applyFill="1" applyAlignment="1">
      <alignment horizontal="center" vertical="center"/>
    </xf>
    <xf numFmtId="0" fontId="3" fillId="0" borderId="0" xfId="0" applyFont="1" applyFill="1" applyAlignment="1">
      <alignment horizontal="left" vertical="center"/>
    </xf>
    <xf numFmtId="176" fontId="3" fillId="0" borderId="0" xfId="0" applyNumberFormat="1" applyFont="1" applyFill="1" applyAlignment="1">
      <alignment horizontal="left" vertical="center"/>
    </xf>
    <xf numFmtId="0" fontId="3" fillId="0" borderId="2" xfId="0" applyFont="1" applyFill="1" applyBorder="1" applyAlignment="1">
      <alignment horizontal="left" vertical="center" shrinkToFit="1"/>
    </xf>
    <xf numFmtId="0" fontId="3" fillId="0" borderId="2" xfId="0" applyFont="1" applyFill="1" applyBorder="1" applyAlignment="1">
      <alignment horizontal="left" vertical="center"/>
    </xf>
    <xf numFmtId="0" fontId="2" fillId="0" borderId="3" xfId="0" applyFont="1" applyFill="1" applyBorder="1" applyAlignment="1">
      <alignment horizontal="center" vertical="center" shrinkToFit="1"/>
    </xf>
    <xf numFmtId="0" fontId="2" fillId="0" borderId="0" xfId="0" applyFont="1" applyFill="1" applyAlignment="1">
      <alignment horizontal="center" vertical="center"/>
    </xf>
    <xf numFmtId="0" fontId="2" fillId="2"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5" xfId="0" applyFont="1" applyFill="1" applyBorder="1" applyAlignment="1">
      <alignment horizontal="center" vertical="center" shrinkToFit="1"/>
    </xf>
    <xf numFmtId="177" fontId="10" fillId="0" borderId="3" xfId="0" applyNumberFormat="1"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2" fillId="0" borderId="6" xfId="0" applyFont="1" applyFill="1" applyBorder="1" applyAlignment="1">
      <alignment horizontal="center" vertical="center" shrinkToFit="1"/>
    </xf>
    <xf numFmtId="0" fontId="12" fillId="2" borderId="3" xfId="0" applyFont="1" applyFill="1" applyBorder="1" applyAlignment="1">
      <alignment horizontal="center" vertical="center" shrinkToFit="1"/>
    </xf>
    <xf numFmtId="0" fontId="2" fillId="0" borderId="6" xfId="0" applyFont="1" applyFill="1" applyBorder="1" applyAlignment="1">
      <alignment vertical="center" shrinkToFit="1"/>
    </xf>
    <xf numFmtId="0" fontId="2" fillId="0" borderId="0" xfId="0" applyFont="1" applyFill="1" applyAlignment="1">
      <alignment vertical="center" shrinkToFit="1"/>
    </xf>
    <xf numFmtId="0" fontId="13" fillId="0" borderId="3" xfId="0" applyFont="1" applyFill="1" applyBorder="1" applyAlignment="1">
      <alignment vertical="center" wrapText="1"/>
    </xf>
    <xf numFmtId="0" fontId="13" fillId="0" borderId="0" xfId="0" applyFont="1" applyFill="1" applyAlignment="1">
      <alignment vertical="center" wrapText="1"/>
    </xf>
    <xf numFmtId="0" fontId="1" fillId="0" borderId="0" xfId="0" applyFont="1" applyFill="1" applyAlignment="1">
      <alignment horizontal="right" vertical="center"/>
    </xf>
    <xf numFmtId="0" fontId="1" fillId="0" borderId="3" xfId="0" applyFont="1" applyFill="1" applyBorder="1" applyAlignment="1">
      <alignment horizontal="center" vertical="center" shrinkToFit="1"/>
    </xf>
    <xf numFmtId="0" fontId="14" fillId="0" borderId="3" xfId="0" applyFont="1" applyFill="1" applyBorder="1" applyAlignment="1">
      <alignment horizontal="center" vertical="center"/>
    </xf>
    <xf numFmtId="0" fontId="14" fillId="0" borderId="3" xfId="0" applyFont="1" applyFill="1" applyBorder="1" applyAlignment="1">
      <alignment horizontal="center" vertical="center" shrinkToFit="1"/>
    </xf>
    <xf numFmtId="0" fontId="15" fillId="0" borderId="0" xfId="0" applyFont="1" applyFill="1" applyAlignment="1">
      <alignment vertical="center"/>
    </xf>
    <xf numFmtId="0" fontId="14" fillId="0" borderId="0" xfId="0" applyFont="1" applyFill="1" applyAlignment="1">
      <alignment horizontal="center" vertical="center" shrinkToFit="1"/>
    </xf>
    <xf numFmtId="0" fontId="14" fillId="0" borderId="0" xfId="0" applyFont="1" applyFill="1" applyAlignment="1">
      <alignment horizontal="center" vertical="center"/>
    </xf>
    <xf numFmtId="0" fontId="1" fillId="0" borderId="0" xfId="0" applyFont="1" applyFill="1" applyAlignment="1">
      <alignment horizontal="center" vertical="center" shrinkToFi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8" xfId="50"/>
    <cellStyle name="常规 53" xfId="51"/>
    <cellStyle name="常规 8 2" xfId="52"/>
    <cellStyle name="常规_Sheet1"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291</xdr:row>
      <xdr:rowOff>1581150</xdr:rowOff>
    </xdr:from>
    <xdr:to>
      <xdr:col>1</xdr:col>
      <xdr:colOff>1074420</xdr:colOff>
      <xdr:row>291</xdr:row>
      <xdr:rowOff>1581150</xdr:rowOff>
    </xdr:to>
    <xdr:pic>
      <xdr:nvPicPr>
        <xdr:cNvPr id="2" name="Picture 2"/>
        <xdr:cNvPicPr>
          <a:picLocks noChangeAspect="1" noChangeArrowheads="1"/>
        </xdr:cNvPicPr>
      </xdr:nvPicPr>
      <xdr:blipFill>
        <a:blip r:embed="rId1" cstate="print"/>
        <a:srcRect/>
        <a:stretch>
          <a:fillRect/>
        </a:stretch>
      </xdr:blipFill>
      <xdr:spPr>
        <a:xfrm>
          <a:off x="0" y="102419785"/>
          <a:ext cx="1528445" cy="0"/>
        </a:xfrm>
        <a:prstGeom prst="rect">
          <a:avLst/>
        </a:prstGeom>
        <a:noFill/>
        <a:ln w="1">
          <a:noFill/>
          <a:miter lim="800000"/>
          <a:headEnd/>
          <a:tailEnd type="none" w="med" len="med"/>
        </a:ln>
        <a:effectLst/>
      </xdr:spPr>
    </xdr:pic>
    <xdr:clientData/>
  </xdr:twoCellAnchor>
  <xdr:twoCellAnchor editAs="oneCell">
    <xdr:from>
      <xdr:col>0</xdr:col>
      <xdr:colOff>0</xdr:colOff>
      <xdr:row>321</xdr:row>
      <xdr:rowOff>69404</xdr:rowOff>
    </xdr:from>
    <xdr:to>
      <xdr:col>1</xdr:col>
      <xdr:colOff>997585</xdr:colOff>
      <xdr:row>321</xdr:row>
      <xdr:rowOff>71309</xdr:rowOff>
    </xdr:to>
    <xdr:pic>
      <xdr:nvPicPr>
        <xdr:cNvPr id="3" name="Picture 4"/>
        <xdr:cNvPicPr>
          <a:picLocks noChangeAspect="1" noChangeArrowheads="1"/>
        </xdr:cNvPicPr>
      </xdr:nvPicPr>
      <xdr:blipFill>
        <a:blip r:embed="rId2" cstate="print"/>
        <a:srcRect/>
        <a:stretch>
          <a:fillRect/>
        </a:stretch>
      </xdr:blipFill>
      <xdr:spPr>
        <a:xfrm>
          <a:off x="0" y="113360200"/>
          <a:ext cx="1451610" cy="1905"/>
        </a:xfrm>
        <a:prstGeom prst="rect">
          <a:avLst/>
        </a:prstGeom>
        <a:noFill/>
        <a:ln w="1">
          <a:noFill/>
          <a:miter lim="800000"/>
          <a:headEnd/>
          <a:tailEnd type="none" w="med" len="med"/>
        </a:ln>
        <a:effectLst/>
      </xdr:spPr>
    </xdr:pic>
    <xdr:clientData/>
  </xdr:twoCellAnchor>
  <xdr:twoCellAnchor editAs="oneCell">
    <xdr:from>
      <xdr:col>0</xdr:col>
      <xdr:colOff>0</xdr:colOff>
      <xdr:row>291</xdr:row>
      <xdr:rowOff>361950</xdr:rowOff>
    </xdr:from>
    <xdr:to>
      <xdr:col>2</xdr:col>
      <xdr:colOff>1079500</xdr:colOff>
      <xdr:row>291</xdr:row>
      <xdr:rowOff>361950</xdr:rowOff>
    </xdr:to>
    <xdr:pic>
      <xdr:nvPicPr>
        <xdr:cNvPr id="4" name="Picture 1" descr="C:\Users\Administrator\AppData\Roaming\Tencent\Users\798028700\QQ\WinTemp\RichOle\%%94Q0GH)IWV)HTT5KQ35]O.png"/>
        <xdr:cNvPicPr>
          <a:picLocks noChangeAspect="1" noChangeArrowheads="1"/>
        </xdr:cNvPicPr>
      </xdr:nvPicPr>
      <xdr:blipFill>
        <a:blip r:embed="rId3" cstate="print"/>
        <a:srcRect/>
        <a:stretch>
          <a:fillRect/>
        </a:stretch>
      </xdr:blipFill>
      <xdr:spPr>
        <a:xfrm>
          <a:off x="0" y="101200585"/>
          <a:ext cx="3175000" cy="0"/>
        </a:xfrm>
        <a:prstGeom prst="rect">
          <a:avLst/>
        </a:prstGeom>
        <a:noFill/>
      </xdr:spPr>
    </xdr:pic>
    <xdr:clientData/>
  </xdr:twoCellAnchor>
  <xdr:twoCellAnchor editAs="oneCell">
    <xdr:from>
      <xdr:col>0</xdr:col>
      <xdr:colOff>0</xdr:colOff>
      <xdr:row>250</xdr:row>
      <xdr:rowOff>95250</xdr:rowOff>
    </xdr:from>
    <xdr:to>
      <xdr:col>2</xdr:col>
      <xdr:colOff>556260</xdr:colOff>
      <xdr:row>250</xdr:row>
      <xdr:rowOff>95250</xdr:rowOff>
    </xdr:to>
    <xdr:pic>
      <xdr:nvPicPr>
        <xdr:cNvPr id="5" name="Picture 1"/>
        <xdr:cNvPicPr>
          <a:picLocks noChangeAspect="1" noChangeArrowheads="1"/>
        </xdr:cNvPicPr>
      </xdr:nvPicPr>
      <xdr:blipFill>
        <a:blip r:embed="rId4"/>
        <a:srcRect/>
        <a:stretch>
          <a:fillRect/>
        </a:stretch>
      </xdr:blipFill>
      <xdr:spPr>
        <a:xfrm>
          <a:off x="0" y="87179785"/>
          <a:ext cx="2651760" cy="0"/>
        </a:xfrm>
        <a:prstGeom prst="rect">
          <a:avLst/>
        </a:prstGeom>
        <a:noFill/>
      </xdr:spPr>
    </xdr:pic>
    <xdr:clientData/>
  </xdr:twoCellAnchor>
  <xdr:twoCellAnchor editAs="oneCell">
    <xdr:from>
      <xdr:col>9</xdr:col>
      <xdr:colOff>0</xdr:colOff>
      <xdr:row>2</xdr:row>
      <xdr:rowOff>47625</xdr:rowOff>
    </xdr:from>
    <xdr:to>
      <xdr:col>15</xdr:col>
      <xdr:colOff>165100</xdr:colOff>
      <xdr:row>2</xdr:row>
      <xdr:rowOff>47625</xdr:rowOff>
    </xdr:to>
    <xdr:pic>
      <xdr:nvPicPr>
        <xdr:cNvPr id="6" name="Picture 1"/>
        <xdr:cNvPicPr>
          <a:picLocks noChangeAspect="1" noChangeArrowheads="1"/>
        </xdr:cNvPicPr>
      </xdr:nvPicPr>
      <xdr:blipFill>
        <a:blip r:embed="rId5"/>
        <a:srcRect/>
        <a:stretch>
          <a:fillRect/>
        </a:stretch>
      </xdr:blipFill>
      <xdr:spPr>
        <a:xfrm>
          <a:off x="7709535" y="403225"/>
          <a:ext cx="4975860" cy="0"/>
        </a:xfrm>
        <a:prstGeom prst="rect">
          <a:avLst/>
        </a:prstGeom>
        <a:noFill/>
        <a:ln w="1">
          <a:noFill/>
          <a:miter lim="800000"/>
          <a:headEnd/>
          <a:tailEnd type="none" w="med" len="med"/>
        </a:ln>
        <a:effectLst/>
      </xdr:spPr>
    </xdr:pic>
    <xdr:clientData/>
  </xdr:twoCellAnchor>
  <xdr:twoCellAnchor editAs="oneCell">
    <xdr:from>
      <xdr:col>0</xdr:col>
      <xdr:colOff>0</xdr:colOff>
      <xdr:row>351</xdr:row>
      <xdr:rowOff>19068</xdr:rowOff>
    </xdr:from>
    <xdr:to>
      <xdr:col>9</xdr:col>
      <xdr:colOff>183515</xdr:colOff>
      <xdr:row>351</xdr:row>
      <xdr:rowOff>19068</xdr:rowOff>
    </xdr:to>
    <xdr:pic>
      <xdr:nvPicPr>
        <xdr:cNvPr id="7" name="Picture 1"/>
        <xdr:cNvPicPr>
          <a:picLocks noChangeAspect="1" noChangeArrowheads="1"/>
        </xdr:cNvPicPr>
      </xdr:nvPicPr>
      <xdr:blipFill>
        <a:blip r:embed="rId6"/>
        <a:srcRect/>
        <a:stretch>
          <a:fillRect/>
        </a:stretch>
      </xdr:blipFill>
      <xdr:spPr>
        <a:xfrm>
          <a:off x="0" y="122589290"/>
          <a:ext cx="7893050" cy="0"/>
        </a:xfrm>
        <a:prstGeom prst="rect">
          <a:avLst/>
        </a:prstGeom>
        <a:noFill/>
        <a:ln w="1">
          <a:noFill/>
          <a:miter lim="800000"/>
          <a:headEnd/>
          <a:tailEnd type="none" w="med" len="med"/>
        </a:ln>
        <a:effectLst/>
      </xdr:spPr>
    </xdr:pic>
    <xdr:clientData/>
  </xdr:twoCellAnchor>
  <xdr:twoCellAnchor editAs="oneCell">
    <xdr:from>
      <xdr:col>0</xdr:col>
      <xdr:colOff>0</xdr:colOff>
      <xdr:row>335</xdr:row>
      <xdr:rowOff>0</xdr:rowOff>
    </xdr:from>
    <xdr:to>
      <xdr:col>2</xdr:col>
      <xdr:colOff>814070</xdr:colOff>
      <xdr:row>335</xdr:row>
      <xdr:rowOff>0</xdr:rowOff>
    </xdr:to>
    <xdr:pic>
      <xdr:nvPicPr>
        <xdr:cNvPr id="8" name="Picture 1"/>
        <xdr:cNvPicPr>
          <a:picLocks noChangeAspect="1" noChangeArrowheads="1"/>
        </xdr:cNvPicPr>
      </xdr:nvPicPr>
      <xdr:blipFill>
        <a:blip r:embed="rId7"/>
        <a:srcRect/>
        <a:stretch>
          <a:fillRect/>
        </a:stretch>
      </xdr:blipFill>
      <xdr:spPr>
        <a:xfrm>
          <a:off x="0" y="116414550"/>
          <a:ext cx="2909570" cy="0"/>
        </a:xfrm>
        <a:prstGeom prst="rect">
          <a:avLst/>
        </a:prstGeom>
        <a:noFill/>
        <a:ln w="1">
          <a:noFill/>
          <a:miter lim="800000"/>
          <a:headEnd/>
          <a:tailEnd type="none" w="med" len="med"/>
        </a:ln>
        <a:effectLst/>
      </xdr:spPr>
    </xdr:pic>
    <xdr:clientData/>
  </xdr:twoCellAnchor>
  <xdr:twoCellAnchor editAs="oneCell">
    <xdr:from>
      <xdr:col>0</xdr:col>
      <xdr:colOff>0</xdr:colOff>
      <xdr:row>327</xdr:row>
      <xdr:rowOff>85725</xdr:rowOff>
    </xdr:from>
    <xdr:to>
      <xdr:col>7</xdr:col>
      <xdr:colOff>651510</xdr:colOff>
      <xdr:row>337</xdr:row>
      <xdr:rowOff>568325</xdr:rowOff>
    </xdr:to>
    <xdr:pic>
      <xdr:nvPicPr>
        <xdr:cNvPr id="9" name="Picture 1"/>
        <xdr:cNvPicPr>
          <a:picLocks noChangeAspect="1" noChangeArrowheads="1"/>
        </xdr:cNvPicPr>
      </xdr:nvPicPr>
      <xdr:blipFill>
        <a:blip r:embed="rId8"/>
        <a:srcRect/>
        <a:stretch>
          <a:fillRect/>
        </a:stretch>
      </xdr:blipFill>
      <xdr:spPr>
        <a:xfrm>
          <a:off x="0" y="114525425"/>
          <a:ext cx="6824345" cy="3086100"/>
        </a:xfrm>
        <a:prstGeom prst="rect">
          <a:avLst/>
        </a:prstGeom>
        <a:noFill/>
        <a:ln w="1">
          <a:noFill/>
          <a:miter lim="800000"/>
          <a:headEnd/>
          <a:tailEnd type="none" w="med" len="med"/>
        </a:ln>
        <a:effectLst/>
      </xdr:spPr>
    </xdr:pic>
    <xdr:clientData/>
  </xdr:twoCellAnchor>
  <xdr:twoCellAnchor editAs="oneCell">
    <xdr:from>
      <xdr:col>0</xdr:col>
      <xdr:colOff>0</xdr:colOff>
      <xdr:row>336</xdr:row>
      <xdr:rowOff>95250</xdr:rowOff>
    </xdr:from>
    <xdr:to>
      <xdr:col>8</xdr:col>
      <xdr:colOff>295275</xdr:colOff>
      <xdr:row>337</xdr:row>
      <xdr:rowOff>2200275</xdr:rowOff>
    </xdr:to>
    <xdr:pic>
      <xdr:nvPicPr>
        <xdr:cNvPr id="10" name="Picture 1"/>
        <xdr:cNvPicPr>
          <a:picLocks noChangeAspect="1" noChangeArrowheads="1"/>
        </xdr:cNvPicPr>
      </xdr:nvPicPr>
      <xdr:blipFill>
        <a:blip r:embed="rId9"/>
        <a:srcRect/>
        <a:stretch>
          <a:fillRect/>
        </a:stretch>
      </xdr:blipFill>
      <xdr:spPr>
        <a:xfrm>
          <a:off x="0" y="116824125"/>
          <a:ext cx="7157720" cy="2419350"/>
        </a:xfrm>
        <a:prstGeom prst="rect">
          <a:avLst/>
        </a:prstGeom>
        <a:noFill/>
        <a:ln w="1">
          <a:noFill/>
          <a:miter lim="800000"/>
          <a:headEnd/>
          <a:tailEnd type="none" w="med" len="med"/>
        </a:ln>
        <a:effectLst/>
      </xdr:spPr>
    </xdr:pic>
    <xdr:clientData/>
  </xdr:twoCellAnchor>
  <xdr:twoCellAnchor editAs="oneCell">
    <xdr:from>
      <xdr:col>0</xdr:col>
      <xdr:colOff>0</xdr:colOff>
      <xdr:row>377</xdr:row>
      <xdr:rowOff>19050</xdr:rowOff>
    </xdr:from>
    <xdr:to>
      <xdr:col>3</xdr:col>
      <xdr:colOff>159385</xdr:colOff>
      <xdr:row>381</xdr:row>
      <xdr:rowOff>215900</xdr:rowOff>
    </xdr:to>
    <xdr:pic>
      <xdr:nvPicPr>
        <xdr:cNvPr id="11" name="Picture 2"/>
        <xdr:cNvPicPr>
          <a:picLocks noChangeAspect="1" noChangeArrowheads="1"/>
        </xdr:cNvPicPr>
      </xdr:nvPicPr>
      <xdr:blipFill>
        <a:blip r:embed="rId10"/>
        <a:srcRect/>
        <a:stretch>
          <a:fillRect/>
        </a:stretch>
      </xdr:blipFill>
      <xdr:spPr>
        <a:xfrm>
          <a:off x="0" y="130837305"/>
          <a:ext cx="3608070" cy="1031875"/>
        </a:xfrm>
        <a:prstGeom prst="rect">
          <a:avLst/>
        </a:prstGeom>
        <a:noFill/>
        <a:ln w="1">
          <a:noFill/>
          <a:miter lim="800000"/>
          <a:headEnd/>
          <a:tailEnd type="none" w="med" len="med"/>
        </a:ln>
        <a:effectLst/>
      </xdr:spPr>
    </xdr:pic>
    <xdr:clientData/>
  </xdr:twoCellAnchor>
  <xdr:twoCellAnchor editAs="oneCell">
    <xdr:from>
      <xdr:col>0</xdr:col>
      <xdr:colOff>0</xdr:colOff>
      <xdr:row>337</xdr:row>
      <xdr:rowOff>2409825</xdr:rowOff>
    </xdr:from>
    <xdr:to>
      <xdr:col>8</xdr:col>
      <xdr:colOff>219075</xdr:colOff>
      <xdr:row>348</xdr:row>
      <xdr:rowOff>95250</xdr:rowOff>
    </xdr:to>
    <xdr:pic>
      <xdr:nvPicPr>
        <xdr:cNvPr id="12" name="Picture 1"/>
        <xdr:cNvPicPr>
          <a:picLocks noChangeAspect="1" noChangeArrowheads="1"/>
        </xdr:cNvPicPr>
      </xdr:nvPicPr>
      <xdr:blipFill>
        <a:blip r:embed="rId11"/>
        <a:srcRect/>
        <a:stretch>
          <a:fillRect/>
        </a:stretch>
      </xdr:blipFill>
      <xdr:spPr>
        <a:xfrm>
          <a:off x="0" y="119453025"/>
          <a:ext cx="7081520" cy="2597150"/>
        </a:xfrm>
        <a:prstGeom prst="rect">
          <a:avLst/>
        </a:prstGeom>
        <a:noFill/>
        <a:ln w="1">
          <a:noFill/>
          <a:miter lim="800000"/>
          <a:headEnd/>
          <a:tailEnd type="none" w="med" len="med"/>
        </a:ln>
        <a:effectLst/>
      </xdr:spPr>
    </xdr:pic>
    <xdr:clientData/>
  </xdr:twoCellAnchor>
  <xdr:twoCellAnchor editAs="oneCell">
    <xdr:from>
      <xdr:col>0</xdr:col>
      <xdr:colOff>0</xdr:colOff>
      <xdr:row>319</xdr:row>
      <xdr:rowOff>0</xdr:rowOff>
    </xdr:from>
    <xdr:to>
      <xdr:col>2</xdr:col>
      <xdr:colOff>1307465</xdr:colOff>
      <xdr:row>319</xdr:row>
      <xdr:rowOff>26035</xdr:rowOff>
    </xdr:to>
    <xdr:pic>
      <xdr:nvPicPr>
        <xdr:cNvPr id="13" name="Picture 1"/>
        <xdr:cNvPicPr>
          <a:picLocks noChangeAspect="1" noChangeArrowheads="1"/>
        </xdr:cNvPicPr>
      </xdr:nvPicPr>
      <xdr:blipFill>
        <a:blip r:embed="rId12"/>
        <a:srcRect/>
        <a:stretch>
          <a:fillRect/>
        </a:stretch>
      </xdr:blipFill>
      <xdr:spPr>
        <a:xfrm>
          <a:off x="0" y="112779810"/>
          <a:ext cx="3402965" cy="26035"/>
        </a:xfrm>
        <a:prstGeom prst="rect">
          <a:avLst/>
        </a:prstGeom>
        <a:noFill/>
        <a:ln w="1">
          <a:noFill/>
          <a:miter lim="800000"/>
          <a:headEnd/>
          <a:tailEnd type="none" w="med" len="med"/>
        </a:ln>
        <a:effectLst/>
      </xdr:spPr>
    </xdr:pic>
    <xdr:clientData/>
  </xdr:twoCellAnchor>
  <xdr:twoCellAnchor editAs="oneCell">
    <xdr:from>
      <xdr:col>0</xdr:col>
      <xdr:colOff>0</xdr:colOff>
      <xdr:row>286</xdr:row>
      <xdr:rowOff>200026</xdr:rowOff>
    </xdr:from>
    <xdr:to>
      <xdr:col>3</xdr:col>
      <xdr:colOff>398145</xdr:colOff>
      <xdr:row>291</xdr:row>
      <xdr:rowOff>1123951</xdr:rowOff>
    </xdr:to>
    <xdr:pic>
      <xdr:nvPicPr>
        <xdr:cNvPr id="14" name="Picture 1" descr="C:\Users\Administrator\Documents\Tencent Files\1452049538\Image\C2C\Image1\)JWEOX5KT3P@B{04)X(YG0F.png"/>
        <xdr:cNvPicPr>
          <a:picLocks noChangeAspect="1" noChangeArrowheads="1"/>
        </xdr:cNvPicPr>
      </xdr:nvPicPr>
      <xdr:blipFill>
        <a:blip r:embed="rId13"/>
        <a:srcRect/>
        <a:stretch>
          <a:fillRect/>
        </a:stretch>
      </xdr:blipFill>
      <xdr:spPr>
        <a:xfrm>
          <a:off x="0" y="99371785"/>
          <a:ext cx="3846830" cy="2590800"/>
        </a:xfrm>
        <a:prstGeom prst="rect">
          <a:avLst/>
        </a:prstGeom>
        <a:noFill/>
      </xdr:spPr>
    </xdr:pic>
    <xdr:clientData/>
  </xdr:twoCellAnchor>
  <xdr:twoCellAnchor editAs="oneCell">
    <xdr:from>
      <xdr:col>0</xdr:col>
      <xdr:colOff>0</xdr:colOff>
      <xdr:row>309</xdr:row>
      <xdr:rowOff>1581150</xdr:rowOff>
    </xdr:from>
    <xdr:to>
      <xdr:col>1</xdr:col>
      <xdr:colOff>1074420</xdr:colOff>
      <xdr:row>309</xdr:row>
      <xdr:rowOff>1581150</xdr:rowOff>
    </xdr:to>
    <xdr:pic>
      <xdr:nvPicPr>
        <xdr:cNvPr id="15" name="Picture 2"/>
        <xdr:cNvPicPr>
          <a:picLocks noChangeAspect="1" noChangeArrowheads="1"/>
        </xdr:cNvPicPr>
      </xdr:nvPicPr>
      <xdr:blipFill>
        <a:blip r:embed="rId1" cstate="print"/>
        <a:srcRect/>
        <a:stretch>
          <a:fillRect/>
        </a:stretch>
      </xdr:blipFill>
      <xdr:spPr>
        <a:xfrm>
          <a:off x="0" y="109068235"/>
          <a:ext cx="1528445" cy="0"/>
        </a:xfrm>
        <a:prstGeom prst="rect">
          <a:avLst/>
        </a:prstGeom>
        <a:noFill/>
        <a:ln w="1">
          <a:noFill/>
          <a:miter lim="800000"/>
          <a:headEnd/>
          <a:tailEnd type="none" w="med" len="med"/>
        </a:ln>
        <a:effectLst/>
      </xdr:spPr>
    </xdr:pic>
    <xdr:clientData/>
  </xdr:twoCellAnchor>
  <xdr:twoCellAnchor editAs="oneCell">
    <xdr:from>
      <xdr:col>0</xdr:col>
      <xdr:colOff>0</xdr:colOff>
      <xdr:row>309</xdr:row>
      <xdr:rowOff>361950</xdr:rowOff>
    </xdr:from>
    <xdr:to>
      <xdr:col>2</xdr:col>
      <xdr:colOff>1079500</xdr:colOff>
      <xdr:row>309</xdr:row>
      <xdr:rowOff>361950</xdr:rowOff>
    </xdr:to>
    <xdr:pic>
      <xdr:nvPicPr>
        <xdr:cNvPr id="16" name="Picture 1" descr="C:\Users\Administrator\AppData\Roaming\Tencent\Users\798028700\QQ\WinTemp\RichOle\%%94Q0GH)IWV)HTT5KQ35]O.png"/>
        <xdr:cNvPicPr>
          <a:picLocks noChangeAspect="1" noChangeArrowheads="1"/>
        </xdr:cNvPicPr>
      </xdr:nvPicPr>
      <xdr:blipFill>
        <a:blip r:embed="rId3" cstate="print"/>
        <a:srcRect/>
        <a:stretch>
          <a:fillRect/>
        </a:stretch>
      </xdr:blipFill>
      <xdr:spPr>
        <a:xfrm>
          <a:off x="0" y="107849035"/>
          <a:ext cx="3175000" cy="0"/>
        </a:xfrm>
        <a:prstGeom prst="rect">
          <a:avLst/>
        </a:prstGeom>
        <a:noFill/>
      </xdr:spPr>
    </xdr:pic>
    <xdr:clientData/>
  </xdr:twoCellAnchor>
  <xdr:twoCellAnchor editAs="oneCell">
    <xdr:from>
      <xdr:col>0</xdr:col>
      <xdr:colOff>0</xdr:colOff>
      <xdr:row>285</xdr:row>
      <xdr:rowOff>28575</xdr:rowOff>
    </xdr:from>
    <xdr:to>
      <xdr:col>4</xdr:col>
      <xdr:colOff>147320</xdr:colOff>
      <xdr:row>291</xdr:row>
      <xdr:rowOff>838200</xdr:rowOff>
    </xdr:to>
    <xdr:pic>
      <xdr:nvPicPr>
        <xdr:cNvPr id="17" name="Picture 1" descr="C:\Users\Administrator\Documents\Tencent Files\1452049538\Image\C2C\Image1\)JWEOX5KT3P@B{04)X(YG0F.png"/>
        <xdr:cNvPicPr>
          <a:picLocks noChangeAspect="1" noChangeArrowheads="1"/>
        </xdr:cNvPicPr>
      </xdr:nvPicPr>
      <xdr:blipFill>
        <a:blip r:embed="rId13"/>
        <a:srcRect/>
        <a:stretch>
          <a:fillRect/>
        </a:stretch>
      </xdr:blipFill>
      <xdr:spPr>
        <a:xfrm>
          <a:off x="0" y="98866960"/>
          <a:ext cx="4145915" cy="2809875"/>
        </a:xfrm>
        <a:prstGeom prst="rect">
          <a:avLst/>
        </a:prstGeom>
        <a:noFill/>
      </xdr:spPr>
    </xdr:pic>
    <xdr:clientData/>
  </xdr:twoCellAnchor>
  <xdr:twoCellAnchor editAs="oneCell">
    <xdr:from>
      <xdr:col>0</xdr:col>
      <xdr:colOff>0</xdr:colOff>
      <xdr:row>304</xdr:row>
      <xdr:rowOff>161925</xdr:rowOff>
    </xdr:from>
    <xdr:to>
      <xdr:col>2</xdr:col>
      <xdr:colOff>754380</xdr:colOff>
      <xdr:row>309</xdr:row>
      <xdr:rowOff>1695450</xdr:rowOff>
    </xdr:to>
    <xdr:pic>
      <xdr:nvPicPr>
        <xdr:cNvPr id="18" name="Picture 1" descr="C:\Users\Administrator\AppData\Roaming\Tencent\Users\1452049538\QQ\WinTemp\RichOle\M_7P5K~6]V1VPZ)R9Y9)5@G.png"/>
        <xdr:cNvPicPr>
          <a:picLocks noChangeAspect="1" noChangeArrowheads="1"/>
        </xdr:cNvPicPr>
      </xdr:nvPicPr>
      <xdr:blipFill>
        <a:blip r:embed="rId14"/>
        <a:srcRect/>
        <a:stretch>
          <a:fillRect/>
        </a:stretch>
      </xdr:blipFill>
      <xdr:spPr>
        <a:xfrm>
          <a:off x="0" y="105982135"/>
          <a:ext cx="2849880" cy="3200400"/>
        </a:xfrm>
        <a:prstGeom prst="rect">
          <a:avLst/>
        </a:prstGeom>
        <a:noFill/>
      </xdr:spPr>
    </xdr:pic>
    <xdr:clientData/>
  </xdr:twoCellAnchor>
  <xdr:twoCellAnchor editAs="oneCell">
    <xdr:from>
      <xdr:col>0</xdr:col>
      <xdr:colOff>0</xdr:colOff>
      <xdr:row>304</xdr:row>
      <xdr:rowOff>276225</xdr:rowOff>
    </xdr:from>
    <xdr:to>
      <xdr:col>6</xdr:col>
      <xdr:colOff>371475</xdr:colOff>
      <xdr:row>309</xdr:row>
      <xdr:rowOff>1600200</xdr:rowOff>
    </xdr:to>
    <xdr:pic>
      <xdr:nvPicPr>
        <xdr:cNvPr id="19" name="Picture 1" descr="C:\Users\Administrator\AppData\Roaming\Tencent\Users\1452049538\QQ\WinTemp\RichOle\_VC]0QTRQ~BLH51TPOYE2I1.png"/>
        <xdr:cNvPicPr>
          <a:picLocks noChangeAspect="1" noChangeArrowheads="1"/>
        </xdr:cNvPicPr>
      </xdr:nvPicPr>
      <xdr:blipFill>
        <a:blip r:embed="rId15"/>
        <a:srcRect/>
        <a:stretch>
          <a:fillRect/>
        </a:stretch>
      </xdr:blipFill>
      <xdr:spPr>
        <a:xfrm>
          <a:off x="0" y="106096435"/>
          <a:ext cx="5828030" cy="2990850"/>
        </a:xfrm>
        <a:prstGeom prst="rect">
          <a:avLst/>
        </a:prstGeom>
        <a:noFill/>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3"/>
  <sheetViews>
    <sheetView tabSelected="1" workbookViewId="0">
      <selection activeCell="R30" sqref="R30"/>
    </sheetView>
  </sheetViews>
  <sheetFormatPr defaultColWidth="9" defaultRowHeight="14"/>
  <cols>
    <col min="1" max="1" width="6.5" style="1" customWidth="1"/>
    <col min="2" max="2" width="23.5" style="1" customWidth="1"/>
    <col min="3" max="3" width="19.3727272727273" style="1" customWidth="1"/>
    <col min="4" max="4" width="7.87272727272727" style="1" customWidth="1"/>
    <col min="5" max="5" width="10.3727272727273" style="1" customWidth="1"/>
    <col min="6" max="6" width="10.5" style="1" customWidth="1"/>
    <col min="7" max="7" width="10.2545454545455" style="1" customWidth="1"/>
    <col min="8" max="8" width="9.87272727272727" style="1" customWidth="1"/>
    <col min="9" max="9" width="12.1272727272727" style="1" customWidth="1"/>
    <col min="10" max="10" width="17.5" style="1" customWidth="1"/>
    <col min="11" max="12" width="9" style="1"/>
    <col min="13" max="13" width="15.3727272727273" style="1" customWidth="1"/>
    <col min="14" max="16" width="9" style="1"/>
    <col min="17" max="17" width="15" style="1" customWidth="1"/>
    <col min="18" max="18" width="9" style="1"/>
    <col min="19" max="19" width="6" style="1" hidden="1" customWidth="1"/>
    <col min="20" max="22" width="9" style="1"/>
    <col min="23" max="23" width="10.8727272727273" style="1" customWidth="1"/>
    <col min="24" max="16374" width="9" style="1"/>
  </cols>
  <sheetData>
    <row r="1" s="1" customFormat="1"/>
    <row r="2" s="1" customFormat="1"/>
    <row r="3" s="1" customFormat="1"/>
    <row r="4" s="1" customFormat="1"/>
    <row r="5" s="1" customFormat="1"/>
    <row r="6" s="1" customFormat="1"/>
    <row r="7" s="1" customFormat="1"/>
    <row r="8" s="1" customFormat="1"/>
    <row r="9" s="1" customFormat="1"/>
    <row r="10" s="1" customFormat="1" ht="26.45" customHeight="1" spans="1:9">
      <c r="A10" s="7" t="s">
        <v>0</v>
      </c>
      <c r="B10" s="7"/>
      <c r="C10" s="7"/>
      <c r="D10" s="7"/>
      <c r="E10" s="7"/>
      <c r="F10" s="7"/>
      <c r="G10" s="7"/>
      <c r="H10" s="7"/>
      <c r="I10" s="8"/>
    </row>
    <row r="11" s="2" customFormat="1" ht="15" spans="1:9">
      <c r="A11" s="9" t="s">
        <v>1</v>
      </c>
      <c r="B11" s="9"/>
      <c r="C11" s="9"/>
      <c r="D11" s="9"/>
      <c r="E11" s="9"/>
      <c r="F11" s="9"/>
      <c r="G11" s="9"/>
      <c r="H11" s="9"/>
      <c r="I11" s="9"/>
    </row>
    <row r="12" s="2" customFormat="1" ht="15" spans="1:9">
      <c r="A12" s="9" t="s">
        <v>2</v>
      </c>
      <c r="B12" s="9"/>
      <c r="C12" s="9"/>
      <c r="D12" s="9"/>
      <c r="E12" s="9"/>
      <c r="F12" s="9"/>
      <c r="G12" s="9"/>
      <c r="H12" s="9"/>
      <c r="I12" s="9"/>
    </row>
    <row r="13" s="2" customFormat="1" ht="15" spans="1:9">
      <c r="A13" s="9" t="s">
        <v>3</v>
      </c>
      <c r="B13" s="9"/>
      <c r="C13" s="9"/>
      <c r="D13" s="9"/>
      <c r="E13" s="9"/>
      <c r="F13" s="9"/>
      <c r="G13" s="9"/>
      <c r="H13" s="9"/>
      <c r="I13" s="9"/>
    </row>
    <row r="14" s="1" customFormat="1" ht="17.5" spans="1:9">
      <c r="A14" s="10" t="s">
        <v>4</v>
      </c>
      <c r="B14" s="10"/>
      <c r="C14" s="10"/>
      <c r="D14" s="10"/>
      <c r="E14" s="10"/>
      <c r="F14" s="10"/>
      <c r="G14" s="10"/>
      <c r="H14" s="10"/>
      <c r="I14" s="10"/>
    </row>
    <row r="15" s="1" customFormat="1"/>
    <row r="16" s="3" customFormat="1" ht="18" customHeight="1" spans="1:9">
      <c r="B16" s="11"/>
      <c r="C16" s="11"/>
      <c r="D16" s="11"/>
      <c r="E16" s="11"/>
      <c r="F16" s="11" t="s">
        <v>5</v>
      </c>
      <c r="G16" s="11">
        <v>26081705</v>
      </c>
      <c r="H16" s="11"/>
      <c r="I16" s="11"/>
    </row>
    <row r="17" s="3" customFormat="1" ht="18" customHeight="1" spans="1:9">
      <c r="A17" s="11" t="s">
        <v>6</v>
      </c>
      <c r="B17" s="11"/>
      <c r="C17" s="11"/>
      <c r="D17" s="11"/>
      <c r="E17" s="11"/>
      <c r="F17" s="11" t="s">
        <v>7</v>
      </c>
      <c r="G17" s="12">
        <v>46251</v>
      </c>
      <c r="H17" s="12"/>
      <c r="I17" s="12"/>
    </row>
    <row r="18" s="3" customFormat="1" ht="18" customHeight="1" spans="1:9">
      <c r="A18" s="11" t="s">
        <v>8</v>
      </c>
      <c r="B18" s="11"/>
      <c r="C18" s="11"/>
      <c r="D18" s="11"/>
      <c r="E18" s="11"/>
      <c r="F18" s="11" t="s">
        <v>9</v>
      </c>
      <c r="G18" s="12">
        <v>46253</v>
      </c>
      <c r="H18" s="12"/>
      <c r="I18" s="12"/>
    </row>
    <row r="19" s="3" customFormat="1" ht="18" customHeight="1" spans="1:9">
      <c r="A19" s="13" t="s">
        <v>10</v>
      </c>
      <c r="B19" s="13"/>
      <c r="C19" s="13"/>
      <c r="D19" s="13"/>
      <c r="E19" s="13"/>
      <c r="F19" s="11" t="s">
        <v>11</v>
      </c>
      <c r="G19" s="14" t="s">
        <v>12</v>
      </c>
      <c r="H19" s="14"/>
      <c r="I19" s="11"/>
    </row>
    <row r="20" s="4" customFormat="1" ht="27.75" customHeight="1" spans="1:9">
      <c r="A20" s="15" t="s">
        <v>13</v>
      </c>
      <c r="B20" s="15" t="s">
        <v>14</v>
      </c>
      <c r="C20" s="15" t="s">
        <v>15</v>
      </c>
      <c r="D20" s="15" t="s">
        <v>16</v>
      </c>
      <c r="E20" s="15" t="s">
        <v>17</v>
      </c>
      <c r="F20" s="15" t="s">
        <v>18</v>
      </c>
      <c r="G20" s="15" t="s">
        <v>19</v>
      </c>
      <c r="H20" s="15" t="s">
        <v>20</v>
      </c>
      <c r="I20" s="16"/>
    </row>
    <row r="21" s="4" customFormat="1" ht="29.25" customHeight="1" spans="1:9">
      <c r="A21" s="17">
        <v>1</v>
      </c>
      <c r="B21" s="17" t="s">
        <v>21</v>
      </c>
      <c r="C21" s="18" t="s">
        <v>22</v>
      </c>
      <c r="D21" s="15" t="s">
        <v>23</v>
      </c>
      <c r="E21" s="19">
        <v>3000</v>
      </c>
      <c r="F21" s="20">
        <v>0.28</v>
      </c>
      <c r="G21" s="15">
        <f>F21*E21</f>
        <v>840</v>
      </c>
      <c r="H21" s="21"/>
      <c r="I21" s="11" t="s">
        <v>24</v>
      </c>
    </row>
    <row r="22" s="4" customFormat="1" ht="29.25" customHeight="1" spans="1:9">
      <c r="A22" s="15">
        <v>2</v>
      </c>
      <c r="B22" s="17" t="s">
        <v>25</v>
      </c>
      <c r="C22" s="17" t="s">
        <v>26</v>
      </c>
      <c r="D22" s="15" t="s">
        <v>23</v>
      </c>
      <c r="E22" s="15">
        <v>24000</v>
      </c>
      <c r="F22" s="20">
        <v>0.11</v>
      </c>
      <c r="G22" s="15">
        <f>F22*E22</f>
        <v>2640</v>
      </c>
      <c r="H22" s="21" t="s">
        <v>27</v>
      </c>
      <c r="I22" s="11"/>
    </row>
    <row r="23" s="3" customFormat="1" ht="29.25" customHeight="1" spans="1:9">
      <c r="A23" s="22"/>
      <c r="B23" s="23"/>
      <c r="D23" s="24"/>
      <c r="E23" s="24"/>
      <c r="F23" s="24" t="s">
        <v>28</v>
      </c>
      <c r="G23" s="22">
        <f>SUM(G21:G22)</f>
        <v>3480</v>
      </c>
      <c r="H23" s="24"/>
      <c r="I23" s="25"/>
    </row>
    <row r="24" s="3" customFormat="1" ht="200.25" customHeight="1" spans="1:9">
      <c r="A24" s="26" t="s">
        <v>29</v>
      </c>
      <c r="B24" s="26"/>
      <c r="C24" s="26"/>
      <c r="D24" s="26"/>
      <c r="E24" s="26"/>
      <c r="F24" s="26"/>
      <c r="G24" s="26"/>
      <c r="H24" s="26"/>
      <c r="I24" s="27"/>
    </row>
    <row r="25" s="1" customFormat="1" ht="15" spans="1:9">
      <c r="G25" s="2" t="s">
        <v>30</v>
      </c>
    </row>
    <row r="26" s="1" customFormat="1" ht="18.75" customHeight="1" spans="1:9">
      <c r="A26" s="1" t="s">
        <v>31</v>
      </c>
      <c r="C26" s="28" t="s">
        <v>32</v>
      </c>
      <c r="G26" s="1" t="s">
        <v>33</v>
      </c>
    </row>
    <row r="27" s="1" customFormat="1"/>
    <row r="28" s="4" customFormat="1" ht="27.75" customHeight="1"/>
    <row r="29" s="4" customFormat="1" ht="29.25" customHeight="1"/>
    <row r="30" s="4" customFormat="1" ht="29.25" customHeight="1"/>
    <row r="31" s="4" customFormat="1" ht="27.75" customHeight="1"/>
    <row r="32" s="4" customFormat="1" ht="29.25" customHeight="1"/>
    <row r="33" s="4" customFormat="1" ht="29.25" customHeight="1"/>
    <row r="34" s="4" customFormat="1" ht="29.25" customHeight="1"/>
    <row r="35" s="4" customFormat="1" ht="29.25" customHeight="1"/>
    <row r="36" s="4" customFormat="1" ht="27.75" customHeight="1"/>
    <row r="37" s="4" customFormat="1" ht="29.25" customHeight="1"/>
    <row r="38" s="4" customFormat="1" ht="27.75" customHeight="1"/>
    <row r="39" s="4" customFormat="1" ht="29.25" customHeight="1"/>
    <row r="40" s="4" customFormat="1" ht="29.25" customHeight="1"/>
    <row r="41" s="4" customFormat="1" ht="29.25" customHeight="1"/>
    <row r="42" s="4" customFormat="1" ht="29.25" customHeight="1"/>
    <row r="43" s="4" customFormat="1" ht="29.25" customHeight="1"/>
    <row r="44" s="4" customFormat="1" ht="27.75" customHeight="1"/>
    <row r="45" s="4" customFormat="1" ht="29.25" customHeight="1"/>
    <row r="46" s="4" customFormat="1" ht="29.25" customHeight="1"/>
    <row r="47" s="4" customFormat="1" ht="29.25" customHeight="1"/>
    <row r="48" s="4" customFormat="1" ht="29.25" customHeight="1"/>
    <row r="49" s="4" customFormat="1" ht="29.25" customHeight="1"/>
    <row r="50" s="4" customFormat="1" ht="29.25" customHeight="1"/>
    <row r="51" s="4" customFormat="1" ht="29.25" customHeight="1"/>
    <row r="52" s="4" customFormat="1" ht="29.25" customHeight="1"/>
    <row r="53" s="4" customFormat="1" ht="29.25" customHeight="1"/>
    <row r="54" s="4" customFormat="1" ht="29.25" customHeight="1"/>
    <row r="55" s="4" customFormat="1" ht="29.25" customHeight="1"/>
    <row r="56" s="4" customFormat="1" ht="29.25" customHeight="1"/>
    <row r="57" s="4" customFormat="1" ht="27.75" customHeight="1"/>
    <row r="58" s="4" customFormat="1" ht="27.75" customHeight="1"/>
    <row r="59" s="4" customFormat="1" ht="29.25" customHeight="1"/>
    <row r="60" s="5" customFormat="1" ht="21.75" customHeight="1"/>
    <row r="61" s="4" customFormat="1" ht="29.25" customHeight="1"/>
    <row r="62" s="4" customFormat="1" ht="29.25" customHeight="1"/>
    <row r="63" s="4" customFormat="1" ht="29.25" customHeight="1"/>
    <row r="64" s="4" customFormat="1" ht="27.75" customHeight="1"/>
    <row r="65" s="4" customFormat="1" ht="27.75" customHeight="1"/>
    <row r="66" s="4" customFormat="1" ht="29.25" customHeight="1"/>
    <row r="67" s="4" customFormat="1" ht="29.25" customHeight="1"/>
    <row r="68" s="4" customFormat="1" ht="27.75" customHeight="1"/>
    <row r="69" s="4" customFormat="1" ht="27.75" customHeight="1"/>
    <row r="70" s="4" customFormat="1" ht="29.25" customHeight="1"/>
    <row r="71" s="4" customFormat="1" ht="29.25" customHeight="1"/>
    <row r="72" s="4" customFormat="1" ht="29.25" customHeight="1"/>
    <row r="73" s="4" customFormat="1" ht="29.25" customHeight="1"/>
    <row r="74" s="4" customFormat="1" ht="29.25" customHeight="1"/>
    <row r="75" s="4" customFormat="1" ht="29.25" customHeight="1"/>
    <row r="76" s="4" customFormat="1" ht="27.75" customHeight="1"/>
    <row r="77" s="4" customFormat="1" ht="29.25" customHeight="1"/>
    <row r="78" s="4" customFormat="1" ht="29.25" customHeight="1"/>
    <row r="79" s="4" customFormat="1" ht="29.25" customHeight="1"/>
    <row r="80" s="4" customFormat="1" ht="29.25" customHeight="1"/>
    <row r="81" s="4" customFormat="1" ht="29.25" customHeight="1"/>
    <row r="82" s="4" customFormat="1" ht="29.25" customHeight="1"/>
    <row r="83" s="4" customFormat="1" ht="29.25" customHeight="1"/>
    <row r="84" s="4" customFormat="1" ht="29.25" customHeight="1"/>
    <row r="85" s="4" customFormat="1" ht="29.25" customHeight="1"/>
    <row r="86" s="4" customFormat="1" ht="27.75" customHeight="1"/>
    <row r="87" s="4" customFormat="1" ht="29.25" customHeight="1"/>
    <row r="88" s="4" customFormat="1" ht="29.25" customHeight="1"/>
    <row r="89" s="4" customFormat="1" ht="29.25" customHeight="1"/>
    <row r="90" s="4" customFormat="1" ht="29.25" customHeight="1"/>
    <row r="91" s="4" customFormat="1" ht="29.25" customHeight="1"/>
    <row r="92" s="4" customFormat="1" ht="29.25" customHeight="1"/>
    <row r="93" s="4" customFormat="1" ht="29.25" customHeight="1"/>
    <row r="94" s="4" customFormat="1" ht="29.25" customHeight="1"/>
    <row r="95" s="4" customFormat="1" ht="29.25" customHeight="1"/>
    <row r="96" s="4" customFormat="1" ht="30" customHeight="1"/>
    <row r="97" s="4" customFormat="1" ht="29.25" customHeight="1"/>
    <row r="98" s="4" customFormat="1" ht="29.25" customHeight="1"/>
    <row r="99" s="4" customFormat="1" ht="29.25" customHeight="1"/>
    <row r="100" s="4" customFormat="1" ht="29.25" customHeight="1"/>
    <row r="101" s="4" customFormat="1" ht="27.75" customHeight="1"/>
    <row r="102" s="4" customFormat="1" ht="29.25" customHeight="1"/>
    <row r="103" s="4" customFormat="1" ht="29.25" customHeight="1"/>
    <row r="104" s="4" customFormat="1" ht="29.25" customHeight="1"/>
    <row r="105" s="4" customFormat="1" ht="29.25" customHeight="1"/>
    <row r="106" s="4" customFormat="1" ht="29.25" customHeight="1"/>
    <row r="107" s="4" customFormat="1" ht="29.25" customHeight="1"/>
    <row r="108" s="4" customFormat="1" ht="29.25" customHeight="1"/>
    <row r="109" s="4" customFormat="1" ht="29.25" customHeight="1"/>
    <row r="110" s="4" customFormat="1" ht="29.25" customHeight="1"/>
    <row r="111" s="4" customFormat="1" ht="29.25" customHeight="1"/>
    <row r="112" s="4" customFormat="1" ht="29.25" customHeight="1"/>
    <row r="113" s="4" customFormat="1" ht="29.25" customHeight="1"/>
    <row r="114" s="4" customFormat="1" ht="29.25" customHeight="1"/>
    <row r="115" s="4" customFormat="1" ht="29.25" customHeight="1"/>
    <row r="116" s="4" customFormat="1" ht="29.25" customHeight="1"/>
    <row r="117" s="4" customFormat="1" ht="29.25" customHeight="1"/>
    <row r="118" s="4" customFormat="1" ht="29.25" customHeight="1"/>
    <row r="119" s="4" customFormat="1" ht="27.75" customHeight="1"/>
    <row r="120" s="4" customFormat="1" ht="29.25" customHeight="1"/>
    <row r="121" s="4" customFormat="1" ht="29.25" customHeight="1"/>
    <row r="122" s="4" customFormat="1" ht="29.25" customHeight="1"/>
    <row r="123" s="4" customFormat="1" ht="29.25" customHeight="1"/>
    <row r="124" s="4" customFormat="1" ht="29.25" customHeight="1"/>
    <row r="125" s="5" customFormat="1" ht="21.75" customHeight="1"/>
    <row r="126" s="4" customFormat="1" ht="29.25" customHeight="1"/>
    <row r="127" s="4" customFormat="1" ht="29.25" customHeight="1"/>
    <row r="128" s="4" customFormat="1" ht="29.25" customHeight="1"/>
    <row r="129" s="4" customFormat="1" ht="29.25" customHeight="1"/>
    <row r="130" s="4" customFormat="1" ht="29.25" customHeight="1"/>
    <row r="131" s="4" customFormat="1" ht="29.25" customHeight="1"/>
    <row r="132" s="4" customFormat="1" ht="27.75" customHeight="1"/>
    <row r="133" s="4" customFormat="1" ht="27.75" customHeight="1"/>
    <row r="134" s="4" customFormat="1" ht="27.75" customHeight="1"/>
    <row r="135" s="4" customFormat="1" ht="27.75" customHeight="1"/>
    <row r="136" s="4" customFormat="1" ht="29.25" customHeight="1"/>
    <row r="137" s="4" customFormat="1" ht="29.25" customHeight="1"/>
    <row r="138" s="4" customFormat="1" ht="29.25" customHeight="1"/>
    <row r="139" s="4" customFormat="1" ht="29.25" customHeight="1"/>
    <row r="140" s="4" customFormat="1" ht="29.25" customHeight="1"/>
    <row r="141" s="4" customFormat="1" ht="29.25" customHeight="1"/>
    <row r="142" s="4" customFormat="1" ht="29.25" customHeight="1"/>
    <row r="143" s="4" customFormat="1" ht="27.75" customHeight="1"/>
    <row r="144" s="4" customFormat="1" ht="29.25" customHeight="1"/>
    <row r="145" s="4" customFormat="1" ht="29.25" customHeight="1"/>
    <row r="146" s="4" customFormat="1" ht="29.25" customHeight="1"/>
    <row r="147" s="4" customFormat="1" ht="29.25" customHeight="1"/>
    <row r="148" s="4" customFormat="1" ht="29.25" customHeight="1"/>
    <row r="149" s="4" customFormat="1" ht="27.75" customHeight="1"/>
    <row r="150" s="4" customFormat="1" ht="29.25" customHeight="1"/>
    <row r="151" s="4" customFormat="1" ht="29.25" customHeight="1"/>
    <row r="152" s="4" customFormat="1" ht="29.25" customHeight="1"/>
    <row r="153" s="4" customFormat="1" ht="29.25" customHeight="1"/>
    <row r="154" s="4" customFormat="1" ht="27.75" customHeight="1"/>
    <row r="155" s="4" customFormat="1" ht="29.25" customHeight="1"/>
    <row r="156" s="4" customFormat="1" ht="29.25" customHeight="1"/>
    <row r="157" s="4" customFormat="1" ht="29.25" customHeight="1"/>
    <row r="158" s="4" customFormat="1" ht="29.25" customHeight="1"/>
    <row r="159" s="4" customFormat="1" ht="29.25" customHeight="1"/>
    <row r="160" s="4" customFormat="1" ht="29.25" customHeight="1"/>
    <row r="161" s="4" customFormat="1" ht="29.25" customHeight="1"/>
    <row r="162" s="4" customFormat="1" ht="29.25" customHeight="1"/>
    <row r="163" s="4" customFormat="1" ht="29.25" customHeight="1"/>
    <row r="164" s="4" customFormat="1" ht="29.25" customHeight="1"/>
    <row r="165" s="4" customFormat="1" ht="29.25" customHeight="1"/>
    <row r="166" s="4" customFormat="1" ht="29.25" customHeight="1"/>
    <row r="167" s="4" customFormat="1" ht="29.25" customHeight="1"/>
    <row r="168" s="4" customFormat="1" ht="29.25" customHeight="1"/>
    <row r="169" s="4" customFormat="1" ht="29.25" customHeight="1"/>
    <row r="170" s="4" customFormat="1" ht="29.25" customHeight="1"/>
    <row r="171" s="4" customFormat="1" ht="29.25" customHeight="1"/>
    <row r="172" s="4" customFormat="1" ht="29.25" customHeight="1"/>
    <row r="173" s="4" customFormat="1" ht="29.25" customHeight="1"/>
    <row r="174" s="1" customFormat="1"/>
    <row r="175" s="1" customFormat="1"/>
    <row r="176" s="1" customFormat="1" ht="24.75" customHeight="1"/>
    <row r="177" s="2" customFormat="1"/>
    <row r="178" s="2" customFormat="1"/>
    <row r="179" s="2" customFormat="1"/>
    <row r="180" s="2" customFormat="1"/>
    <row r="181" s="1" customFormat="1"/>
    <row r="182" s="3" customFormat="1" ht="16.5" customHeight="1"/>
    <row r="183" s="3" customFormat="1" ht="16.5" customHeight="1"/>
    <row r="184" s="3" customFormat="1" ht="16.5" customHeight="1"/>
    <row r="185" s="3" customFormat="1" ht="16.5" customHeight="1"/>
    <row r="186" s="4" customFormat="1" ht="27.75" customHeight="1"/>
    <row r="187" s="1" customFormat="1" ht="22.5" customHeight="1"/>
    <row r="188" s="3" customFormat="1" ht="27.75" customHeight="1"/>
    <row r="189" s="3" customFormat="1" ht="27.75" customHeight="1"/>
    <row r="190" s="3" customFormat="1" ht="195" customHeight="1"/>
    <row r="191" s="1" customFormat="1"/>
    <row r="192" s="1" customFormat="1" ht="20.25" customHeight="1"/>
    <row r="193" s="1" customFormat="1" ht="20.25" customHeight="1"/>
    <row r="194" s="1" customFormat="1" ht="20.25" customHeight="1"/>
    <row r="195" s="1" customFormat="1" ht="20.25" customHeight="1"/>
    <row r="196" s="4" customFormat="1" ht="27.75" customHeight="1"/>
    <row r="197" s="1" customFormat="1" ht="45" customHeight="1"/>
    <row r="198" s="3" customFormat="1" ht="27.75" customHeight="1"/>
    <row r="199" s="1" customFormat="1" ht="22.5" customHeight="1"/>
    <row r="200" s="1" customFormat="1" ht="22.5" customHeight="1"/>
    <row r="201" s="1" customFormat="1" ht="22.5" customHeight="1"/>
    <row r="202" s="1" customFormat="1" ht="45" customHeight="1"/>
    <row r="203" s="3" customFormat="1" ht="27.75" customHeight="1"/>
    <row r="204" s="1" customFormat="1" ht="45" customHeight="1"/>
    <row r="205" s="3" customFormat="1" ht="27.75" customHeight="1"/>
    <row r="206" s="1" customFormat="1" ht="22.5" customHeight="1"/>
    <row r="207" s="1" customFormat="1" ht="22.5" customHeight="1"/>
    <row r="208" s="1" customFormat="1" ht="22.5" customHeight="1"/>
    <row r="209" s="3" customFormat="1" ht="27.75" customHeight="1"/>
    <row r="210" s="1" customFormat="1" ht="34.15" customHeight="1"/>
    <row r="211" s="1" customFormat="1" ht="22.5" customHeight="1"/>
    <row r="212" s="1" customFormat="1" ht="22.5" customHeight="1"/>
    <row r="213" s="3" customFormat="1" ht="27.75" customHeight="1"/>
    <row r="214" s="1" customFormat="1" ht="34.15" customHeight="1"/>
    <row r="215" s="1" customFormat="1" ht="22.5" customHeight="1"/>
    <row r="216" s="1" customFormat="1" ht="22.5" customHeight="1"/>
    <row r="217" s="3" customFormat="1" ht="27.75" customHeight="1"/>
    <row r="218" s="1" customFormat="1" ht="22.5" customHeight="1"/>
    <row r="219" s="3" customFormat="1" ht="27.75" customHeight="1"/>
    <row r="220" s="1" customFormat="1" ht="34.15" customHeight="1"/>
    <row r="221" s="1" customFormat="1" ht="22.5" customHeight="1"/>
    <row r="222" s="3" customFormat="1" ht="27.75" customHeight="1"/>
    <row r="223" s="1" customFormat="1" ht="22.5" customHeight="1"/>
    <row r="224" s="3" customFormat="1" ht="27.75" customHeight="1"/>
    <row r="225" s="1" customFormat="1" ht="34.15" customHeight="1"/>
    <row r="226" s="1" customFormat="1" ht="22.5" customHeight="1"/>
    <row r="227" s="1" customFormat="1" ht="22.5" customHeight="1"/>
    <row r="228" s="1" customFormat="1" ht="22.5" customHeight="1"/>
    <row r="229" s="1" customFormat="1" ht="22.5" customHeight="1"/>
    <row r="230" s="1" customFormat="1" ht="22.5" customHeight="1"/>
    <row r="231" s="3" customFormat="1" ht="27.75" customHeight="1"/>
    <row r="232" s="3" customFormat="1" ht="27.75" customHeight="1"/>
    <row r="233" s="1" customFormat="1" ht="22.5" customHeight="1"/>
    <row r="234" s="1" customFormat="1" ht="22.5" customHeight="1"/>
    <row r="235" s="3" customFormat="1" ht="27.75" customHeight="1"/>
    <row r="236" s="3" customFormat="1" ht="27.75" customHeight="1"/>
    <row r="237" s="1" customFormat="1" ht="22.5" customHeight="1"/>
    <row r="238" s="1" customFormat="1" ht="22.5" customHeight="1"/>
    <row r="239" s="3" customFormat="1" ht="27.75" customHeight="1"/>
    <row r="240" s="3" customFormat="1" ht="27.75" customHeight="1"/>
    <row r="241" s="1" customFormat="1" ht="20.25" customHeight="1"/>
    <row r="242" s="1" customFormat="1" ht="20.25" customHeight="1"/>
    <row r="243" s="1" customFormat="1" ht="20.25" customHeight="1"/>
    <row r="244" s="1" customFormat="1" ht="20.25" customHeight="1"/>
    <row r="245" s="1" customFormat="1" ht="23.25" customHeight="1"/>
    <row r="246" s="2" customFormat="1"/>
    <row r="247" s="2" customFormat="1"/>
    <row r="248" s="2" customFormat="1"/>
    <row r="249" s="1" customFormat="1"/>
    <row r="250" s="1" customFormat="1"/>
    <row r="251" s="3" customFormat="1" ht="16.5" customHeight="1"/>
    <row r="252" s="3" customFormat="1" ht="16.5" customHeight="1"/>
    <row r="253" s="3" customFormat="1" ht="16.5" customHeight="1"/>
    <row r="254" s="3" customFormat="1" ht="16.5" customHeight="1"/>
    <row r="255" s="4" customFormat="1" ht="29.25" customHeight="1"/>
    <row r="256" s="4" customFormat="1" ht="29.25" customHeight="1"/>
    <row r="257" s="3" customFormat="1" ht="29.25" customHeight="1"/>
    <row r="258" s="3" customFormat="1" ht="29.25" customHeight="1"/>
    <row r="259" s="3" customFormat="1" ht="195" customHeight="1"/>
    <row r="260" s="1" customFormat="1" ht="26.25" customHeight="1"/>
    <row r="261" s="3" customFormat="1" ht="21.75" customHeight="1"/>
    <row r="262" s="4" customFormat="1" ht="29.25" customHeight="1"/>
    <row r="263" s="1" customFormat="1" ht="22.5" customHeight="1"/>
    <row r="264" s="1" customFormat="1" ht="22.5" customHeight="1"/>
    <row r="265" s="1" customFormat="1" ht="22.5" customHeight="1"/>
    <row r="266" s="1" customFormat="1" ht="22.5" customHeight="1"/>
    <row r="267" s="4" customFormat="1" ht="29.25" customHeight="1"/>
    <row r="268" s="4" customFormat="1" ht="29.25" customHeight="1"/>
    <row r="269" s="1" customFormat="1" ht="22.5" customHeight="1"/>
    <row r="270" s="1" customFormat="1" ht="22.5" customHeight="1"/>
    <row r="271" s="1" customFormat="1" ht="22.5" customHeight="1"/>
    <row r="272" s="1" customFormat="1" ht="22.5" customHeight="1"/>
    <row r="273" s="3" customFormat="1" ht="29.25" customHeight="1"/>
    <row r="274" s="3" customFormat="1" ht="29.25" customHeight="1"/>
    <row r="275" s="1" customFormat="1"/>
    <row r="276" s="1" customFormat="1" ht="23.25" customHeight="1"/>
    <row r="277" s="2" customFormat="1"/>
    <row r="278" s="2" customFormat="1"/>
    <row r="279" s="2" customFormat="1"/>
    <row r="280" s="1" customFormat="1"/>
    <row r="281" s="1" customFormat="1"/>
    <row r="282" s="3" customFormat="1" ht="16.5" customHeight="1"/>
    <row r="283" s="3" customFormat="1" ht="16.5" customHeight="1"/>
    <row r="284" s="3" customFormat="1" ht="16.5" customHeight="1" spans="1:10">
      <c r="C284" s="29" t="s">
        <v>34</v>
      </c>
      <c r="D284" s="30" t="s">
        <v>35</v>
      </c>
      <c r="E284" s="30">
        <v>3</v>
      </c>
      <c r="F284" s="30">
        <v>6000</v>
      </c>
    </row>
    <row r="285" s="3" customFormat="1" ht="16.5" customHeight="1" spans="1:10">
      <c r="C285" s="31" t="s">
        <v>36</v>
      </c>
      <c r="D285" s="30" t="s">
        <v>35</v>
      </c>
      <c r="E285" s="30">
        <v>1</v>
      </c>
      <c r="F285" s="30">
        <v>2000</v>
      </c>
      <c r="H285" s="32" t="s">
        <v>36</v>
      </c>
      <c r="J285" s="32" t="s">
        <v>37</v>
      </c>
    </row>
    <row r="286" s="4" customFormat="1" ht="26.25" customHeight="1" spans="1:10">
      <c r="A286" s="3" t="e">
        <f>2100*2*#REF!-#REF!</f>
        <v>#REF!</v>
      </c>
      <c r="C286" s="31" t="s">
        <v>38</v>
      </c>
      <c r="D286" s="30" t="s">
        <v>35</v>
      </c>
      <c r="E286" s="30">
        <v>1</v>
      </c>
      <c r="F286" s="30">
        <v>2000</v>
      </c>
    </row>
    <row r="287" s="4" customFormat="1" ht="26.25" customHeight="1" spans="1:10">
      <c r="A287" s="3"/>
      <c r="C287" s="33"/>
      <c r="D287" s="34"/>
      <c r="E287" s="34"/>
      <c r="F287" s="34"/>
    </row>
    <row r="288" s="3" customFormat="1" ht="26.25" customHeight="1"/>
    <row r="289" s="3" customFormat="1" ht="26.25" customHeight="1"/>
    <row r="290" s="3" customFormat="1" ht="26.25" customHeight="1"/>
    <row r="291" s="3" customFormat="1" ht="26.25" customHeight="1"/>
    <row r="292" s="3" customFormat="1" ht="202.5" customHeight="1"/>
    <row r="293" s="1" customFormat="1"/>
    <row r="294" s="1" customFormat="1" ht="16.5" customHeight="1"/>
    <row r="295" s="1" customFormat="1" ht="23.25" customHeight="1"/>
    <row r="296" s="2" customFormat="1"/>
    <row r="297" s="2" customFormat="1"/>
    <row r="298" s="2" customFormat="1"/>
    <row r="299" s="1" customFormat="1"/>
    <row r="300" s="1" customFormat="1"/>
    <row r="301" s="3" customFormat="1" ht="16.5" customHeight="1"/>
    <row r="302" s="3" customFormat="1" ht="16.5" customHeight="1"/>
    <row r="303" s="3" customFormat="1" ht="16.5" customHeight="1" spans="3:10">
      <c r="C303" s="35"/>
      <c r="D303" s="34"/>
      <c r="E303" s="34"/>
      <c r="F303" s="34"/>
    </row>
    <row r="304" s="3" customFormat="1" ht="16.5" customHeight="1" spans="3:10">
      <c r="C304" s="33"/>
      <c r="D304" s="34"/>
      <c r="E304" s="34"/>
      <c r="F304" s="34"/>
      <c r="H304" s="32"/>
      <c r="J304" s="32"/>
    </row>
    <row r="305" s="4" customFormat="1" ht="26.25" customHeight="1" spans="1:6">
      <c r="A305" s="3"/>
      <c r="C305" s="33"/>
      <c r="D305" s="34"/>
      <c r="E305" s="34"/>
      <c r="F305" s="34"/>
    </row>
    <row r="306" s="4" customFormat="1" ht="26.25" customHeight="1" spans="1:6">
      <c r="A306" s="3"/>
      <c r="C306" s="33"/>
      <c r="D306" s="34"/>
      <c r="E306" s="34"/>
      <c r="F306" s="34"/>
    </row>
    <row r="307" s="3" customFormat="1" ht="26.25" customHeight="1"/>
    <row r="308" s="3" customFormat="1" ht="26.25" customHeight="1"/>
    <row r="309" s="3" customFormat="1" ht="26.25" customHeight="1"/>
    <row r="310" s="3" customFormat="1" ht="202.5" customHeight="1"/>
    <row r="311" s="1" customFormat="1"/>
    <row r="312" s="1" customFormat="1" ht="16.5" customHeight="1"/>
    <row r="313" s="4" customFormat="1" ht="26.25" customHeight="1" spans="1:6">
      <c r="A313" s="3"/>
      <c r="C313" s="33"/>
      <c r="D313" s="34"/>
      <c r="E313" s="34"/>
      <c r="F313" s="34"/>
    </row>
    <row r="314" s="4" customFormat="1" ht="26.25" customHeight="1" spans="1:6">
      <c r="A314" s="3"/>
      <c r="C314" s="33"/>
      <c r="D314" s="34"/>
      <c r="E314" s="34"/>
      <c r="F314" s="34"/>
    </row>
    <row r="315" s="3" customFormat="1" ht="26.25" customHeight="1"/>
    <row r="316" s="4" customFormat="1" ht="26.25" customHeight="1" spans="1:6">
      <c r="A316" s="3"/>
      <c r="C316" s="33"/>
      <c r="D316" s="34"/>
      <c r="E316" s="34"/>
      <c r="F316" s="34"/>
    </row>
    <row r="317" s="4" customFormat="1" ht="26.25" customHeight="1" spans="1:6">
      <c r="A317" s="3"/>
      <c r="C317" s="33"/>
      <c r="D317" s="34"/>
      <c r="E317" s="34"/>
      <c r="F317" s="34"/>
    </row>
    <row r="318" s="3" customFormat="1" ht="26.25" customHeight="1"/>
    <row r="319" s="3" customFormat="1" ht="26.25" customHeight="1"/>
    <row r="320" s="3" customFormat="1" ht="26.25" customHeight="1"/>
    <row r="321" s="1" customFormat="1"/>
    <row r="322" s="1" customFormat="1"/>
    <row r="323" s="1" customFormat="1"/>
    <row r="324" s="1" customFormat="1" ht="20.45" customHeight="1"/>
    <row r="325" s="1" customFormat="1"/>
    <row r="326" s="1" customFormat="1"/>
    <row r="327" s="1" customFormat="1"/>
    <row r="328" s="1" customFormat="1"/>
    <row r="329" s="1" customFormat="1"/>
    <row r="330" s="1" customFormat="1" ht="18" customHeight="1"/>
    <row r="331" s="1" customFormat="1" ht="18" customHeight="1"/>
    <row r="332" s="1" customFormat="1" ht="18" customHeight="1"/>
    <row r="333" s="1" customFormat="1" ht="18" customHeight="1"/>
    <row r="334" s="1" customFormat="1" ht="27.75" customHeight="1"/>
    <row r="335" s="1" customFormat="1" ht="27.75" customHeight="1"/>
    <row r="336" s="1" customFormat="1" ht="24.75" customHeight="1"/>
    <row r="337" s="1" customFormat="1" ht="24.75" customHeight="1"/>
    <row r="338" s="1" customFormat="1" ht="228" customHeight="1"/>
    <row r="339" s="1" customFormat="1"/>
    <row r="340" s="1" customFormat="1" ht="18" customHeight="1"/>
    <row r="341" s="1" customFormat="1" ht="18" customHeight="1"/>
    <row r="342" s="1" customFormat="1" ht="24.75" customHeight="1"/>
    <row r="343" s="1" customFormat="1"/>
    <row r="344" s="1" customFormat="1"/>
    <row r="345" s="1" customFormat="1"/>
    <row r="346" s="1" customFormat="1"/>
    <row r="347" s="1" customFormat="1"/>
    <row r="348" s="1" customFormat="1"/>
    <row r="349" s="1" customFormat="1"/>
    <row r="350" s="1" customFormat="1" ht="20.45" customHeight="1"/>
    <row r="351" s="1" customFormat="1"/>
    <row r="352" s="1" customFormat="1"/>
    <row r="353" s="1" customFormat="1"/>
    <row r="354" s="1" customFormat="1"/>
    <row r="355" s="1" customFormat="1"/>
    <row r="356" s="1" customFormat="1" ht="17.25" customHeight="1"/>
    <row r="357" s="1" customFormat="1" ht="17.25" customHeight="1"/>
    <row r="358" s="1" customFormat="1" ht="17.25" customHeight="1"/>
    <row r="359" s="1" customFormat="1" ht="17.25" customHeight="1"/>
    <row r="360" s="1" customFormat="1" ht="27.75" customHeight="1"/>
    <row r="361" s="1" customFormat="1" ht="27.75" customHeight="1"/>
    <row r="362" s="1" customFormat="1" ht="27.75" customHeight="1"/>
    <row r="363" s="1" customFormat="1" ht="27.75" customHeight="1"/>
    <row r="364" s="1" customFormat="1" ht="225" customHeight="1"/>
    <row r="365" s="1" customFormat="1"/>
    <row r="366" s="1" customFormat="1"/>
    <row r="367" s="1" customFormat="1"/>
    <row r="368" s="1" customFormat="1"/>
    <row r="369" s="1" customFormat="1"/>
    <row r="370" s="1" customFormat="1"/>
    <row r="371" s="1" customFormat="1"/>
    <row r="372" s="1" customFormat="1"/>
    <row r="373" s="1" customFormat="1"/>
    <row r="374" s="1" customFormat="1" ht="20.45" customHeight="1"/>
    <row r="375" s="1" customFormat="1"/>
    <row r="376" s="1" customFormat="1"/>
    <row r="377" s="1" customFormat="1"/>
    <row r="378" s="1" customFormat="1"/>
    <row r="379" s="1" customFormat="1" ht="15.75" customHeight="1"/>
    <row r="380" s="1" customFormat="1" ht="18" customHeight="1"/>
    <row r="381" s="1" customFormat="1" ht="18" customHeight="1"/>
    <row r="382" s="1" customFormat="1" ht="18" customHeight="1"/>
    <row r="383" s="1" customFormat="1" ht="21.75" customHeight="1"/>
    <row r="384" s="6" customFormat="1" ht="26.25" customHeight="1"/>
    <row r="385" s="1" customFormat="1" ht="25.5" customHeight="1"/>
    <row r="386" s="1" customFormat="1" ht="25.5" customHeight="1"/>
    <row r="387" s="1" customFormat="1" ht="25.5" customHeight="1"/>
    <row r="388" s="1" customFormat="1" ht="198.75" customHeight="1"/>
    <row r="389" s="1" customFormat="1"/>
    <row r="390" s="1" customFormat="1" ht="21.75" customHeight="1"/>
    <row r="391" s="1" customFormat="1"/>
    <row r="392" s="1" customFormat="1"/>
    <row r="393" s="1" customFormat="1"/>
    <row r="394" s="1" customFormat="1"/>
    <row r="395" s="1" customFormat="1"/>
    <row r="396" s="1" customFormat="1" ht="20.45" customHeight="1"/>
    <row r="397" s="1" customFormat="1"/>
    <row r="398" s="1" customFormat="1"/>
    <row r="399" s="1" customFormat="1"/>
    <row r="400" s="1" customFormat="1"/>
    <row r="401" s="1" customFormat="1"/>
    <row r="402" s="1" customFormat="1" ht="16.5" customHeight="1"/>
    <row r="403" s="1" customFormat="1" ht="16.5" customHeight="1"/>
    <row r="404" s="1" customFormat="1" ht="16.5" customHeight="1"/>
    <row r="405" s="1" customFormat="1" ht="16.5" customHeight="1"/>
    <row r="406" s="1" customFormat="1" ht="27.75" customHeight="1"/>
    <row r="407" s="1" customFormat="1" ht="27.75" customHeight="1"/>
    <row r="408" s="1" customFormat="1" ht="27.75" customHeight="1"/>
    <row r="409" s="1" customFormat="1" ht="27.75" customHeight="1"/>
    <row r="410" s="1" customFormat="1" ht="175.5" customHeight="1"/>
    <row r="411" s="1" customFormat="1"/>
    <row r="412" s="1" customFormat="1" ht="22.5" customHeight="1"/>
    <row r="413" s="1" customFormat="1"/>
    <row r="414" s="1" customFormat="1"/>
    <row r="415" s="1" customFormat="1" ht="25.9" customHeight="1"/>
    <row r="416" s="1" customFormat="1"/>
    <row r="417" s="1" customFormat="1"/>
    <row r="418" s="1" customFormat="1"/>
    <row r="419" s="1" customFormat="1"/>
    <row r="420" s="1" customFormat="1"/>
    <row r="421" s="1" customFormat="1" ht="19.15" customHeight="1"/>
    <row r="422" s="1" customFormat="1" ht="21.6" customHeight="1"/>
    <row r="423" s="1" customFormat="1" ht="21.6" customHeight="1"/>
    <row r="424" s="1" customFormat="1" ht="21.6" customHeight="1"/>
    <row r="425" s="1" customFormat="1" ht="21.6" customHeight="1"/>
    <row r="426" s="1" customFormat="1" ht="21.6" customHeight="1"/>
    <row r="427" s="1" customFormat="1" ht="21.6" customHeight="1"/>
    <row r="428" s="1" customFormat="1" ht="21.6" customHeight="1"/>
    <row r="429" s="1" customFormat="1" ht="195.6" customHeight="1"/>
    <row r="430" s="1" customFormat="1"/>
    <row r="431" s="1" customFormat="1"/>
    <row r="432" s="1" customFormat="1"/>
    <row r="433" s="1" customFormat="1"/>
    <row r="434" s="1" customFormat="1"/>
    <row r="435" s="1" customFormat="1" ht="21.6" customHeight="1"/>
    <row r="436" s="1" customFormat="1"/>
    <row r="437" s="1" customFormat="1"/>
    <row r="438" s="1" customFormat="1" ht="25.9" customHeight="1"/>
    <row r="439" s="1" customFormat="1"/>
    <row r="440" s="1" customFormat="1"/>
    <row r="441" s="1" customFormat="1"/>
    <row r="442" s="1" customFormat="1"/>
    <row r="443" s="1" customFormat="1"/>
    <row r="444" s="1" customFormat="1" ht="19.15" customHeight="1"/>
    <row r="445" s="1" customFormat="1" ht="21.6" customHeight="1"/>
    <row r="446" s="1" customFormat="1" ht="21.6" customHeight="1"/>
    <row r="447" s="1" customFormat="1" ht="21.6" customHeight="1"/>
    <row r="448" s="1" customFormat="1" ht="21.6" customHeight="1"/>
    <row r="449" s="1" customFormat="1" ht="21.6" customHeight="1"/>
    <row r="450" s="1" customFormat="1" ht="21.6" customHeight="1"/>
    <row r="451" s="1" customFormat="1" ht="21.6" customHeight="1"/>
    <row r="452" s="1" customFormat="1" ht="195.6" customHeight="1"/>
    <row r="453" s="1" customFormat="1"/>
    <row r="454" s="1" customFormat="1"/>
    <row r="455" s="1" customFormat="1"/>
    <row r="456" s="1" customFormat="1"/>
    <row r="457" s="1" customFormat="1" ht="21.6" customHeight="1"/>
    <row r="458" s="1" customFormat="1" ht="21.6" customHeight="1"/>
    <row r="459" s="1" customFormat="1"/>
    <row r="460" s="1" customFormat="1"/>
    <row r="461" s="1" customFormat="1"/>
    <row r="462" s="1" customFormat="1"/>
    <row r="463" s="1" customFormat="1"/>
    <row r="464" s="1" customFormat="1"/>
    <row r="465" s="1" customFormat="1"/>
    <row r="466" s="1" customFormat="1"/>
    <row r="467" s="1" customFormat="1" ht="21" customHeight="1"/>
    <row r="468" s="1" customFormat="1" ht="21" customHeight="1"/>
    <row r="469" s="1" customFormat="1" ht="21" customHeight="1"/>
    <row r="470" s="1" customFormat="1" ht="21" customHeight="1"/>
    <row r="471" s="1" customFormat="1" ht="34.15" customHeight="1"/>
    <row r="472" s="1" customFormat="1" ht="34.15" customHeight="1"/>
    <row r="473" s="1" customFormat="1" ht="34.15" customHeight="1"/>
    <row r="474" s="1" customFormat="1" ht="34.15" customHeight="1"/>
    <row r="475" s="1" customFormat="1" ht="34.15" customHeight="1"/>
    <row r="476" s="1" customFormat="1" ht="34.15" customHeight="1"/>
    <row r="477" s="1" customFormat="1" ht="205.9" customHeight="1"/>
    <row r="478" s="1" customFormat="1" ht="21.6" customHeight="1"/>
    <row r="479" s="1" customFormat="1" ht="45.6" customHeight="1"/>
    <row r="480" s="1" customFormat="1"/>
    <row r="481" s="1" customFormat="1"/>
    <row r="482" s="1" customFormat="1"/>
    <row r="483" s="1" customFormat="1" ht="25.5" customHeight="1"/>
    <row r="484" s="1" customFormat="1"/>
    <row r="485" s="1" customFormat="1"/>
    <row r="486" s="1" customFormat="1"/>
    <row r="487" s="1" customFormat="1"/>
    <row r="488" s="1" customFormat="1"/>
    <row r="489" s="1" customFormat="1"/>
    <row r="490" s="1" customFormat="1" ht="28.5" customHeight="1"/>
    <row r="491" s="1" customFormat="1" ht="28.5" customHeight="1"/>
    <row r="492" s="1" customFormat="1" ht="28.5" customHeight="1"/>
    <row r="493" s="1" customFormat="1" ht="28.5" customHeight="1"/>
    <row r="494" s="1" customFormat="1" ht="28.5" customHeight="1"/>
    <row r="495" s="1" customFormat="1" ht="28.5" customHeight="1"/>
    <row r="496" s="1" customFormat="1" ht="28.5" customHeight="1"/>
    <row r="497" s="1" customFormat="1" ht="27" customHeight="1"/>
    <row r="498" s="1" customFormat="1" ht="27" customHeight="1"/>
    <row r="499" s="1" customFormat="1" ht="218.25" customHeight="1"/>
    <row r="500" s="1" customFormat="1" ht="29.25" customHeight="1"/>
    <row r="501" s="1" customFormat="1" ht="29.25" customHeight="1"/>
    <row r="502" s="1" customFormat="1"/>
    <row r="503" s="1" customFormat="1"/>
    <row r="504" s="1" customFormat="1" ht="28.5" customHeight="1"/>
    <row r="505" s="1" customFormat="1" ht="28.5" customHeight="1"/>
    <row r="506" s="1" customFormat="1" ht="28.5" customHeight="1"/>
    <row r="507" s="1" customFormat="1" ht="28.5" customHeight="1"/>
    <row r="508" s="1" customFormat="1" ht="28.5" customHeight="1"/>
    <row r="509" s="1" customFormat="1" ht="28.5" customHeight="1"/>
    <row r="510" s="1" customFormat="1" ht="28.5" customHeight="1"/>
    <row r="511" s="1" customFormat="1" ht="28.5" customHeight="1"/>
    <row r="512" s="1" customFormat="1" ht="28.5" customHeight="1"/>
    <row r="513" s="1" customFormat="1" ht="28.5" customHeight="1"/>
  </sheetData>
  <mergeCells count="11">
    <mergeCell ref="A10:H10"/>
    <mergeCell ref="A11:H11"/>
    <mergeCell ref="A12:H12"/>
    <mergeCell ref="A13:H13"/>
    <mergeCell ref="A14:H14"/>
    <mergeCell ref="G16:H16"/>
    <mergeCell ref="G17:H17"/>
    <mergeCell ref="G18:H18"/>
    <mergeCell ref="A19:E19"/>
    <mergeCell ref="G19:H19"/>
    <mergeCell ref="A24:H2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Leo Lyn</cp:lastModifiedBy>
  <dcterms:created xsi:type="dcterms:W3CDTF">2026-09-03T11:28:20Z</dcterms:created>
  <dcterms:modified xsi:type="dcterms:W3CDTF">2026-09-03T11:29:47Z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4ECEB99132C04AAEB579869B41608CAD_11</vt:lpwstr>
  </property>
  <property fmtid="{D5CDD505-2E9C-101B-9397-08002B2CF9AE}" pid="3" name="KSOProductBuildVer">
    <vt:lpwstr>2052-12.1.0.28032</vt:lpwstr>
  </property>
  <property fmtid="{D5CDD505-2E9C-101B-9397-08002B2CF9AE}" pid="4" name="CalculationRule">
    <vt:i4>1</vt:i4>
  </property>
</Properties>
</file>