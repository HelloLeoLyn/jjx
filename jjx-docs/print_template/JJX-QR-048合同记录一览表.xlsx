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5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U8" i="1"/>
  <c r="T8"/>
  <c r="K8"/>
  <c r="U6"/>
  <c r="T6"/>
  <c r="K6"/>
  <c r="U4"/>
  <c r="T4"/>
  <c r="K4"/>
  <c r="H2"/>
</calcChain>
</file>

<file path=xl/sharedStrings.xml><?xml version="1.0" encoding="utf-8"?>
<sst xmlns="http://schemas.openxmlformats.org/spreadsheetml/2006/main" count="24" uniqueCount="18">
  <si>
    <t>序号</t>
  </si>
  <si>
    <t>客户</t>
  </si>
  <si>
    <t>机种</t>
  </si>
  <si>
    <t>品名</t>
  </si>
  <si>
    <t>订单号码</t>
  </si>
  <si>
    <t>订单数量</t>
  </si>
  <si>
    <t>下单日期</t>
  </si>
  <si>
    <t>业务交期</t>
  </si>
  <si>
    <t>生产批号</t>
  </si>
  <si>
    <t>生产回复交期</t>
  </si>
  <si>
    <t>交货天数</t>
  </si>
  <si>
    <t>交货明细</t>
  </si>
  <si>
    <t>已交合计</t>
  </si>
  <si>
    <t>未交合计</t>
  </si>
  <si>
    <t>备注</t>
  </si>
  <si>
    <t>GF</t>
  </si>
  <si>
    <t>GF-371</t>
  </si>
  <si>
    <t>177605050001</t>
  </si>
</sst>
</file>

<file path=xl/styles.xml><?xml version="1.0" encoding="utf-8"?>
<styleSheet xmlns="http://schemas.openxmlformats.org/spreadsheetml/2006/main">
  <numFmts count="5">
    <numFmt numFmtId="176" formatCode="0_);[Red]\(0\)"/>
    <numFmt numFmtId="177" formatCode="_-[$€-2]\ * #,##0.00_-;\-[$€-2]\ * #,##0.00_-;_-[$€-2]\ * \-??_-"/>
    <numFmt numFmtId="178" formatCode="m&quot;月&quot;d&quot;日&quot;;@"/>
    <numFmt numFmtId="179" formatCode="0;[Red]0"/>
    <numFmt numFmtId="180" formatCode="m/d;@"/>
  </numFmts>
  <fonts count="8">
    <font>
      <sz val="11"/>
      <color theme="1"/>
      <name val="宋体"/>
      <family val="2"/>
      <charset val="134"/>
      <scheme val="minor"/>
    </font>
    <font>
      <sz val="12"/>
      <name val="Arial"/>
      <family val="2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26"/>
      <color theme="1"/>
      <name val="宋体"/>
      <family val="3"/>
      <charset val="134"/>
      <scheme val="minor"/>
    </font>
    <font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176" fontId="1" fillId="0" borderId="0" xfId="0" applyNumberFormat="1" applyFont="1" applyAlignment="1">
      <alignment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2" borderId="1" xfId="0" applyNumberFormat="1" applyFont="1" applyFill="1" applyBorder="1" applyAlignment="1">
      <alignment vertical="center" shrinkToFit="1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 shrinkToFit="1"/>
    </xf>
    <xf numFmtId="177" fontId="3" fillId="0" borderId="1" xfId="0" applyNumberFormat="1" applyFont="1" applyBorder="1" applyAlignment="1">
      <alignment vertical="center" shrinkToFit="1"/>
    </xf>
    <xf numFmtId="178" fontId="5" fillId="0" borderId="1" xfId="0" applyNumberFormat="1" applyFont="1" applyBorder="1" applyAlignment="1">
      <alignment vertical="top" shrinkToFit="1"/>
    </xf>
    <xf numFmtId="178" fontId="5" fillId="2" borderId="1" xfId="0" applyNumberFormat="1" applyFont="1" applyFill="1" applyBorder="1" applyAlignment="1">
      <alignment vertical="top" shrinkToFit="1"/>
    </xf>
    <xf numFmtId="176" fontId="5" fillId="0" borderId="1" xfId="0" applyNumberFormat="1" applyFont="1" applyBorder="1" applyAlignment="1">
      <alignment horizontal="left" vertical="top" shrinkToFit="1"/>
    </xf>
    <xf numFmtId="176" fontId="3" fillId="0" borderId="1" xfId="0" applyNumberFormat="1" applyFont="1" applyBorder="1" applyAlignment="1">
      <alignment vertical="center" shrinkToFit="1"/>
    </xf>
    <xf numFmtId="177" fontId="0" fillId="0" borderId="0" xfId="0" applyNumberFormat="1" applyAlignment="1">
      <alignment horizontal="center" vertical="center" shrinkToFit="1"/>
    </xf>
    <xf numFmtId="179" fontId="3" fillId="0" borderId="0" xfId="0" applyNumberFormat="1" applyFont="1" applyAlignment="1">
      <alignment horizontal="center" vertical="center" shrinkToFit="1"/>
    </xf>
    <xf numFmtId="177" fontId="0" fillId="0" borderId="0" xfId="0" applyNumberFormat="1" applyAlignment="1">
      <alignment horizontal="left" vertical="center" shrinkToFit="1"/>
    </xf>
    <xf numFmtId="177" fontId="0" fillId="0" borderId="0" xfId="0" applyNumberFormat="1">
      <alignment vertical="center"/>
    </xf>
    <xf numFmtId="176" fontId="6" fillId="2" borderId="2" xfId="0" applyNumberFormat="1" applyFont="1" applyFill="1" applyBorder="1" applyAlignment="1">
      <alignment horizontal="center" vertical="center" shrinkToFit="1"/>
    </xf>
    <xf numFmtId="177" fontId="0" fillId="0" borderId="2" xfId="0" applyNumberFormat="1" applyBorder="1" applyAlignment="1">
      <alignment horizontal="center" vertical="center" shrinkToFit="1"/>
    </xf>
    <xf numFmtId="177" fontId="0" fillId="2" borderId="2" xfId="0" applyNumberFormat="1" applyFill="1" applyBorder="1" applyAlignment="1">
      <alignment vertical="center" shrinkToFit="1"/>
    </xf>
    <xf numFmtId="0" fontId="0" fillId="0" borderId="2" xfId="0" applyNumberFormat="1" applyBorder="1" applyAlignment="1">
      <alignment horizontal="left" vertical="center" shrinkToFit="1"/>
    </xf>
    <xf numFmtId="0" fontId="0" fillId="0" borderId="2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177" fontId="0" fillId="2" borderId="2" xfId="0" applyNumberFormat="1" applyFill="1" applyBorder="1" applyAlignment="1">
      <alignment horizontal="center" vertical="center" shrinkToFit="1"/>
    </xf>
    <xf numFmtId="176" fontId="0" fillId="0" borderId="3" xfId="0" applyNumberFormat="1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 shrinkToFit="1"/>
    </xf>
    <xf numFmtId="177" fontId="0" fillId="0" borderId="2" xfId="0" applyNumberFormat="1" applyBorder="1" applyAlignment="1">
      <alignment horizontal="left" vertical="center" shrinkToFit="1"/>
    </xf>
    <xf numFmtId="176" fontId="0" fillId="0" borderId="5" xfId="0" applyNumberFormat="1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vertical="center" shrinkToFit="1"/>
    </xf>
    <xf numFmtId="0" fontId="0" fillId="3" borderId="5" xfId="0" quotePrefix="1" applyNumberFormat="1" applyFill="1" applyBorder="1" applyAlignment="1">
      <alignment horizontal="left" vertical="center" shrinkToFit="1"/>
    </xf>
    <xf numFmtId="0" fontId="0" fillId="3" borderId="5" xfId="0" applyNumberFormat="1" applyFill="1" applyBorder="1" applyAlignment="1">
      <alignment horizontal="center" vertical="center" shrinkToFit="1"/>
    </xf>
    <xf numFmtId="14" fontId="0" fillId="0" borderId="5" xfId="0" applyNumberFormat="1" applyBorder="1" applyAlignment="1">
      <alignment horizontal="center" vertical="center" shrinkToFit="1"/>
    </xf>
    <xf numFmtId="58" fontId="0" fillId="0" borderId="5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left" vertical="center" shrinkToFit="1"/>
    </xf>
    <xf numFmtId="180" fontId="0" fillId="3" borderId="2" xfId="0" applyNumberFormat="1" applyFill="1" applyBorder="1" applyAlignment="1">
      <alignment horizontal="center" vertical="center" shrinkToFit="1"/>
    </xf>
    <xf numFmtId="180" fontId="0" fillId="2" borderId="6" xfId="0" applyNumberFormat="1" applyFill="1" applyBorder="1" applyAlignment="1">
      <alignment horizontal="center" vertical="center" shrinkToFit="1"/>
    </xf>
    <xf numFmtId="180" fontId="0" fillId="3" borderId="2" xfId="0" applyNumberFormat="1" applyFill="1" applyBorder="1" applyAlignment="1">
      <alignment horizontal="center" vertical="center" shrinkToFit="1"/>
    </xf>
    <xf numFmtId="180" fontId="0" fillId="0" borderId="2" xfId="0" applyNumberFormat="1" applyBorder="1" applyAlignment="1">
      <alignment horizontal="center" vertical="center" shrinkToFit="1"/>
    </xf>
    <xf numFmtId="179" fontId="0" fillId="0" borderId="5" xfId="0" applyNumberFormat="1" applyBorder="1" applyAlignment="1">
      <alignment horizontal="center" vertical="center" shrinkToFit="1"/>
    </xf>
    <xf numFmtId="180" fontId="0" fillId="0" borderId="2" xfId="0" applyNumberFormat="1" applyBorder="1" applyAlignment="1">
      <alignment horizontal="left" vertical="center" shrinkToFit="1"/>
    </xf>
    <xf numFmtId="176" fontId="0" fillId="0" borderId="7" xfId="0" applyNumberFormat="1" applyBorder="1" applyAlignment="1">
      <alignment horizontal="center" vertical="center" shrinkToFit="1"/>
    </xf>
    <xf numFmtId="177" fontId="0" fillId="0" borderId="7" xfId="0" applyNumberFormat="1" applyBorder="1" applyAlignment="1">
      <alignment horizontal="center" vertical="center" shrinkToFit="1"/>
    </xf>
    <xf numFmtId="177" fontId="6" fillId="3" borderId="7" xfId="0" applyNumberFormat="1" applyFont="1" applyFill="1" applyBorder="1" applyAlignment="1">
      <alignment vertical="center" shrinkToFit="1"/>
    </xf>
    <xf numFmtId="0" fontId="0" fillId="3" borderId="7" xfId="0" applyNumberFormat="1" applyFill="1" applyBorder="1" applyAlignment="1">
      <alignment horizontal="left" vertical="center" shrinkToFit="1"/>
    </xf>
    <xf numFmtId="0" fontId="0" fillId="3" borderId="7" xfId="0" applyNumberFormat="1" applyFill="1" applyBorder="1" applyAlignment="1">
      <alignment horizontal="center" vertical="center" shrinkToFit="1"/>
    </xf>
    <xf numFmtId="14" fontId="0" fillId="0" borderId="7" xfId="0" applyNumberFormat="1" applyBorder="1" applyAlignment="1">
      <alignment horizontal="center" vertical="center" shrinkToFit="1"/>
    </xf>
    <xf numFmtId="58" fontId="0" fillId="0" borderId="7" xfId="0" applyNumberFormat="1" applyBorder="1" applyAlignment="1">
      <alignment horizontal="center" vertical="center" shrinkToFit="1"/>
    </xf>
    <xf numFmtId="49" fontId="0" fillId="0" borderId="7" xfId="0" applyNumberFormat="1" applyBorder="1" applyAlignment="1">
      <alignment horizontal="left" vertical="center" shrinkToFit="1"/>
    </xf>
    <xf numFmtId="176" fontId="0" fillId="2" borderId="6" xfId="0" applyNumberFormat="1" applyFill="1" applyBorder="1" applyAlignment="1">
      <alignment horizontal="center" vertical="center" shrinkToFit="1"/>
    </xf>
    <xf numFmtId="176" fontId="0" fillId="3" borderId="2" xfId="0" applyNumberFormat="1" applyFill="1" applyBorder="1" applyAlignment="1">
      <alignment horizontal="center" vertical="center" shrinkToFit="1"/>
    </xf>
    <xf numFmtId="176" fontId="0" fillId="0" borderId="2" xfId="0" applyNumberFormat="1" applyBorder="1" applyAlignment="1">
      <alignment horizontal="center" vertical="center" shrinkToFit="1"/>
    </xf>
    <xf numFmtId="179" fontId="0" fillId="0" borderId="7" xfId="0" applyNumberFormat="1" applyBorder="1" applyAlignment="1">
      <alignment horizontal="center" vertical="center" shrinkToFit="1"/>
    </xf>
    <xf numFmtId="177" fontId="0" fillId="2" borderId="6" xfId="0" applyNumberFormat="1" applyFill="1" applyBorder="1" applyAlignment="1">
      <alignment horizontal="center" vertical="center" shrinkToFit="1"/>
    </xf>
    <xf numFmtId="0" fontId="0" fillId="0" borderId="5" xfId="0" quotePrefix="1" applyNumberFormat="1" applyBorder="1" applyAlignment="1">
      <alignment horizontal="left" vertical="center" shrinkToFit="1"/>
    </xf>
    <xf numFmtId="49" fontId="0" fillId="0" borderId="5" xfId="0" applyNumberFormat="1" applyBorder="1" applyAlignment="1">
      <alignment horizontal="center" vertical="center" shrinkToFit="1"/>
    </xf>
    <xf numFmtId="180" fontId="0" fillId="3" borderId="5" xfId="0" applyNumberFormat="1" applyFill="1" applyBorder="1" applyAlignment="1">
      <alignment horizontal="center" vertical="center" shrinkToFit="1"/>
    </xf>
    <xf numFmtId="0" fontId="0" fillId="0" borderId="7" xfId="0" applyNumberFormat="1" applyBorder="1" applyAlignment="1">
      <alignment horizontal="left" vertical="center" shrinkToFit="1"/>
    </xf>
    <xf numFmtId="49" fontId="0" fillId="0" borderId="7" xfId="0" applyNumberFormat="1" applyBorder="1" applyAlignment="1">
      <alignment horizontal="center" vertical="center" shrinkToFit="1"/>
    </xf>
    <xf numFmtId="180" fontId="0" fillId="3" borderId="7" xfId="0" applyNumberFormat="1" applyFill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left" vertical="center" shrinkToFit="1"/>
    </xf>
    <xf numFmtId="177" fontId="7" fillId="0" borderId="5" xfId="0" applyNumberFormat="1" applyFont="1" applyBorder="1" applyAlignment="1">
      <alignment horizontal="center" vertical="center" shrinkToFit="1"/>
    </xf>
    <xf numFmtId="0" fontId="0" fillId="3" borderId="5" xfId="0" applyNumberFormat="1" applyFill="1" applyBorder="1" applyAlignment="1">
      <alignment horizontal="left" vertical="center" shrinkToFit="1"/>
    </xf>
    <xf numFmtId="0" fontId="7" fillId="3" borderId="5" xfId="0" applyNumberFormat="1" applyFont="1" applyFill="1" applyBorder="1" applyAlignment="1">
      <alignment horizontal="left" vertical="center" shrinkToFit="1"/>
    </xf>
    <xf numFmtId="176" fontId="0" fillId="0" borderId="5" xfId="0" applyNumberFormat="1" applyBorder="1" applyAlignment="1">
      <alignment horizontal="center" vertical="center" shrinkToFit="1"/>
    </xf>
    <xf numFmtId="177" fontId="7" fillId="0" borderId="5" xfId="0" applyNumberFormat="1" applyFont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vertical="center" shrinkToFit="1"/>
    </xf>
    <xf numFmtId="0" fontId="7" fillId="3" borderId="5" xfId="0" applyNumberFormat="1" applyFont="1" applyFill="1" applyBorder="1" applyAlignment="1">
      <alignment horizontal="left" vertical="center" shrinkToFit="1"/>
    </xf>
    <xf numFmtId="0" fontId="0" fillId="3" borderId="5" xfId="0" applyNumberFormat="1" applyFill="1" applyBorder="1" applyAlignment="1">
      <alignment horizontal="center" vertical="center" shrinkToFit="1"/>
    </xf>
    <xf numFmtId="14" fontId="0" fillId="0" borderId="5" xfId="0" applyNumberFormat="1" applyBorder="1" applyAlignment="1">
      <alignment horizontal="center" vertical="center" shrinkToFit="1"/>
    </xf>
    <xf numFmtId="58" fontId="0" fillId="0" borderId="5" xfId="0" applyNumberFormat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left" vertical="center" shrinkToFit="1"/>
    </xf>
    <xf numFmtId="179" fontId="0" fillId="0" borderId="5" xfId="0" applyNumberFormat="1" applyBorder="1" applyAlignment="1">
      <alignment horizontal="center" vertical="center" shrinkToFit="1"/>
    </xf>
  </cellXfs>
  <cellStyles count="1">
    <cellStyle name="常规" xfId="0" builtinId="0"/>
  </cellStyles>
  <dxfs count="784"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V34"/>
  <sheetViews>
    <sheetView tabSelected="1" workbookViewId="0">
      <selection activeCell="E20" sqref="E20:E21"/>
    </sheetView>
  </sheetViews>
  <sheetFormatPr defaultRowHeight="13.5"/>
  <cols>
    <col min="5" max="5" width="14" customWidth="1"/>
  </cols>
  <sheetData>
    <row r="2" spans="1:22" s="14" customFormat="1" ht="33.75">
      <c r="A2" s="1"/>
      <c r="B2" s="2"/>
      <c r="C2" s="3"/>
      <c r="D2" s="4"/>
      <c r="E2" s="4"/>
      <c r="F2" s="5"/>
      <c r="G2" s="6"/>
      <c r="H2" s="7">
        <f ca="1">NOW()</f>
        <v>46267.419377546299</v>
      </c>
      <c r="I2" s="7"/>
      <c r="J2" s="8"/>
      <c r="K2" s="7"/>
      <c r="L2" s="9"/>
      <c r="M2" s="9"/>
      <c r="N2" s="9"/>
      <c r="O2" s="10"/>
      <c r="P2" s="10"/>
      <c r="Q2" s="10"/>
      <c r="R2" s="10"/>
      <c r="S2" s="10"/>
      <c r="T2" s="11"/>
      <c r="U2" s="12"/>
      <c r="V2" s="13"/>
    </row>
    <row r="3" spans="1:22" s="14" customFormat="1" ht="22.5" customHeight="1">
      <c r="A3" s="15" t="s">
        <v>0</v>
      </c>
      <c r="B3" s="16" t="s">
        <v>1</v>
      </c>
      <c r="C3" s="17" t="s">
        <v>2</v>
      </c>
      <c r="D3" s="18" t="s">
        <v>3</v>
      </c>
      <c r="E3" s="19" t="s">
        <v>4</v>
      </c>
      <c r="F3" s="19" t="s">
        <v>5</v>
      </c>
      <c r="G3" s="16" t="s">
        <v>6</v>
      </c>
      <c r="H3" s="16" t="s">
        <v>7</v>
      </c>
      <c r="I3" s="20" t="s">
        <v>8</v>
      </c>
      <c r="J3" s="21" t="s">
        <v>9</v>
      </c>
      <c r="K3" s="16" t="s">
        <v>10</v>
      </c>
      <c r="L3" s="22" t="s">
        <v>11</v>
      </c>
      <c r="M3" s="23"/>
      <c r="N3" s="23"/>
      <c r="O3" s="23"/>
      <c r="P3" s="23"/>
      <c r="Q3" s="23"/>
      <c r="R3" s="23"/>
      <c r="S3" s="23"/>
      <c r="T3" s="16" t="s">
        <v>12</v>
      </c>
      <c r="U3" s="24" t="s">
        <v>13</v>
      </c>
      <c r="V3" s="25" t="s">
        <v>14</v>
      </c>
    </row>
    <row r="4" spans="1:22" s="14" customFormat="1" hidden="1">
      <c r="A4" s="26">
        <v>1</v>
      </c>
      <c r="B4" s="27" t="s">
        <v>15</v>
      </c>
      <c r="C4" s="28" t="s">
        <v>16</v>
      </c>
      <c r="D4" s="29" t="s">
        <v>17</v>
      </c>
      <c r="E4" s="30">
        <v>20156</v>
      </c>
      <c r="F4" s="30">
        <v>70050</v>
      </c>
      <c r="G4" s="31">
        <v>44188</v>
      </c>
      <c r="H4" s="32">
        <v>44409</v>
      </c>
      <c r="I4" s="33"/>
      <c r="J4" s="34"/>
      <c r="K4" s="26">
        <f ca="1">H4-TODAY()</f>
        <v>-1858</v>
      </c>
      <c r="L4" s="35">
        <v>44295</v>
      </c>
      <c r="M4" s="36">
        <v>44348</v>
      </c>
      <c r="N4" s="36">
        <v>44386</v>
      </c>
      <c r="O4" s="37"/>
      <c r="P4" s="37"/>
      <c r="Q4" s="37">
        <v>44413</v>
      </c>
      <c r="R4" s="36"/>
      <c r="S4" s="36"/>
      <c r="T4" s="38">
        <f>L5+M5+N5+O5+Q5</f>
        <v>62050</v>
      </c>
      <c r="U4" s="38">
        <f>F4-T4</f>
        <v>8000</v>
      </c>
      <c r="V4" s="39"/>
    </row>
    <row r="5" spans="1:22" s="14" customFormat="1" hidden="1">
      <c r="A5" s="40"/>
      <c r="B5" s="41"/>
      <c r="C5" s="42"/>
      <c r="D5" s="43"/>
      <c r="E5" s="44"/>
      <c r="F5" s="44"/>
      <c r="G5" s="45"/>
      <c r="H5" s="46"/>
      <c r="I5" s="47"/>
      <c r="J5" s="34"/>
      <c r="K5" s="40"/>
      <c r="L5" s="48">
        <v>15050</v>
      </c>
      <c r="M5" s="49">
        <v>15000</v>
      </c>
      <c r="N5" s="49">
        <v>15000</v>
      </c>
      <c r="O5" s="50">
        <v>15000</v>
      </c>
      <c r="P5" s="50"/>
      <c r="Q5" s="50">
        <v>2000</v>
      </c>
      <c r="R5" s="48"/>
      <c r="S5" s="48"/>
      <c r="T5" s="51"/>
      <c r="U5" s="51"/>
      <c r="V5" s="39"/>
    </row>
    <row r="6" spans="1:22" s="14" customFormat="1" ht="13.5" hidden="1" customHeight="1">
      <c r="A6" s="26">
        <v>2</v>
      </c>
      <c r="B6" s="27" t="s">
        <v>15</v>
      </c>
      <c r="C6" s="28" t="s">
        <v>16</v>
      </c>
      <c r="D6" s="29" t="s">
        <v>17</v>
      </c>
      <c r="E6" s="30">
        <v>21033</v>
      </c>
      <c r="F6" s="30">
        <v>122000</v>
      </c>
      <c r="G6" s="31">
        <v>44264</v>
      </c>
      <c r="H6" s="32">
        <v>44409</v>
      </c>
      <c r="I6" s="33"/>
      <c r="J6" s="34"/>
      <c r="K6" s="26">
        <f ca="1">H6-TODAY()</f>
        <v>-1858</v>
      </c>
      <c r="L6" s="35">
        <v>44295</v>
      </c>
      <c r="M6" s="36">
        <v>44348</v>
      </c>
      <c r="N6" s="36">
        <v>44386</v>
      </c>
      <c r="O6" s="36"/>
      <c r="P6" s="36"/>
      <c r="Q6" s="36"/>
      <c r="R6" s="36"/>
      <c r="S6" s="36"/>
      <c r="T6" s="38">
        <f>L7+M7+N7+O7+Q7</f>
        <v>145000</v>
      </c>
      <c r="U6" s="38">
        <f>F6-T6</f>
        <v>-23000</v>
      </c>
      <c r="V6" s="35"/>
    </row>
    <row r="7" spans="1:22" s="14" customFormat="1" ht="13.5" hidden="1" customHeight="1">
      <c r="A7" s="40"/>
      <c r="B7" s="41"/>
      <c r="C7" s="42"/>
      <c r="D7" s="43"/>
      <c r="E7" s="44"/>
      <c r="F7" s="44"/>
      <c r="G7" s="45"/>
      <c r="H7" s="46"/>
      <c r="I7" s="47"/>
      <c r="J7" s="34"/>
      <c r="K7" s="40"/>
      <c r="L7" s="48">
        <v>51000</v>
      </c>
      <c r="M7" s="49">
        <v>49000</v>
      </c>
      <c r="N7" s="49">
        <v>45000</v>
      </c>
      <c r="O7" s="48"/>
      <c r="P7" s="48"/>
      <c r="Q7" s="48"/>
      <c r="R7" s="48"/>
      <c r="S7" s="48"/>
      <c r="T7" s="51"/>
      <c r="U7" s="51"/>
      <c r="V7" s="52"/>
    </row>
    <row r="8" spans="1:22" s="14" customFormat="1" ht="13.5" hidden="1" customHeight="1">
      <c r="A8" s="26">
        <v>3</v>
      </c>
      <c r="B8" s="27" t="s">
        <v>15</v>
      </c>
      <c r="C8" s="28" t="s">
        <v>16</v>
      </c>
      <c r="D8" s="29" t="s">
        <v>17</v>
      </c>
      <c r="E8" s="30">
        <v>21071</v>
      </c>
      <c r="F8" s="30">
        <v>255156</v>
      </c>
      <c r="G8" s="31">
        <v>44369</v>
      </c>
      <c r="H8" s="32">
        <v>44473</v>
      </c>
      <c r="I8" s="33"/>
      <c r="J8" s="34"/>
      <c r="K8" s="26">
        <f ca="1">H8-TODAY()</f>
        <v>-1794</v>
      </c>
      <c r="L8" s="35">
        <v>44425</v>
      </c>
      <c r="M8" s="36">
        <v>44412</v>
      </c>
      <c r="N8" s="36">
        <v>44413</v>
      </c>
      <c r="O8" s="37">
        <v>44439</v>
      </c>
      <c r="P8" s="37"/>
      <c r="Q8" s="37">
        <v>44498</v>
      </c>
      <c r="R8" s="37">
        <v>44613</v>
      </c>
      <c r="S8" s="50"/>
      <c r="T8" s="38">
        <f>L9+M9+N9+O9+Q9</f>
        <v>115156</v>
      </c>
      <c r="U8" s="38">
        <f>F8-T8</f>
        <v>140000</v>
      </c>
      <c r="V8" s="35"/>
    </row>
    <row r="9" spans="1:22" s="14" customFormat="1" ht="13.5" hidden="1" customHeight="1">
      <c r="A9" s="40"/>
      <c r="B9" s="41"/>
      <c r="C9" s="42"/>
      <c r="D9" s="43"/>
      <c r="E9" s="44"/>
      <c r="F9" s="44"/>
      <c r="G9" s="45"/>
      <c r="H9" s="46"/>
      <c r="I9" s="47"/>
      <c r="J9" s="34"/>
      <c r="K9" s="40"/>
      <c r="L9" s="48">
        <v>21156</v>
      </c>
      <c r="M9" s="49">
        <v>14000</v>
      </c>
      <c r="N9" s="49">
        <v>14000</v>
      </c>
      <c r="O9" s="50">
        <v>46000</v>
      </c>
      <c r="P9" s="50"/>
      <c r="Q9" s="50">
        <v>20000</v>
      </c>
      <c r="R9" s="50">
        <v>30000</v>
      </c>
      <c r="S9" s="50"/>
      <c r="T9" s="51"/>
      <c r="U9" s="51"/>
      <c r="V9" s="52"/>
    </row>
    <row r="10" spans="1:22" s="14" customFormat="1" ht="13.5" customHeight="1">
      <c r="A10" s="26"/>
      <c r="B10" s="27"/>
      <c r="C10" s="28"/>
      <c r="D10" s="53"/>
      <c r="E10" s="30"/>
      <c r="F10" s="30"/>
      <c r="G10" s="31"/>
      <c r="H10" s="32"/>
      <c r="I10" s="54"/>
      <c r="J10" s="55"/>
      <c r="K10" s="26"/>
      <c r="L10" s="36"/>
      <c r="M10" s="36"/>
      <c r="N10" s="36"/>
      <c r="O10" s="36"/>
      <c r="P10" s="36"/>
      <c r="Q10" s="36"/>
      <c r="R10" s="36"/>
      <c r="S10" s="36"/>
      <c r="T10" s="38"/>
      <c r="U10" s="38"/>
      <c r="V10" s="35"/>
    </row>
    <row r="11" spans="1:22" s="14" customFormat="1" ht="11.25" customHeight="1">
      <c r="A11" s="40"/>
      <c r="B11" s="41"/>
      <c r="C11" s="42"/>
      <c r="D11" s="56"/>
      <c r="E11" s="44"/>
      <c r="F11" s="44"/>
      <c r="G11" s="45"/>
      <c r="H11" s="46"/>
      <c r="I11" s="57"/>
      <c r="J11" s="58"/>
      <c r="K11" s="40"/>
      <c r="L11" s="48"/>
      <c r="M11" s="48"/>
      <c r="N11" s="48"/>
      <c r="O11" s="48"/>
      <c r="P11" s="48"/>
      <c r="Q11" s="48"/>
      <c r="R11" s="48"/>
      <c r="S11" s="48"/>
      <c r="T11" s="51"/>
      <c r="U11" s="51"/>
      <c r="V11" s="52"/>
    </row>
    <row r="12" spans="1:22" s="14" customFormat="1" ht="15" customHeight="1">
      <c r="A12" s="26"/>
      <c r="B12" s="27"/>
      <c r="C12" s="28"/>
      <c r="D12" s="61"/>
      <c r="E12" s="30"/>
      <c r="F12" s="30"/>
      <c r="G12" s="31"/>
      <c r="H12" s="32"/>
      <c r="I12" s="33"/>
      <c r="J12" s="34"/>
      <c r="K12" s="26"/>
      <c r="L12" s="35"/>
      <c r="M12" s="35"/>
      <c r="N12" s="35"/>
      <c r="O12" s="35"/>
      <c r="P12" s="35"/>
      <c r="Q12" s="35"/>
      <c r="R12" s="35"/>
      <c r="S12" s="35"/>
      <c r="T12" s="38"/>
      <c r="U12" s="38"/>
      <c r="V12" s="35"/>
    </row>
    <row r="13" spans="1:22" s="14" customFormat="1">
      <c r="A13" s="40"/>
      <c r="B13" s="41"/>
      <c r="C13" s="42"/>
      <c r="D13" s="43"/>
      <c r="E13" s="44"/>
      <c r="F13" s="44"/>
      <c r="G13" s="45"/>
      <c r="H13" s="46"/>
      <c r="I13" s="47"/>
      <c r="J13" s="34"/>
      <c r="K13" s="40"/>
      <c r="L13" s="48"/>
      <c r="M13" s="48"/>
      <c r="N13" s="48"/>
      <c r="O13" s="48"/>
      <c r="P13" s="48"/>
      <c r="Q13" s="48"/>
      <c r="R13" s="48"/>
      <c r="S13" s="48"/>
      <c r="T13" s="51"/>
      <c r="U13" s="51"/>
      <c r="V13" s="52"/>
    </row>
    <row r="14" spans="1:22" s="14" customFormat="1" ht="15" customHeight="1">
      <c r="A14" s="26"/>
      <c r="B14" s="27"/>
      <c r="C14" s="28"/>
      <c r="D14" s="61"/>
      <c r="E14" s="30"/>
      <c r="F14" s="30"/>
      <c r="G14" s="31"/>
      <c r="H14" s="32"/>
      <c r="I14" s="59"/>
      <c r="J14" s="34"/>
      <c r="K14" s="26"/>
      <c r="L14" s="35"/>
      <c r="M14" s="35"/>
      <c r="N14" s="35"/>
      <c r="O14" s="35"/>
      <c r="P14" s="35"/>
      <c r="Q14" s="35"/>
      <c r="R14" s="35"/>
      <c r="S14" s="35"/>
      <c r="T14" s="38"/>
      <c r="U14" s="38"/>
      <c r="V14" s="35"/>
    </row>
    <row r="15" spans="1:22" s="14" customFormat="1">
      <c r="A15" s="40"/>
      <c r="B15" s="41"/>
      <c r="C15" s="42"/>
      <c r="D15" s="43"/>
      <c r="E15" s="44"/>
      <c r="F15" s="44"/>
      <c r="G15" s="45"/>
      <c r="H15" s="46"/>
      <c r="I15" s="47"/>
      <c r="J15" s="34"/>
      <c r="K15" s="40"/>
      <c r="L15" s="48"/>
      <c r="M15" s="48"/>
      <c r="N15" s="48"/>
      <c r="O15" s="48"/>
      <c r="P15" s="48"/>
      <c r="Q15" s="48"/>
      <c r="R15" s="48"/>
      <c r="S15" s="48"/>
      <c r="T15" s="51"/>
      <c r="U15" s="51"/>
      <c r="V15" s="52"/>
    </row>
    <row r="16" spans="1:22" s="14" customFormat="1" ht="15" customHeight="1">
      <c r="A16" s="26"/>
      <c r="B16" s="27"/>
      <c r="C16" s="28"/>
      <c r="D16" s="62"/>
      <c r="E16" s="30"/>
      <c r="F16" s="30"/>
      <c r="G16" s="31"/>
      <c r="H16" s="32"/>
      <c r="I16" s="33"/>
      <c r="J16" s="34"/>
      <c r="K16" s="26"/>
      <c r="L16" s="35"/>
      <c r="M16" s="35"/>
      <c r="N16" s="35"/>
      <c r="O16" s="35"/>
      <c r="P16" s="35"/>
      <c r="Q16" s="35"/>
      <c r="R16" s="35"/>
      <c r="S16" s="35"/>
      <c r="T16" s="38"/>
      <c r="U16" s="38"/>
      <c r="V16" s="35"/>
    </row>
    <row r="17" spans="1:22" s="14" customFormat="1">
      <c r="A17" s="40"/>
      <c r="B17" s="41"/>
      <c r="C17" s="42"/>
      <c r="D17" s="43"/>
      <c r="E17" s="44"/>
      <c r="F17" s="44"/>
      <c r="G17" s="45"/>
      <c r="H17" s="46"/>
      <c r="I17" s="47"/>
      <c r="J17" s="34"/>
      <c r="K17" s="40"/>
      <c r="L17" s="48"/>
      <c r="M17" s="48"/>
      <c r="N17" s="48"/>
      <c r="O17" s="48"/>
      <c r="P17" s="48"/>
      <c r="Q17" s="48"/>
      <c r="R17" s="48"/>
      <c r="S17" s="48"/>
      <c r="T17" s="51"/>
      <c r="U17" s="51"/>
      <c r="V17" s="52"/>
    </row>
    <row r="18" spans="1:22" s="14" customFormat="1" ht="15" customHeight="1">
      <c r="A18" s="26"/>
      <c r="B18" s="60"/>
      <c r="C18" s="28"/>
      <c r="D18" s="62"/>
      <c r="E18" s="30"/>
      <c r="F18" s="30"/>
      <c r="G18" s="31"/>
      <c r="H18" s="32"/>
      <c r="I18" s="59"/>
      <c r="J18" s="34"/>
      <c r="K18" s="26"/>
      <c r="L18" s="35"/>
      <c r="M18" s="35"/>
      <c r="N18" s="35"/>
      <c r="O18" s="35"/>
      <c r="P18" s="35"/>
      <c r="Q18" s="35"/>
      <c r="R18" s="35"/>
      <c r="S18" s="35"/>
      <c r="T18" s="38"/>
      <c r="U18" s="38"/>
      <c r="V18" s="35"/>
    </row>
    <row r="19" spans="1:22" s="14" customFormat="1" ht="18.75" customHeight="1">
      <c r="A19" s="40"/>
      <c r="B19" s="41"/>
      <c r="C19" s="42"/>
      <c r="D19" s="43"/>
      <c r="E19" s="44"/>
      <c r="F19" s="44"/>
      <c r="G19" s="45"/>
      <c r="H19" s="46"/>
      <c r="I19" s="47"/>
      <c r="J19" s="34"/>
      <c r="K19" s="40"/>
      <c r="L19" s="48"/>
      <c r="M19" s="48"/>
      <c r="N19" s="48"/>
      <c r="O19" s="48"/>
      <c r="P19" s="48"/>
      <c r="Q19" s="48"/>
      <c r="R19" s="48"/>
      <c r="S19" s="48"/>
      <c r="T19" s="51"/>
      <c r="U19" s="51"/>
      <c r="V19" s="52"/>
    </row>
    <row r="20" spans="1:22" s="14" customFormat="1" ht="15" customHeight="1">
      <c r="A20" s="26"/>
      <c r="B20" s="60"/>
      <c r="C20" s="28"/>
      <c r="D20" s="62"/>
      <c r="E20" s="30"/>
      <c r="F20" s="30"/>
      <c r="G20" s="31"/>
      <c r="H20" s="32"/>
      <c r="I20" s="59"/>
      <c r="J20" s="34"/>
      <c r="K20" s="26"/>
      <c r="L20" s="35"/>
      <c r="M20" s="35"/>
      <c r="N20" s="35"/>
      <c r="O20" s="35"/>
      <c r="P20" s="35"/>
      <c r="Q20" s="35"/>
      <c r="R20" s="35"/>
      <c r="S20" s="35"/>
      <c r="T20" s="38"/>
      <c r="U20" s="38"/>
      <c r="V20" s="35"/>
    </row>
    <row r="21" spans="1:22" s="14" customFormat="1" ht="18.75" customHeight="1">
      <c r="A21" s="40"/>
      <c r="B21" s="41"/>
      <c r="C21" s="42"/>
      <c r="D21" s="43"/>
      <c r="E21" s="44"/>
      <c r="F21" s="44"/>
      <c r="G21" s="45"/>
      <c r="H21" s="46"/>
      <c r="I21" s="47"/>
      <c r="J21" s="34"/>
      <c r="K21" s="40"/>
      <c r="L21" s="48"/>
      <c r="M21" s="48"/>
      <c r="N21" s="48"/>
      <c r="O21" s="48"/>
      <c r="P21" s="48"/>
      <c r="Q21" s="48"/>
      <c r="R21" s="48"/>
      <c r="S21" s="48"/>
      <c r="T21" s="51"/>
      <c r="U21" s="51"/>
      <c r="V21" s="52"/>
    </row>
    <row r="22" spans="1:22" s="14" customFormat="1" ht="15" customHeight="1">
      <c r="A22" s="26"/>
      <c r="B22" s="60"/>
      <c r="C22" s="28"/>
      <c r="D22" s="62"/>
      <c r="E22" s="30"/>
      <c r="F22" s="30"/>
      <c r="G22" s="31"/>
      <c r="H22" s="32"/>
      <c r="I22" s="59"/>
      <c r="J22" s="34"/>
      <c r="K22" s="26"/>
      <c r="L22" s="35"/>
      <c r="M22" s="35"/>
      <c r="N22" s="35"/>
      <c r="O22" s="35"/>
      <c r="P22" s="35"/>
      <c r="Q22" s="35"/>
      <c r="R22" s="35"/>
      <c r="S22" s="35"/>
      <c r="T22" s="38"/>
      <c r="U22" s="38"/>
      <c r="V22" s="35"/>
    </row>
    <row r="23" spans="1:22" s="14" customFormat="1" ht="18.75" customHeight="1">
      <c r="A23" s="40"/>
      <c r="B23" s="41"/>
      <c r="C23" s="42"/>
      <c r="D23" s="43"/>
      <c r="E23" s="44"/>
      <c r="F23" s="44"/>
      <c r="G23" s="45"/>
      <c r="H23" s="46"/>
      <c r="I23" s="47"/>
      <c r="J23" s="34"/>
      <c r="K23" s="40"/>
      <c r="L23" s="48"/>
      <c r="M23" s="48"/>
      <c r="N23" s="48"/>
      <c r="O23" s="48"/>
      <c r="P23" s="48"/>
      <c r="Q23" s="48"/>
      <c r="R23" s="48"/>
      <c r="S23" s="48"/>
      <c r="T23" s="51"/>
      <c r="U23" s="51"/>
      <c r="V23" s="52"/>
    </row>
    <row r="24" spans="1:22" s="14" customFormat="1" ht="15" customHeight="1">
      <c r="A24" s="26"/>
      <c r="B24" s="60"/>
      <c r="C24" s="28"/>
      <c r="D24" s="62"/>
      <c r="E24" s="30"/>
      <c r="F24" s="30"/>
      <c r="G24" s="31"/>
      <c r="H24" s="32"/>
      <c r="I24" s="59"/>
      <c r="J24" s="34"/>
      <c r="K24" s="26"/>
      <c r="L24" s="35"/>
      <c r="M24" s="35"/>
      <c r="N24" s="35"/>
      <c r="O24" s="35"/>
      <c r="P24" s="35"/>
      <c r="Q24" s="35"/>
      <c r="R24" s="35"/>
      <c r="S24" s="35"/>
      <c r="T24" s="38"/>
      <c r="U24" s="38"/>
      <c r="V24" s="35"/>
    </row>
    <row r="25" spans="1:22" s="14" customFormat="1" ht="18.75" customHeight="1">
      <c r="A25" s="40"/>
      <c r="B25" s="41"/>
      <c r="C25" s="42"/>
      <c r="D25" s="43"/>
      <c r="E25" s="44"/>
      <c r="F25" s="44"/>
      <c r="G25" s="45"/>
      <c r="H25" s="46"/>
      <c r="I25" s="47"/>
      <c r="J25" s="34"/>
      <c r="K25" s="40"/>
      <c r="L25" s="48"/>
      <c r="M25" s="48"/>
      <c r="N25" s="48"/>
      <c r="O25" s="48"/>
      <c r="P25" s="48"/>
      <c r="Q25" s="48"/>
      <c r="R25" s="48"/>
      <c r="S25" s="48"/>
      <c r="T25" s="51"/>
      <c r="U25" s="51"/>
      <c r="V25" s="52"/>
    </row>
    <row r="26" spans="1:22" s="14" customFormat="1" ht="15" customHeight="1">
      <c r="A26" s="26"/>
      <c r="B26" s="60"/>
      <c r="C26" s="28"/>
      <c r="D26" s="62"/>
      <c r="E26" s="30"/>
      <c r="F26" s="30"/>
      <c r="G26" s="31"/>
      <c r="H26" s="32"/>
      <c r="I26" s="59"/>
      <c r="J26" s="34"/>
      <c r="K26" s="26"/>
      <c r="L26" s="35"/>
      <c r="M26" s="35"/>
      <c r="N26" s="35"/>
      <c r="O26" s="35"/>
      <c r="P26" s="35"/>
      <c r="Q26" s="35"/>
      <c r="R26" s="35"/>
      <c r="S26" s="35"/>
      <c r="T26" s="38"/>
      <c r="U26" s="38"/>
      <c r="V26" s="35"/>
    </row>
    <row r="27" spans="1:22" s="14" customFormat="1" ht="18.75" customHeight="1">
      <c r="A27" s="40"/>
      <c r="B27" s="41"/>
      <c r="C27" s="42"/>
      <c r="D27" s="43"/>
      <c r="E27" s="44"/>
      <c r="F27" s="44"/>
      <c r="G27" s="45"/>
      <c r="H27" s="46"/>
      <c r="I27" s="47"/>
      <c r="J27" s="34"/>
      <c r="K27" s="40"/>
      <c r="L27" s="48"/>
      <c r="M27" s="48"/>
      <c r="N27" s="48"/>
      <c r="O27" s="48"/>
      <c r="P27" s="48"/>
      <c r="Q27" s="48"/>
      <c r="R27" s="48"/>
      <c r="S27" s="48"/>
      <c r="T27" s="51"/>
      <c r="U27" s="51"/>
      <c r="V27" s="52"/>
    </row>
    <row r="28" spans="1:22" s="14" customFormat="1" ht="15" customHeight="1">
      <c r="A28" s="26"/>
      <c r="B28" s="60"/>
      <c r="C28" s="28"/>
      <c r="D28" s="62"/>
      <c r="E28" s="30"/>
      <c r="F28" s="30"/>
      <c r="G28" s="31"/>
      <c r="H28" s="32"/>
      <c r="I28" s="59"/>
      <c r="J28" s="34"/>
      <c r="K28" s="26"/>
      <c r="L28" s="35"/>
      <c r="M28" s="35"/>
      <c r="N28" s="35"/>
      <c r="O28" s="35"/>
      <c r="P28" s="35"/>
      <c r="Q28" s="35"/>
      <c r="R28" s="35"/>
      <c r="S28" s="35"/>
      <c r="T28" s="38"/>
      <c r="U28" s="38"/>
      <c r="V28" s="35"/>
    </row>
    <row r="29" spans="1:22" s="14" customFormat="1" ht="18.75" customHeight="1">
      <c r="A29" s="40"/>
      <c r="B29" s="41"/>
      <c r="C29" s="42"/>
      <c r="D29" s="43"/>
      <c r="E29" s="44"/>
      <c r="F29" s="44"/>
      <c r="G29" s="45"/>
      <c r="H29" s="46"/>
      <c r="I29" s="47"/>
      <c r="J29" s="34"/>
      <c r="K29" s="40"/>
      <c r="L29" s="48"/>
      <c r="M29" s="48"/>
      <c r="N29" s="48"/>
      <c r="O29" s="48"/>
      <c r="P29" s="48"/>
      <c r="Q29" s="48"/>
      <c r="R29" s="48"/>
      <c r="S29" s="48"/>
      <c r="T29" s="51"/>
      <c r="U29" s="51"/>
      <c r="V29" s="52"/>
    </row>
    <row r="30" spans="1:22" s="14" customFormat="1" ht="15" customHeight="1">
      <c r="A30" s="26"/>
      <c r="B30" s="60"/>
      <c r="C30" s="28"/>
      <c r="D30" s="62"/>
      <c r="E30" s="30"/>
      <c r="F30" s="30"/>
      <c r="G30" s="31"/>
      <c r="H30" s="32"/>
      <c r="I30" s="59"/>
      <c r="J30" s="34"/>
      <c r="K30" s="26"/>
      <c r="L30" s="35"/>
      <c r="M30" s="35"/>
      <c r="N30" s="35"/>
      <c r="O30" s="35"/>
      <c r="P30" s="35"/>
      <c r="Q30" s="35"/>
      <c r="R30" s="35"/>
      <c r="S30" s="35"/>
      <c r="T30" s="38"/>
      <c r="U30" s="38"/>
      <c r="V30" s="35"/>
    </row>
    <row r="31" spans="1:22" s="14" customFormat="1" ht="18.75" customHeight="1">
      <c r="A31" s="40"/>
      <c r="B31" s="41"/>
      <c r="C31" s="42"/>
      <c r="D31" s="43"/>
      <c r="E31" s="44"/>
      <c r="F31" s="44"/>
      <c r="G31" s="45"/>
      <c r="H31" s="46"/>
      <c r="I31" s="47"/>
      <c r="J31" s="34"/>
      <c r="K31" s="40"/>
      <c r="L31" s="48"/>
      <c r="M31" s="48"/>
      <c r="N31" s="48"/>
      <c r="O31" s="48"/>
      <c r="P31" s="48"/>
      <c r="Q31" s="48"/>
      <c r="R31" s="48"/>
      <c r="S31" s="48"/>
      <c r="T31" s="51"/>
      <c r="U31" s="51"/>
      <c r="V31" s="52"/>
    </row>
    <row r="32" spans="1:22" s="14" customFormat="1" ht="15" customHeight="1">
      <c r="A32" s="26"/>
      <c r="B32" s="60"/>
      <c r="C32" s="28"/>
      <c r="D32" s="62"/>
      <c r="E32" s="30"/>
      <c r="F32" s="30"/>
      <c r="G32" s="31"/>
      <c r="H32" s="32"/>
      <c r="I32" s="59"/>
      <c r="J32" s="34"/>
      <c r="K32" s="26"/>
      <c r="L32" s="35"/>
      <c r="M32" s="35"/>
      <c r="N32" s="35"/>
      <c r="O32" s="35"/>
      <c r="P32" s="35"/>
      <c r="Q32" s="35"/>
      <c r="R32" s="35"/>
      <c r="S32" s="35"/>
      <c r="T32" s="38"/>
      <c r="U32" s="38"/>
      <c r="V32" s="35"/>
    </row>
    <row r="33" spans="1:22" s="14" customFormat="1" ht="18.75" customHeight="1">
      <c r="A33" s="40"/>
      <c r="B33" s="41"/>
      <c r="C33" s="42"/>
      <c r="D33" s="43"/>
      <c r="E33" s="44"/>
      <c r="F33" s="44"/>
      <c r="G33" s="45"/>
      <c r="H33" s="46"/>
      <c r="I33" s="47"/>
      <c r="J33" s="34"/>
      <c r="K33" s="40"/>
      <c r="L33" s="48"/>
      <c r="M33" s="48"/>
      <c r="N33" s="48"/>
      <c r="O33" s="48"/>
      <c r="P33" s="48"/>
      <c r="Q33" s="48"/>
      <c r="R33" s="48"/>
      <c r="S33" s="48"/>
      <c r="T33" s="51"/>
      <c r="U33" s="51"/>
      <c r="V33" s="52"/>
    </row>
    <row r="34" spans="1:22" s="14" customFormat="1" ht="15" customHeight="1">
      <c r="A34" s="63"/>
      <c r="B34" s="64"/>
      <c r="C34" s="65"/>
      <c r="D34" s="66"/>
      <c r="E34" s="67"/>
      <c r="F34" s="67"/>
      <c r="G34" s="68"/>
      <c r="H34" s="69"/>
      <c r="I34" s="70"/>
      <c r="J34" s="36"/>
      <c r="K34" s="63"/>
      <c r="L34" s="35"/>
      <c r="M34" s="35"/>
      <c r="N34" s="35"/>
      <c r="O34" s="35"/>
      <c r="P34" s="35"/>
      <c r="Q34" s="35"/>
      <c r="R34" s="35"/>
      <c r="S34" s="35"/>
      <c r="T34" s="71"/>
      <c r="U34" s="71"/>
      <c r="V34" s="35"/>
    </row>
  </sheetData>
  <mergeCells count="199">
    <mergeCell ref="U32:U33"/>
    <mergeCell ref="G32:G33"/>
    <mergeCell ref="H32:H33"/>
    <mergeCell ref="I32:I33"/>
    <mergeCell ref="J32:J33"/>
    <mergeCell ref="K32:K33"/>
    <mergeCell ref="T32:T33"/>
    <mergeCell ref="J30:J31"/>
    <mergeCell ref="K30:K31"/>
    <mergeCell ref="T30:T31"/>
    <mergeCell ref="U30:U31"/>
    <mergeCell ref="A32:A33"/>
    <mergeCell ref="B32:B33"/>
    <mergeCell ref="C32:C33"/>
    <mergeCell ref="D32:D33"/>
    <mergeCell ref="E32:E33"/>
    <mergeCell ref="F32:F33"/>
    <mergeCell ref="U28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G28:G29"/>
    <mergeCell ref="H28:H29"/>
    <mergeCell ref="I28:I29"/>
    <mergeCell ref="J28:J29"/>
    <mergeCell ref="K28:K29"/>
    <mergeCell ref="T28:T29"/>
    <mergeCell ref="J26:J27"/>
    <mergeCell ref="K26:K27"/>
    <mergeCell ref="T26:T27"/>
    <mergeCell ref="U26:U27"/>
    <mergeCell ref="A28:A29"/>
    <mergeCell ref="B28:B29"/>
    <mergeCell ref="C28:C29"/>
    <mergeCell ref="D28:D29"/>
    <mergeCell ref="E28:E29"/>
    <mergeCell ref="F28:F29"/>
    <mergeCell ref="U24:U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G24:G25"/>
    <mergeCell ref="H24:H25"/>
    <mergeCell ref="I24:I25"/>
    <mergeCell ref="J24:J25"/>
    <mergeCell ref="K24:K25"/>
    <mergeCell ref="T24:T25"/>
    <mergeCell ref="J22:J23"/>
    <mergeCell ref="K22:K23"/>
    <mergeCell ref="T22:T23"/>
    <mergeCell ref="U22:U23"/>
    <mergeCell ref="A24:A25"/>
    <mergeCell ref="B24:B25"/>
    <mergeCell ref="C24:C25"/>
    <mergeCell ref="D24:D25"/>
    <mergeCell ref="E24:E25"/>
    <mergeCell ref="F24:F25"/>
    <mergeCell ref="U20:U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G20:G21"/>
    <mergeCell ref="H20:H21"/>
    <mergeCell ref="I20:I21"/>
    <mergeCell ref="J20:J21"/>
    <mergeCell ref="K20:K21"/>
    <mergeCell ref="T20:T21"/>
    <mergeCell ref="J18:J19"/>
    <mergeCell ref="K18:K19"/>
    <mergeCell ref="T18:T19"/>
    <mergeCell ref="U18:U19"/>
    <mergeCell ref="A20:A21"/>
    <mergeCell ref="B20:B21"/>
    <mergeCell ref="C20:C21"/>
    <mergeCell ref="D20:D21"/>
    <mergeCell ref="E20:E21"/>
    <mergeCell ref="F20:F21"/>
    <mergeCell ref="U16:U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G16:G17"/>
    <mergeCell ref="H16:H17"/>
    <mergeCell ref="I16:I17"/>
    <mergeCell ref="J16:J17"/>
    <mergeCell ref="K16:K17"/>
    <mergeCell ref="T16:T17"/>
    <mergeCell ref="J14:J15"/>
    <mergeCell ref="K14:K15"/>
    <mergeCell ref="T14:T15"/>
    <mergeCell ref="U14:U15"/>
    <mergeCell ref="A16:A17"/>
    <mergeCell ref="B16:B17"/>
    <mergeCell ref="C16:C17"/>
    <mergeCell ref="D16:D17"/>
    <mergeCell ref="E16:E17"/>
    <mergeCell ref="F16:F17"/>
    <mergeCell ref="U12:U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G12:G13"/>
    <mergeCell ref="H12:H13"/>
    <mergeCell ref="I12:I13"/>
    <mergeCell ref="J12:J13"/>
    <mergeCell ref="K12:K13"/>
    <mergeCell ref="T12:T13"/>
    <mergeCell ref="J10:J11"/>
    <mergeCell ref="K10:K11"/>
    <mergeCell ref="T10:T11"/>
    <mergeCell ref="U10:U11"/>
    <mergeCell ref="A12:A13"/>
    <mergeCell ref="B12:B13"/>
    <mergeCell ref="C12:C13"/>
    <mergeCell ref="D12:D13"/>
    <mergeCell ref="E12:E13"/>
    <mergeCell ref="F12:F13"/>
    <mergeCell ref="U8:U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G8:G9"/>
    <mergeCell ref="H8:H9"/>
    <mergeCell ref="I8:I9"/>
    <mergeCell ref="J8:J9"/>
    <mergeCell ref="K8:K9"/>
    <mergeCell ref="T8:T9"/>
    <mergeCell ref="J6:J7"/>
    <mergeCell ref="K6:K7"/>
    <mergeCell ref="T6:T7"/>
    <mergeCell ref="U6:U7"/>
    <mergeCell ref="A8:A9"/>
    <mergeCell ref="B8:B9"/>
    <mergeCell ref="C8:C9"/>
    <mergeCell ref="D8:D9"/>
    <mergeCell ref="E8:E9"/>
    <mergeCell ref="F8:F9"/>
    <mergeCell ref="V4:V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4:H5"/>
    <mergeCell ref="I4:I5"/>
    <mergeCell ref="J4:J5"/>
    <mergeCell ref="K4:K5"/>
    <mergeCell ref="T4:T5"/>
    <mergeCell ref="U4:U5"/>
    <mergeCell ref="D2:E2"/>
    <mergeCell ref="L2:N2"/>
    <mergeCell ref="L3:S3"/>
    <mergeCell ref="A4:A5"/>
    <mergeCell ref="B4:B5"/>
    <mergeCell ref="C4:C5"/>
    <mergeCell ref="D4:D5"/>
    <mergeCell ref="E4:E5"/>
    <mergeCell ref="F4:F5"/>
    <mergeCell ref="G4:G5"/>
  </mergeCells>
  <phoneticPr fontId="2" type="noConversion"/>
  <conditionalFormatting sqref="C4 C6 C8 C10 E10">
    <cfRule type="expression" dxfId="783" priority="392" stopIfTrue="1">
      <formula>K4&gt;3.9</formula>
    </cfRule>
  </conditionalFormatting>
  <conditionalFormatting sqref="C4 C6 C8">
    <cfRule type="expression" dxfId="781" priority="382" stopIfTrue="1">
      <formula>AND(K4&gt;0,K4&lt;4)</formula>
    </cfRule>
    <cfRule type="expression" dxfId="780" priority="383" stopIfTrue="1">
      <formula>K4&lt;0</formula>
    </cfRule>
    <cfRule type="expression" dxfId="779" priority="384" stopIfTrue="1">
      <formula>AND(K4&gt;0,K4&lt;4)</formula>
    </cfRule>
    <cfRule type="expression" dxfId="778" priority="385" stopIfTrue="1">
      <formula>K4&gt;3.9</formula>
    </cfRule>
    <cfRule type="expression" dxfId="777" priority="386" stopIfTrue="1">
      <formula>K4&lt;0</formula>
    </cfRule>
    <cfRule type="expression" dxfId="776" priority="387" stopIfTrue="1">
      <formula>AND(K4&gt;0,K4&lt;4)</formula>
    </cfRule>
    <cfRule type="expression" dxfId="775" priority="388" stopIfTrue="1">
      <formula>K4&gt;3.9</formula>
    </cfRule>
    <cfRule type="expression" dxfId="774" priority="389" stopIfTrue="1">
      <formula>K4&lt;0</formula>
    </cfRule>
    <cfRule type="expression" dxfId="773" priority="390" stopIfTrue="1">
      <formula>AND(K4&gt;0,K4&lt;4)</formula>
    </cfRule>
    <cfRule type="expression" dxfId="772" priority="391" stopIfTrue="1">
      <formula>K4&gt;3.9</formula>
    </cfRule>
  </conditionalFormatting>
  <conditionalFormatting sqref="C4 C6 C8">
    <cfRule type="expression" dxfId="761" priority="381" stopIfTrue="1">
      <formula>K4&lt;0</formula>
    </cfRule>
  </conditionalFormatting>
  <conditionalFormatting sqref="C10:E10">
    <cfRule type="expression" dxfId="759" priority="379" stopIfTrue="1">
      <formula>K10&lt;0</formula>
    </cfRule>
    <cfRule type="expression" dxfId="758" priority="380" stopIfTrue="1">
      <formula>AND(K10&gt;0,K10&lt;4)</formula>
    </cfRule>
  </conditionalFormatting>
  <conditionalFormatting sqref="D10">
    <cfRule type="expression" dxfId="755" priority="376" stopIfTrue="1">
      <formula>L10&lt;0</formula>
    </cfRule>
    <cfRule type="expression" dxfId="754" priority="377" stopIfTrue="1">
      <formula>AND(L10&gt;0,L10&lt;4)</formula>
    </cfRule>
    <cfRule type="expression" dxfId="753" priority="378" stopIfTrue="1">
      <formula>L10&gt;3.9</formula>
    </cfRule>
  </conditionalFormatting>
  <conditionalFormatting sqref="C12">
    <cfRule type="expression" dxfId="749" priority="375" stopIfTrue="1">
      <formula>K12&lt;0</formula>
    </cfRule>
  </conditionalFormatting>
  <conditionalFormatting sqref="C12">
    <cfRule type="expression" dxfId="747" priority="301" stopIfTrue="1">
      <formula>AND(K12&gt;0,K12&lt;4)</formula>
    </cfRule>
    <cfRule type="expression" dxfId="746" priority="302" stopIfTrue="1">
      <formula>K12&gt;3.9</formula>
    </cfRule>
    <cfRule type="expression" dxfId="745" priority="303" stopIfTrue="1">
      <formula>AND(K12&gt;0,K12&lt;4)</formula>
    </cfRule>
    <cfRule type="expression" dxfId="744" priority="304" stopIfTrue="1">
      <formula>K12&gt;3.9</formula>
    </cfRule>
    <cfRule type="expression" dxfId="743" priority="305" stopIfTrue="1">
      <formula>AND(K12&gt;0,K12&lt;4)</formula>
    </cfRule>
    <cfRule type="expression" dxfId="742" priority="306" stopIfTrue="1">
      <formula>K12&gt;3.9</formula>
    </cfRule>
    <cfRule type="expression" dxfId="741" priority="307" stopIfTrue="1">
      <formula>AND(K12&gt;0,K12&lt;4)</formula>
    </cfRule>
    <cfRule type="expression" dxfId="740" priority="308" stopIfTrue="1">
      <formula>K12&gt;3.9</formula>
    </cfRule>
    <cfRule type="expression" dxfId="739" priority="309" stopIfTrue="1">
      <formula>AND(K12&gt;0,K12&lt;4)</formula>
    </cfRule>
    <cfRule type="expression" dxfId="738" priority="310" stopIfTrue="1">
      <formula>K12&gt;3.9</formula>
    </cfRule>
    <cfRule type="expression" dxfId="737" priority="311" stopIfTrue="1">
      <formula>AND(K12&gt;0,K12&lt;4)</formula>
    </cfRule>
    <cfRule type="expression" dxfId="736" priority="312" stopIfTrue="1">
      <formula>K12&gt;3.9</formula>
    </cfRule>
    <cfRule type="expression" dxfId="735" priority="313" stopIfTrue="1">
      <formula>AND(K12&gt;0,K12&lt;4)</formula>
    </cfRule>
    <cfRule type="expression" dxfId="734" priority="314" stopIfTrue="1">
      <formula>K12&gt;3.9</formula>
    </cfRule>
    <cfRule type="expression" dxfId="733" priority="315" stopIfTrue="1">
      <formula>AND(K12&gt;0,K12&lt;4)</formula>
    </cfRule>
    <cfRule type="expression" dxfId="732" priority="316" stopIfTrue="1">
      <formula>K12&gt;3.9</formula>
    </cfRule>
    <cfRule type="expression" dxfId="731" priority="317" stopIfTrue="1">
      <formula>AND(K12&gt;0,K12&lt;4)</formula>
    </cfRule>
    <cfRule type="expression" dxfId="730" priority="318" stopIfTrue="1">
      <formula>K12&gt;3.9</formula>
    </cfRule>
    <cfRule type="expression" dxfId="729" priority="319" stopIfTrue="1">
      <formula>AND(K12&gt;0,K12&lt;4)</formula>
    </cfRule>
    <cfRule type="expression" dxfId="728" priority="320" stopIfTrue="1">
      <formula>K12&gt;3.9</formula>
    </cfRule>
    <cfRule type="expression" dxfId="727" priority="321" stopIfTrue="1">
      <formula>AND(K12&gt;0,K12&lt;4)</formula>
    </cfRule>
    <cfRule type="expression" dxfId="726" priority="322" stopIfTrue="1">
      <formula>K12&gt;3.9</formula>
    </cfRule>
    <cfRule type="expression" dxfId="725" priority="323" stopIfTrue="1">
      <formula>AND(K12&gt;0,K12&lt;4)</formula>
    </cfRule>
    <cfRule type="expression" dxfId="724" priority="324" stopIfTrue="1">
      <formula>K12&gt;3.9</formula>
    </cfRule>
    <cfRule type="expression" dxfId="723" priority="325" stopIfTrue="1">
      <formula>AND(K12&gt;0,K12&lt;4)</formula>
    </cfRule>
    <cfRule type="expression" dxfId="722" priority="326" stopIfTrue="1">
      <formula>K12&gt;3.9</formula>
    </cfRule>
    <cfRule type="expression" dxfId="721" priority="327" stopIfTrue="1">
      <formula>AND(K12&gt;0,K12&lt;4)</formula>
    </cfRule>
    <cfRule type="expression" dxfId="720" priority="328" stopIfTrue="1">
      <formula>K12&gt;3.9</formula>
    </cfRule>
    <cfRule type="expression" dxfId="719" priority="329" stopIfTrue="1">
      <formula>AND(K12&gt;0,K12&lt;4)</formula>
    </cfRule>
    <cfRule type="expression" dxfId="718" priority="330" stopIfTrue="1">
      <formula>K12&gt;3.9</formula>
    </cfRule>
    <cfRule type="expression" dxfId="717" priority="331" stopIfTrue="1">
      <formula>AND(K12&gt;0,K12&lt;4)</formula>
    </cfRule>
    <cfRule type="expression" dxfId="716" priority="332" stopIfTrue="1">
      <formula>K12&gt;3.9</formula>
    </cfRule>
    <cfRule type="expression" dxfId="715" priority="333" stopIfTrue="1">
      <formula>AND(K12&gt;0,K12&lt;4)</formula>
    </cfRule>
    <cfRule type="expression" dxfId="714" priority="334" stopIfTrue="1">
      <formula>K12&gt;3.9</formula>
    </cfRule>
    <cfRule type="expression" dxfId="713" priority="335" stopIfTrue="1">
      <formula>AND(K12&gt;0,K12&lt;4)</formula>
    </cfRule>
    <cfRule type="expression" dxfId="712" priority="336" stopIfTrue="1">
      <formula>K12&gt;3.9</formula>
    </cfRule>
    <cfRule type="expression" dxfId="711" priority="337" stopIfTrue="1">
      <formula>AND(K12&gt;0,K12&lt;4)</formula>
    </cfRule>
    <cfRule type="expression" dxfId="710" priority="338" stopIfTrue="1">
      <formula>K12&gt;3.9</formula>
    </cfRule>
    <cfRule type="expression" dxfId="709" priority="339" stopIfTrue="1">
      <formula>AND(K12&gt;0,K12&lt;4)</formula>
    </cfRule>
    <cfRule type="expression" dxfId="708" priority="340" stopIfTrue="1">
      <formula>K12&gt;3.9</formula>
    </cfRule>
    <cfRule type="expression" dxfId="707" priority="341" stopIfTrue="1">
      <formula>AND(K12&gt;0,K12&lt;4)</formula>
    </cfRule>
    <cfRule type="expression" dxfId="706" priority="342" stopIfTrue="1">
      <formula>K12&gt;3.9</formula>
    </cfRule>
    <cfRule type="expression" dxfId="705" priority="343" stopIfTrue="1">
      <formula>AND(K12&gt;0,K12&lt;4)</formula>
    </cfRule>
    <cfRule type="expression" dxfId="704" priority="344" stopIfTrue="1">
      <formula>K12&gt;3.9</formula>
    </cfRule>
    <cfRule type="expression" dxfId="703" priority="345" stopIfTrue="1">
      <formula>AND(K12&gt;0,K12&lt;4)</formula>
    </cfRule>
    <cfRule type="expression" dxfId="702" priority="346" stopIfTrue="1">
      <formula>K12&gt;3.9</formula>
    </cfRule>
    <cfRule type="expression" dxfId="701" priority="347" stopIfTrue="1">
      <formula>AND(K12&gt;0,K12&lt;4)</formula>
    </cfRule>
    <cfRule type="expression" dxfId="700" priority="348" stopIfTrue="1">
      <formula>K12&gt;3.9</formula>
    </cfRule>
    <cfRule type="expression" dxfId="699" priority="349" stopIfTrue="1">
      <formula>AND(K12&gt;0,K12&lt;4)</formula>
    </cfRule>
    <cfRule type="expression" dxfId="698" priority="350" stopIfTrue="1">
      <formula>K12&gt;3.9</formula>
    </cfRule>
    <cfRule type="expression" dxfId="697" priority="351" stopIfTrue="1">
      <formula>AND(K12&gt;0,K12&lt;4)</formula>
    </cfRule>
    <cfRule type="expression" dxfId="696" priority="352" stopIfTrue="1">
      <formula>K12&gt;3.9</formula>
    </cfRule>
    <cfRule type="expression" dxfId="695" priority="353" stopIfTrue="1">
      <formula>AND(K12&gt;0,K12&lt;4)</formula>
    </cfRule>
    <cfRule type="expression" dxfId="694" priority="354" stopIfTrue="1">
      <formula>K12&gt;3.9</formula>
    </cfRule>
    <cfRule type="expression" dxfId="693" priority="355" stopIfTrue="1">
      <formula>AND(K12&gt;0,K12&lt;4)</formula>
    </cfRule>
    <cfRule type="expression" dxfId="692" priority="356" stopIfTrue="1">
      <formula>K12&gt;3.9</formula>
    </cfRule>
    <cfRule type="expression" dxfId="691" priority="357" stopIfTrue="1">
      <formula>AND(K12&gt;0,K12&lt;4)</formula>
    </cfRule>
    <cfRule type="expression" dxfId="690" priority="358" stopIfTrue="1">
      <formula>K12&gt;3.9</formula>
    </cfRule>
    <cfRule type="expression" dxfId="689" priority="359" stopIfTrue="1">
      <formula>AND(K12&gt;0,K12&lt;4)</formula>
    </cfRule>
    <cfRule type="expression" dxfId="688" priority="360" stopIfTrue="1">
      <formula>K12&gt;3.9</formula>
    </cfRule>
    <cfRule type="expression" dxfId="687" priority="361" stopIfTrue="1">
      <formula>AND(K12&gt;0,K12&lt;4)</formula>
    </cfRule>
    <cfRule type="expression" dxfId="686" priority="362" stopIfTrue="1">
      <formula>K12&gt;3.9</formula>
    </cfRule>
    <cfRule type="expression" dxfId="685" priority="363" stopIfTrue="1">
      <formula>AND(K12&gt;0,K12&lt;4)</formula>
    </cfRule>
    <cfRule type="expression" dxfId="684" priority="364" stopIfTrue="1">
      <formula>K12&gt;3.9</formula>
    </cfRule>
    <cfRule type="expression" dxfId="683" priority="365" stopIfTrue="1">
      <formula>AND(K12&gt;0,K12&lt;4)</formula>
    </cfRule>
    <cfRule type="expression" dxfId="682" priority="366" stopIfTrue="1">
      <formula>K12&gt;3.9</formula>
    </cfRule>
    <cfRule type="expression" dxfId="681" priority="367" stopIfTrue="1">
      <formula>AND(K12&gt;0,K12&lt;4)</formula>
    </cfRule>
    <cfRule type="expression" dxfId="680" priority="368" stopIfTrue="1">
      <formula>K12&gt;3.9</formula>
    </cfRule>
    <cfRule type="expression" dxfId="679" priority="369" stopIfTrue="1">
      <formula>AND(K12&gt;0,K12&lt;4)</formula>
    </cfRule>
    <cfRule type="expression" dxfId="678" priority="370" stopIfTrue="1">
      <formula>K12&gt;3.9</formula>
    </cfRule>
    <cfRule type="expression" dxfId="677" priority="371" stopIfTrue="1">
      <formula>AND(K12&gt;0,K12&lt;4)</formula>
    </cfRule>
    <cfRule type="expression" dxfId="676" priority="372" stopIfTrue="1">
      <formula>K12&gt;3.9</formula>
    </cfRule>
    <cfRule type="expression" dxfId="675" priority="373" stopIfTrue="1">
      <formula>AND(K12&gt;0,K12&lt;4)</formula>
    </cfRule>
    <cfRule type="expression" dxfId="674" priority="374" stopIfTrue="1">
      <formula>K12&gt;3.9</formula>
    </cfRule>
  </conditionalFormatting>
  <conditionalFormatting sqref="C14">
    <cfRule type="expression" dxfId="599" priority="300" stopIfTrue="1">
      <formula>K14&lt;0</formula>
    </cfRule>
  </conditionalFormatting>
  <conditionalFormatting sqref="C14">
    <cfRule type="expression" dxfId="597" priority="226" stopIfTrue="1">
      <formula>AND(K14&gt;0,K14&lt;4)</formula>
    </cfRule>
    <cfRule type="expression" dxfId="596" priority="227" stopIfTrue="1">
      <formula>K14&gt;3.9</formula>
    </cfRule>
    <cfRule type="expression" dxfId="595" priority="228" stopIfTrue="1">
      <formula>AND(K14&gt;0,K14&lt;4)</formula>
    </cfRule>
    <cfRule type="expression" dxfId="594" priority="229" stopIfTrue="1">
      <formula>K14&gt;3.9</formula>
    </cfRule>
    <cfRule type="expression" dxfId="593" priority="230" stopIfTrue="1">
      <formula>AND(K14&gt;0,K14&lt;4)</formula>
    </cfRule>
    <cfRule type="expression" dxfId="592" priority="231" stopIfTrue="1">
      <formula>K14&gt;3.9</formula>
    </cfRule>
    <cfRule type="expression" dxfId="591" priority="232" stopIfTrue="1">
      <formula>AND(K14&gt;0,K14&lt;4)</formula>
    </cfRule>
    <cfRule type="expression" dxfId="590" priority="233" stopIfTrue="1">
      <formula>K14&gt;3.9</formula>
    </cfRule>
    <cfRule type="expression" dxfId="589" priority="234" stopIfTrue="1">
      <formula>AND(K14&gt;0,K14&lt;4)</formula>
    </cfRule>
    <cfRule type="expression" dxfId="588" priority="235" stopIfTrue="1">
      <formula>K14&gt;3.9</formula>
    </cfRule>
    <cfRule type="expression" dxfId="587" priority="236" stopIfTrue="1">
      <formula>AND(K14&gt;0,K14&lt;4)</formula>
    </cfRule>
    <cfRule type="expression" dxfId="586" priority="237" stopIfTrue="1">
      <formula>K14&gt;3.9</formula>
    </cfRule>
    <cfRule type="expression" dxfId="585" priority="238" stopIfTrue="1">
      <formula>AND(K14&gt;0,K14&lt;4)</formula>
    </cfRule>
    <cfRule type="expression" dxfId="584" priority="239" stopIfTrue="1">
      <formula>K14&gt;3.9</formula>
    </cfRule>
    <cfRule type="expression" dxfId="583" priority="240" stopIfTrue="1">
      <formula>AND(K14&gt;0,K14&lt;4)</formula>
    </cfRule>
    <cfRule type="expression" dxfId="582" priority="241" stopIfTrue="1">
      <formula>K14&gt;3.9</formula>
    </cfRule>
    <cfRule type="expression" dxfId="581" priority="242" stopIfTrue="1">
      <formula>AND(K14&gt;0,K14&lt;4)</formula>
    </cfRule>
    <cfRule type="expression" dxfId="580" priority="243" stopIfTrue="1">
      <formula>K14&gt;3.9</formula>
    </cfRule>
    <cfRule type="expression" dxfId="579" priority="244" stopIfTrue="1">
      <formula>AND(K14&gt;0,K14&lt;4)</formula>
    </cfRule>
    <cfRule type="expression" dxfId="578" priority="245" stopIfTrue="1">
      <formula>K14&gt;3.9</formula>
    </cfRule>
    <cfRule type="expression" dxfId="577" priority="246" stopIfTrue="1">
      <formula>AND(K14&gt;0,K14&lt;4)</formula>
    </cfRule>
    <cfRule type="expression" dxfId="576" priority="247" stopIfTrue="1">
      <formula>K14&gt;3.9</formula>
    </cfRule>
    <cfRule type="expression" dxfId="575" priority="248" stopIfTrue="1">
      <formula>AND(K14&gt;0,K14&lt;4)</formula>
    </cfRule>
    <cfRule type="expression" dxfId="574" priority="249" stopIfTrue="1">
      <formula>K14&gt;3.9</formula>
    </cfRule>
    <cfRule type="expression" dxfId="573" priority="250" stopIfTrue="1">
      <formula>AND(K14&gt;0,K14&lt;4)</formula>
    </cfRule>
    <cfRule type="expression" dxfId="572" priority="251" stopIfTrue="1">
      <formula>K14&gt;3.9</formula>
    </cfRule>
    <cfRule type="expression" dxfId="571" priority="252" stopIfTrue="1">
      <formula>AND(K14&gt;0,K14&lt;4)</formula>
    </cfRule>
    <cfRule type="expression" dxfId="570" priority="253" stopIfTrue="1">
      <formula>K14&gt;3.9</formula>
    </cfRule>
    <cfRule type="expression" dxfId="569" priority="254" stopIfTrue="1">
      <formula>AND(K14&gt;0,K14&lt;4)</formula>
    </cfRule>
    <cfRule type="expression" dxfId="568" priority="255" stopIfTrue="1">
      <formula>K14&gt;3.9</formula>
    </cfRule>
    <cfRule type="expression" dxfId="567" priority="256" stopIfTrue="1">
      <formula>AND(K14&gt;0,K14&lt;4)</formula>
    </cfRule>
    <cfRule type="expression" dxfId="566" priority="257" stopIfTrue="1">
      <formula>K14&gt;3.9</formula>
    </cfRule>
    <cfRule type="expression" dxfId="565" priority="258" stopIfTrue="1">
      <formula>AND(K14&gt;0,K14&lt;4)</formula>
    </cfRule>
    <cfRule type="expression" dxfId="564" priority="259" stopIfTrue="1">
      <formula>K14&gt;3.9</formula>
    </cfRule>
    <cfRule type="expression" dxfId="563" priority="260" stopIfTrue="1">
      <formula>AND(K14&gt;0,K14&lt;4)</formula>
    </cfRule>
    <cfRule type="expression" dxfId="562" priority="261" stopIfTrue="1">
      <formula>K14&gt;3.9</formula>
    </cfRule>
    <cfRule type="expression" dxfId="561" priority="262" stopIfTrue="1">
      <formula>AND(K14&gt;0,K14&lt;4)</formula>
    </cfRule>
    <cfRule type="expression" dxfId="560" priority="263" stopIfTrue="1">
      <formula>K14&gt;3.9</formula>
    </cfRule>
    <cfRule type="expression" dxfId="559" priority="264" stopIfTrue="1">
      <formula>AND(K14&gt;0,K14&lt;4)</formula>
    </cfRule>
    <cfRule type="expression" dxfId="558" priority="265" stopIfTrue="1">
      <formula>K14&gt;3.9</formula>
    </cfRule>
    <cfRule type="expression" dxfId="557" priority="266" stopIfTrue="1">
      <formula>AND(K14&gt;0,K14&lt;4)</formula>
    </cfRule>
    <cfRule type="expression" dxfId="556" priority="267" stopIfTrue="1">
      <formula>K14&gt;3.9</formula>
    </cfRule>
    <cfRule type="expression" dxfId="555" priority="268" stopIfTrue="1">
      <formula>AND(K14&gt;0,K14&lt;4)</formula>
    </cfRule>
    <cfRule type="expression" dxfId="554" priority="269" stopIfTrue="1">
      <formula>K14&gt;3.9</formula>
    </cfRule>
    <cfRule type="expression" dxfId="553" priority="270" stopIfTrue="1">
      <formula>AND(K14&gt;0,K14&lt;4)</formula>
    </cfRule>
    <cfRule type="expression" dxfId="552" priority="271" stopIfTrue="1">
      <formula>K14&gt;3.9</formula>
    </cfRule>
    <cfRule type="expression" dxfId="551" priority="272" stopIfTrue="1">
      <formula>AND(K14&gt;0,K14&lt;4)</formula>
    </cfRule>
    <cfRule type="expression" dxfId="550" priority="273" stopIfTrue="1">
      <formula>K14&gt;3.9</formula>
    </cfRule>
    <cfRule type="expression" dxfId="549" priority="274" stopIfTrue="1">
      <formula>AND(K14&gt;0,K14&lt;4)</formula>
    </cfRule>
    <cfRule type="expression" dxfId="548" priority="275" stopIfTrue="1">
      <formula>K14&gt;3.9</formula>
    </cfRule>
    <cfRule type="expression" dxfId="547" priority="276" stopIfTrue="1">
      <formula>AND(K14&gt;0,K14&lt;4)</formula>
    </cfRule>
    <cfRule type="expression" dxfId="546" priority="277" stopIfTrue="1">
      <formula>K14&gt;3.9</formula>
    </cfRule>
    <cfRule type="expression" dxfId="545" priority="278" stopIfTrue="1">
      <formula>AND(K14&gt;0,K14&lt;4)</formula>
    </cfRule>
    <cfRule type="expression" dxfId="544" priority="279" stopIfTrue="1">
      <formula>K14&gt;3.9</formula>
    </cfRule>
    <cfRule type="expression" dxfId="543" priority="280" stopIfTrue="1">
      <formula>AND(K14&gt;0,K14&lt;4)</formula>
    </cfRule>
    <cfRule type="expression" dxfId="542" priority="281" stopIfTrue="1">
      <formula>K14&gt;3.9</formula>
    </cfRule>
    <cfRule type="expression" dxfId="541" priority="282" stopIfTrue="1">
      <formula>AND(K14&gt;0,K14&lt;4)</formula>
    </cfRule>
    <cfRule type="expression" dxfId="540" priority="283" stopIfTrue="1">
      <formula>K14&gt;3.9</formula>
    </cfRule>
    <cfRule type="expression" dxfId="539" priority="284" stopIfTrue="1">
      <formula>AND(K14&gt;0,K14&lt;4)</formula>
    </cfRule>
    <cfRule type="expression" dxfId="538" priority="285" stopIfTrue="1">
      <formula>K14&gt;3.9</formula>
    </cfRule>
    <cfRule type="expression" dxfId="537" priority="286" stopIfTrue="1">
      <formula>AND(K14&gt;0,K14&lt;4)</formula>
    </cfRule>
    <cfRule type="expression" dxfId="536" priority="287" stopIfTrue="1">
      <formula>K14&gt;3.9</formula>
    </cfRule>
    <cfRule type="expression" dxfId="535" priority="288" stopIfTrue="1">
      <formula>AND(K14&gt;0,K14&lt;4)</formula>
    </cfRule>
    <cfRule type="expression" dxfId="534" priority="289" stopIfTrue="1">
      <formula>K14&gt;3.9</formula>
    </cfRule>
    <cfRule type="expression" dxfId="533" priority="290" stopIfTrue="1">
      <formula>AND(K14&gt;0,K14&lt;4)</formula>
    </cfRule>
    <cfRule type="expression" dxfId="532" priority="291" stopIfTrue="1">
      <formula>K14&gt;3.9</formula>
    </cfRule>
    <cfRule type="expression" dxfId="531" priority="292" stopIfTrue="1">
      <formula>AND(K14&gt;0,K14&lt;4)</formula>
    </cfRule>
    <cfRule type="expression" dxfId="530" priority="293" stopIfTrue="1">
      <formula>K14&gt;3.9</formula>
    </cfRule>
    <cfRule type="expression" dxfId="529" priority="294" stopIfTrue="1">
      <formula>AND(K14&gt;0,K14&lt;4)</formula>
    </cfRule>
    <cfRule type="expression" dxfId="528" priority="295" stopIfTrue="1">
      <formula>K14&gt;3.9</formula>
    </cfRule>
    <cfRule type="expression" dxfId="527" priority="296" stopIfTrue="1">
      <formula>AND(K14&gt;0,K14&lt;4)</formula>
    </cfRule>
    <cfRule type="expression" dxfId="526" priority="297" stopIfTrue="1">
      <formula>K14&gt;3.9</formula>
    </cfRule>
    <cfRule type="expression" dxfId="525" priority="298" stopIfTrue="1">
      <formula>AND(K14&gt;0,K14&lt;4)</formula>
    </cfRule>
    <cfRule type="expression" dxfId="524" priority="299" stopIfTrue="1">
      <formula>K14&gt;3.9</formula>
    </cfRule>
  </conditionalFormatting>
  <conditionalFormatting sqref="C18">
    <cfRule type="expression" dxfId="449" priority="225" stopIfTrue="1">
      <formula>K18&lt;0</formula>
    </cfRule>
  </conditionalFormatting>
  <conditionalFormatting sqref="C18">
    <cfRule type="expression" dxfId="447" priority="151" stopIfTrue="1">
      <formula>AND(K18&gt;0,K18&lt;4)</formula>
    </cfRule>
    <cfRule type="expression" dxfId="446" priority="152" stopIfTrue="1">
      <formula>K18&gt;3.9</formula>
    </cfRule>
    <cfRule type="expression" dxfId="445" priority="153" stopIfTrue="1">
      <formula>AND(K18&gt;0,K18&lt;4)</formula>
    </cfRule>
    <cfRule type="expression" dxfId="444" priority="154" stopIfTrue="1">
      <formula>K18&gt;3.9</formula>
    </cfRule>
    <cfRule type="expression" dxfId="443" priority="155" stopIfTrue="1">
      <formula>AND(K18&gt;0,K18&lt;4)</formula>
    </cfRule>
    <cfRule type="expression" dxfId="442" priority="156" stopIfTrue="1">
      <formula>K18&gt;3.9</formula>
    </cfRule>
    <cfRule type="expression" dxfId="441" priority="157" stopIfTrue="1">
      <formula>AND(K18&gt;0,K18&lt;4)</formula>
    </cfRule>
    <cfRule type="expression" dxfId="440" priority="158" stopIfTrue="1">
      <formula>K18&gt;3.9</formula>
    </cfRule>
    <cfRule type="expression" dxfId="439" priority="159" stopIfTrue="1">
      <formula>AND(K18&gt;0,K18&lt;4)</formula>
    </cfRule>
    <cfRule type="expression" dxfId="438" priority="160" stopIfTrue="1">
      <formula>K18&gt;3.9</formula>
    </cfRule>
    <cfRule type="expression" dxfId="437" priority="161" stopIfTrue="1">
      <formula>AND(K18&gt;0,K18&lt;4)</formula>
    </cfRule>
    <cfRule type="expression" dxfId="436" priority="162" stopIfTrue="1">
      <formula>K18&gt;3.9</formula>
    </cfRule>
    <cfRule type="expression" dxfId="435" priority="163" stopIfTrue="1">
      <formula>AND(K18&gt;0,K18&lt;4)</formula>
    </cfRule>
    <cfRule type="expression" dxfId="434" priority="164" stopIfTrue="1">
      <formula>K18&gt;3.9</formula>
    </cfRule>
    <cfRule type="expression" dxfId="433" priority="165" stopIfTrue="1">
      <formula>AND(K18&gt;0,K18&lt;4)</formula>
    </cfRule>
    <cfRule type="expression" dxfId="432" priority="166" stopIfTrue="1">
      <formula>K18&gt;3.9</formula>
    </cfRule>
    <cfRule type="expression" dxfId="431" priority="167" stopIfTrue="1">
      <formula>AND(K18&gt;0,K18&lt;4)</formula>
    </cfRule>
    <cfRule type="expression" dxfId="430" priority="168" stopIfTrue="1">
      <formula>K18&gt;3.9</formula>
    </cfRule>
    <cfRule type="expression" dxfId="429" priority="169" stopIfTrue="1">
      <formula>AND(K18&gt;0,K18&lt;4)</formula>
    </cfRule>
    <cfRule type="expression" dxfId="428" priority="170" stopIfTrue="1">
      <formula>K18&gt;3.9</formula>
    </cfRule>
    <cfRule type="expression" dxfId="427" priority="171" stopIfTrue="1">
      <formula>AND(K18&gt;0,K18&lt;4)</formula>
    </cfRule>
    <cfRule type="expression" dxfId="426" priority="172" stopIfTrue="1">
      <formula>K18&gt;3.9</formula>
    </cfRule>
    <cfRule type="expression" dxfId="425" priority="173" stopIfTrue="1">
      <formula>AND(K18&gt;0,K18&lt;4)</formula>
    </cfRule>
    <cfRule type="expression" dxfId="424" priority="174" stopIfTrue="1">
      <formula>K18&gt;3.9</formula>
    </cfRule>
    <cfRule type="expression" dxfId="423" priority="175" stopIfTrue="1">
      <formula>AND(K18&gt;0,K18&lt;4)</formula>
    </cfRule>
    <cfRule type="expression" dxfId="422" priority="176" stopIfTrue="1">
      <formula>K18&gt;3.9</formula>
    </cfRule>
    <cfRule type="expression" dxfId="421" priority="177" stopIfTrue="1">
      <formula>AND(K18&gt;0,K18&lt;4)</formula>
    </cfRule>
    <cfRule type="expression" dxfId="420" priority="178" stopIfTrue="1">
      <formula>K18&gt;3.9</formula>
    </cfRule>
    <cfRule type="expression" dxfId="419" priority="179" stopIfTrue="1">
      <formula>AND(K18&gt;0,K18&lt;4)</formula>
    </cfRule>
    <cfRule type="expression" dxfId="418" priority="180" stopIfTrue="1">
      <formula>K18&gt;3.9</formula>
    </cfRule>
    <cfRule type="expression" dxfId="417" priority="181" stopIfTrue="1">
      <formula>AND(K18&gt;0,K18&lt;4)</formula>
    </cfRule>
    <cfRule type="expression" dxfId="416" priority="182" stopIfTrue="1">
      <formula>K18&gt;3.9</formula>
    </cfRule>
    <cfRule type="expression" dxfId="415" priority="183" stopIfTrue="1">
      <formula>AND(K18&gt;0,K18&lt;4)</formula>
    </cfRule>
    <cfRule type="expression" dxfId="414" priority="184" stopIfTrue="1">
      <formula>K18&gt;3.9</formula>
    </cfRule>
    <cfRule type="expression" dxfId="413" priority="185" stopIfTrue="1">
      <formula>AND(K18&gt;0,K18&lt;4)</formula>
    </cfRule>
    <cfRule type="expression" dxfId="412" priority="186" stopIfTrue="1">
      <formula>K18&gt;3.9</formula>
    </cfRule>
    <cfRule type="expression" dxfId="411" priority="187" stopIfTrue="1">
      <formula>AND(K18&gt;0,K18&lt;4)</formula>
    </cfRule>
    <cfRule type="expression" dxfId="410" priority="188" stopIfTrue="1">
      <formula>K18&gt;3.9</formula>
    </cfRule>
    <cfRule type="expression" dxfId="409" priority="189" stopIfTrue="1">
      <formula>AND(K18&gt;0,K18&lt;4)</formula>
    </cfRule>
    <cfRule type="expression" dxfId="408" priority="190" stopIfTrue="1">
      <formula>K18&gt;3.9</formula>
    </cfRule>
    <cfRule type="expression" dxfId="407" priority="191" stopIfTrue="1">
      <formula>AND(K18&gt;0,K18&lt;4)</formula>
    </cfRule>
    <cfRule type="expression" dxfId="406" priority="192" stopIfTrue="1">
      <formula>K18&gt;3.9</formula>
    </cfRule>
    <cfRule type="expression" dxfId="405" priority="193" stopIfTrue="1">
      <formula>AND(K18&gt;0,K18&lt;4)</formula>
    </cfRule>
    <cfRule type="expression" dxfId="404" priority="194" stopIfTrue="1">
      <formula>K18&gt;3.9</formula>
    </cfRule>
    <cfRule type="expression" dxfId="403" priority="195" stopIfTrue="1">
      <formula>AND(K18&gt;0,K18&lt;4)</formula>
    </cfRule>
    <cfRule type="expression" dxfId="402" priority="196" stopIfTrue="1">
      <formula>K18&gt;3.9</formula>
    </cfRule>
    <cfRule type="expression" dxfId="401" priority="197" stopIfTrue="1">
      <formula>AND(K18&gt;0,K18&lt;4)</formula>
    </cfRule>
    <cfRule type="expression" dxfId="400" priority="198" stopIfTrue="1">
      <formula>K18&gt;3.9</formula>
    </cfRule>
    <cfRule type="expression" dxfId="399" priority="199" stopIfTrue="1">
      <formula>AND(K18&gt;0,K18&lt;4)</formula>
    </cfRule>
    <cfRule type="expression" dxfId="398" priority="200" stopIfTrue="1">
      <formula>K18&gt;3.9</formula>
    </cfRule>
    <cfRule type="expression" dxfId="397" priority="201" stopIfTrue="1">
      <formula>AND(K18&gt;0,K18&lt;4)</formula>
    </cfRule>
    <cfRule type="expression" dxfId="396" priority="202" stopIfTrue="1">
      <formula>K18&gt;3.9</formula>
    </cfRule>
    <cfRule type="expression" dxfId="395" priority="203" stopIfTrue="1">
      <formula>AND(K18&gt;0,K18&lt;4)</formula>
    </cfRule>
    <cfRule type="expression" dxfId="394" priority="204" stopIfTrue="1">
      <formula>K18&gt;3.9</formula>
    </cfRule>
    <cfRule type="expression" dxfId="393" priority="205" stopIfTrue="1">
      <formula>AND(K18&gt;0,K18&lt;4)</formula>
    </cfRule>
    <cfRule type="expression" dxfId="392" priority="206" stopIfTrue="1">
      <formula>K18&gt;3.9</formula>
    </cfRule>
    <cfRule type="expression" dxfId="391" priority="207" stopIfTrue="1">
      <formula>AND(K18&gt;0,K18&lt;4)</formula>
    </cfRule>
    <cfRule type="expression" dxfId="390" priority="208" stopIfTrue="1">
      <formula>K18&gt;3.9</formula>
    </cfRule>
    <cfRule type="expression" dxfId="389" priority="209" stopIfTrue="1">
      <formula>AND(K18&gt;0,K18&lt;4)</formula>
    </cfRule>
    <cfRule type="expression" dxfId="388" priority="210" stopIfTrue="1">
      <formula>K18&gt;3.9</formula>
    </cfRule>
    <cfRule type="expression" dxfId="387" priority="211" stopIfTrue="1">
      <formula>AND(K18&gt;0,K18&lt;4)</formula>
    </cfRule>
    <cfRule type="expression" dxfId="386" priority="212" stopIfTrue="1">
      <formula>K18&gt;3.9</formula>
    </cfRule>
    <cfRule type="expression" dxfId="385" priority="213" stopIfTrue="1">
      <formula>AND(K18&gt;0,K18&lt;4)</formula>
    </cfRule>
    <cfRule type="expression" dxfId="384" priority="214" stopIfTrue="1">
      <formula>K18&gt;3.9</formula>
    </cfRule>
    <cfRule type="expression" dxfId="383" priority="215" stopIfTrue="1">
      <formula>AND(K18&gt;0,K18&lt;4)</formula>
    </cfRule>
    <cfRule type="expression" dxfId="382" priority="216" stopIfTrue="1">
      <formula>K18&gt;3.9</formula>
    </cfRule>
    <cfRule type="expression" dxfId="381" priority="217" stopIfTrue="1">
      <formula>AND(K18&gt;0,K18&lt;4)</formula>
    </cfRule>
    <cfRule type="expression" dxfId="380" priority="218" stopIfTrue="1">
      <formula>K18&gt;3.9</formula>
    </cfRule>
    <cfRule type="expression" dxfId="379" priority="219" stopIfTrue="1">
      <formula>AND(K18&gt;0,K18&lt;4)</formula>
    </cfRule>
    <cfRule type="expression" dxfId="378" priority="220" stopIfTrue="1">
      <formula>K18&gt;3.9</formula>
    </cfRule>
    <cfRule type="expression" dxfId="377" priority="221" stopIfTrue="1">
      <formula>AND(K18&gt;0,K18&lt;4)</formula>
    </cfRule>
    <cfRule type="expression" dxfId="376" priority="222" stopIfTrue="1">
      <formula>K18&gt;3.9</formula>
    </cfRule>
    <cfRule type="expression" dxfId="375" priority="223" stopIfTrue="1">
      <formula>AND(K18&gt;0,K18&lt;4)</formula>
    </cfRule>
    <cfRule type="expression" dxfId="374" priority="224" stopIfTrue="1">
      <formula>K18&gt;3.9</formula>
    </cfRule>
  </conditionalFormatting>
  <conditionalFormatting sqref="C16">
    <cfRule type="expression" dxfId="299" priority="150" stopIfTrue="1">
      <formula>K16&lt;0</formula>
    </cfRule>
  </conditionalFormatting>
  <conditionalFormatting sqref="C16">
    <cfRule type="expression" dxfId="297" priority="76" stopIfTrue="1">
      <formula>AND(K16&gt;0,K16&lt;4)</formula>
    </cfRule>
    <cfRule type="expression" dxfId="296" priority="77" stopIfTrue="1">
      <formula>K16&gt;3.9</formula>
    </cfRule>
    <cfRule type="expression" dxfId="295" priority="78" stopIfTrue="1">
      <formula>AND(K16&gt;0,K16&lt;4)</formula>
    </cfRule>
    <cfRule type="expression" dxfId="294" priority="79" stopIfTrue="1">
      <formula>K16&gt;3.9</formula>
    </cfRule>
    <cfRule type="expression" dxfId="293" priority="80" stopIfTrue="1">
      <formula>AND(K16&gt;0,K16&lt;4)</formula>
    </cfRule>
    <cfRule type="expression" dxfId="292" priority="81" stopIfTrue="1">
      <formula>K16&gt;3.9</formula>
    </cfRule>
    <cfRule type="expression" dxfId="291" priority="82" stopIfTrue="1">
      <formula>AND(K16&gt;0,K16&lt;4)</formula>
    </cfRule>
    <cfRule type="expression" dxfId="290" priority="83" stopIfTrue="1">
      <formula>K16&gt;3.9</formula>
    </cfRule>
    <cfRule type="expression" dxfId="289" priority="84" stopIfTrue="1">
      <formula>AND(K16&gt;0,K16&lt;4)</formula>
    </cfRule>
    <cfRule type="expression" dxfId="288" priority="85" stopIfTrue="1">
      <formula>K16&gt;3.9</formula>
    </cfRule>
    <cfRule type="expression" dxfId="287" priority="86" stopIfTrue="1">
      <formula>AND(K16&gt;0,K16&lt;4)</formula>
    </cfRule>
    <cfRule type="expression" dxfId="286" priority="87" stopIfTrue="1">
      <formula>K16&gt;3.9</formula>
    </cfRule>
    <cfRule type="expression" dxfId="285" priority="88" stopIfTrue="1">
      <formula>AND(K16&gt;0,K16&lt;4)</formula>
    </cfRule>
    <cfRule type="expression" dxfId="284" priority="89" stopIfTrue="1">
      <formula>K16&gt;3.9</formula>
    </cfRule>
    <cfRule type="expression" dxfId="283" priority="90" stopIfTrue="1">
      <formula>AND(K16&gt;0,K16&lt;4)</formula>
    </cfRule>
    <cfRule type="expression" dxfId="282" priority="91" stopIfTrue="1">
      <formula>K16&gt;3.9</formula>
    </cfRule>
    <cfRule type="expression" dxfId="281" priority="92" stopIfTrue="1">
      <formula>AND(K16&gt;0,K16&lt;4)</formula>
    </cfRule>
    <cfRule type="expression" dxfId="280" priority="93" stopIfTrue="1">
      <formula>K16&gt;3.9</formula>
    </cfRule>
    <cfRule type="expression" dxfId="279" priority="94" stopIfTrue="1">
      <formula>AND(K16&gt;0,K16&lt;4)</formula>
    </cfRule>
    <cfRule type="expression" dxfId="278" priority="95" stopIfTrue="1">
      <formula>K16&gt;3.9</formula>
    </cfRule>
    <cfRule type="expression" dxfId="277" priority="96" stopIfTrue="1">
      <formula>AND(K16&gt;0,K16&lt;4)</formula>
    </cfRule>
    <cfRule type="expression" dxfId="276" priority="97" stopIfTrue="1">
      <formula>K16&gt;3.9</formula>
    </cfRule>
    <cfRule type="expression" dxfId="275" priority="98" stopIfTrue="1">
      <formula>AND(K16&gt;0,K16&lt;4)</formula>
    </cfRule>
    <cfRule type="expression" dxfId="274" priority="99" stopIfTrue="1">
      <formula>K16&gt;3.9</formula>
    </cfRule>
    <cfRule type="expression" dxfId="273" priority="100" stopIfTrue="1">
      <formula>AND(K16&gt;0,K16&lt;4)</formula>
    </cfRule>
    <cfRule type="expression" dxfId="272" priority="101" stopIfTrue="1">
      <formula>K16&gt;3.9</formula>
    </cfRule>
    <cfRule type="expression" dxfId="271" priority="102" stopIfTrue="1">
      <formula>AND(K16&gt;0,K16&lt;4)</formula>
    </cfRule>
    <cfRule type="expression" dxfId="270" priority="103" stopIfTrue="1">
      <formula>K16&gt;3.9</formula>
    </cfRule>
    <cfRule type="expression" dxfId="269" priority="104" stopIfTrue="1">
      <formula>AND(K16&gt;0,K16&lt;4)</formula>
    </cfRule>
    <cfRule type="expression" dxfId="268" priority="105" stopIfTrue="1">
      <formula>K16&gt;3.9</formula>
    </cfRule>
    <cfRule type="expression" dxfId="267" priority="106" stopIfTrue="1">
      <formula>AND(K16&gt;0,K16&lt;4)</formula>
    </cfRule>
    <cfRule type="expression" dxfId="266" priority="107" stopIfTrue="1">
      <formula>K16&gt;3.9</formula>
    </cfRule>
    <cfRule type="expression" dxfId="265" priority="108" stopIfTrue="1">
      <formula>AND(K16&gt;0,K16&lt;4)</formula>
    </cfRule>
    <cfRule type="expression" dxfId="264" priority="109" stopIfTrue="1">
      <formula>K16&gt;3.9</formula>
    </cfRule>
    <cfRule type="expression" dxfId="263" priority="110" stopIfTrue="1">
      <formula>AND(K16&gt;0,K16&lt;4)</formula>
    </cfRule>
    <cfRule type="expression" dxfId="262" priority="111" stopIfTrue="1">
      <formula>K16&gt;3.9</formula>
    </cfRule>
    <cfRule type="expression" dxfId="261" priority="112" stopIfTrue="1">
      <formula>AND(K16&gt;0,K16&lt;4)</formula>
    </cfRule>
    <cfRule type="expression" dxfId="260" priority="113" stopIfTrue="1">
      <formula>K16&gt;3.9</formula>
    </cfRule>
    <cfRule type="expression" dxfId="259" priority="114" stopIfTrue="1">
      <formula>AND(K16&gt;0,K16&lt;4)</formula>
    </cfRule>
    <cfRule type="expression" dxfId="258" priority="115" stopIfTrue="1">
      <formula>K16&gt;3.9</formula>
    </cfRule>
    <cfRule type="expression" dxfId="257" priority="116" stopIfTrue="1">
      <formula>AND(K16&gt;0,K16&lt;4)</formula>
    </cfRule>
    <cfRule type="expression" dxfId="256" priority="117" stopIfTrue="1">
      <formula>K16&gt;3.9</formula>
    </cfRule>
    <cfRule type="expression" dxfId="255" priority="118" stopIfTrue="1">
      <formula>AND(K16&gt;0,K16&lt;4)</formula>
    </cfRule>
    <cfRule type="expression" dxfId="254" priority="119" stopIfTrue="1">
      <formula>K16&gt;3.9</formula>
    </cfRule>
    <cfRule type="expression" dxfId="253" priority="120" stopIfTrue="1">
      <formula>AND(K16&gt;0,K16&lt;4)</formula>
    </cfRule>
    <cfRule type="expression" dxfId="252" priority="121" stopIfTrue="1">
      <formula>K16&gt;3.9</formula>
    </cfRule>
    <cfRule type="expression" dxfId="251" priority="122" stopIfTrue="1">
      <formula>AND(K16&gt;0,K16&lt;4)</formula>
    </cfRule>
    <cfRule type="expression" dxfId="250" priority="123" stopIfTrue="1">
      <formula>K16&gt;3.9</formula>
    </cfRule>
    <cfRule type="expression" dxfId="249" priority="124" stopIfTrue="1">
      <formula>AND(K16&gt;0,K16&lt;4)</formula>
    </cfRule>
    <cfRule type="expression" dxfId="248" priority="125" stopIfTrue="1">
      <formula>K16&gt;3.9</formula>
    </cfRule>
    <cfRule type="expression" dxfId="247" priority="126" stopIfTrue="1">
      <formula>AND(K16&gt;0,K16&lt;4)</formula>
    </cfRule>
    <cfRule type="expression" dxfId="246" priority="127" stopIfTrue="1">
      <formula>K16&gt;3.9</formula>
    </cfRule>
    <cfRule type="expression" dxfId="245" priority="128" stopIfTrue="1">
      <formula>AND(K16&gt;0,K16&lt;4)</formula>
    </cfRule>
    <cfRule type="expression" dxfId="244" priority="129" stopIfTrue="1">
      <formula>K16&gt;3.9</formula>
    </cfRule>
    <cfRule type="expression" dxfId="243" priority="130" stopIfTrue="1">
      <formula>AND(K16&gt;0,K16&lt;4)</formula>
    </cfRule>
    <cfRule type="expression" dxfId="242" priority="131" stopIfTrue="1">
      <formula>K16&gt;3.9</formula>
    </cfRule>
    <cfRule type="expression" dxfId="241" priority="132" stopIfTrue="1">
      <formula>AND(K16&gt;0,K16&lt;4)</formula>
    </cfRule>
    <cfRule type="expression" dxfId="240" priority="133" stopIfTrue="1">
      <formula>K16&gt;3.9</formula>
    </cfRule>
    <cfRule type="expression" dxfId="239" priority="134" stopIfTrue="1">
      <formula>AND(K16&gt;0,K16&lt;4)</formula>
    </cfRule>
    <cfRule type="expression" dxfId="238" priority="135" stopIfTrue="1">
      <formula>K16&gt;3.9</formula>
    </cfRule>
    <cfRule type="expression" dxfId="237" priority="136" stopIfTrue="1">
      <formula>AND(K16&gt;0,K16&lt;4)</formula>
    </cfRule>
    <cfRule type="expression" dxfId="236" priority="137" stopIfTrue="1">
      <formula>K16&gt;3.9</formula>
    </cfRule>
    <cfRule type="expression" dxfId="235" priority="138" stopIfTrue="1">
      <formula>AND(K16&gt;0,K16&lt;4)</formula>
    </cfRule>
    <cfRule type="expression" dxfId="234" priority="139" stopIfTrue="1">
      <formula>K16&gt;3.9</formula>
    </cfRule>
    <cfRule type="expression" dxfId="233" priority="140" stopIfTrue="1">
      <formula>AND(K16&gt;0,K16&lt;4)</formula>
    </cfRule>
    <cfRule type="expression" dxfId="232" priority="141" stopIfTrue="1">
      <formula>K16&gt;3.9</formula>
    </cfRule>
    <cfRule type="expression" dxfId="231" priority="142" stopIfTrue="1">
      <formula>AND(K16&gt;0,K16&lt;4)</formula>
    </cfRule>
    <cfRule type="expression" dxfId="230" priority="143" stopIfTrue="1">
      <formula>K16&gt;3.9</formula>
    </cfRule>
    <cfRule type="expression" dxfId="229" priority="144" stopIfTrue="1">
      <formula>AND(K16&gt;0,K16&lt;4)</formula>
    </cfRule>
    <cfRule type="expression" dxfId="228" priority="145" stopIfTrue="1">
      <formula>K16&gt;3.9</formula>
    </cfRule>
    <cfRule type="expression" dxfId="227" priority="146" stopIfTrue="1">
      <formula>AND(K16&gt;0,K16&lt;4)</formula>
    </cfRule>
    <cfRule type="expression" dxfId="226" priority="147" stopIfTrue="1">
      <formula>K16&gt;3.9</formula>
    </cfRule>
    <cfRule type="expression" dxfId="225" priority="148" stopIfTrue="1">
      <formula>AND(K16&gt;0,K16&lt;4)</formula>
    </cfRule>
    <cfRule type="expression" dxfId="224" priority="149" stopIfTrue="1">
      <formula>K16&gt;3.9</formula>
    </cfRule>
  </conditionalFormatting>
  <conditionalFormatting sqref="C20 C22 C24 C26 C28 C30 C32 C34">
    <cfRule type="expression" dxfId="149" priority="75" stopIfTrue="1">
      <formula>K20&lt;0</formula>
    </cfRule>
  </conditionalFormatting>
  <conditionalFormatting sqref="C20 C22 C24 C26 C28 C30 C32 C34">
    <cfRule type="expression" dxfId="147" priority="1" stopIfTrue="1">
      <formula>AND(K20&gt;0,K20&lt;4)</formula>
    </cfRule>
    <cfRule type="expression" dxfId="146" priority="2" stopIfTrue="1">
      <formula>K20&gt;3.9</formula>
    </cfRule>
    <cfRule type="expression" dxfId="145" priority="3" stopIfTrue="1">
      <formula>AND(K20&gt;0,K20&lt;4)</formula>
    </cfRule>
    <cfRule type="expression" dxfId="144" priority="4" stopIfTrue="1">
      <formula>K20&gt;3.9</formula>
    </cfRule>
    <cfRule type="expression" dxfId="143" priority="5" stopIfTrue="1">
      <formula>AND(K20&gt;0,K20&lt;4)</formula>
    </cfRule>
    <cfRule type="expression" dxfId="142" priority="6" stopIfTrue="1">
      <formula>K20&gt;3.9</formula>
    </cfRule>
    <cfRule type="expression" dxfId="141" priority="7" stopIfTrue="1">
      <formula>AND(K20&gt;0,K20&lt;4)</formula>
    </cfRule>
    <cfRule type="expression" dxfId="140" priority="8" stopIfTrue="1">
      <formula>K20&gt;3.9</formula>
    </cfRule>
    <cfRule type="expression" dxfId="139" priority="9" stopIfTrue="1">
      <formula>AND(K20&gt;0,K20&lt;4)</formula>
    </cfRule>
    <cfRule type="expression" dxfId="138" priority="10" stopIfTrue="1">
      <formula>K20&gt;3.9</formula>
    </cfRule>
    <cfRule type="expression" dxfId="137" priority="11" stopIfTrue="1">
      <formula>AND(K20&gt;0,K20&lt;4)</formula>
    </cfRule>
    <cfRule type="expression" dxfId="136" priority="12" stopIfTrue="1">
      <formula>K20&gt;3.9</formula>
    </cfRule>
    <cfRule type="expression" dxfId="135" priority="13" stopIfTrue="1">
      <formula>AND(K20&gt;0,K20&lt;4)</formula>
    </cfRule>
    <cfRule type="expression" dxfId="134" priority="14" stopIfTrue="1">
      <formula>K20&gt;3.9</formula>
    </cfRule>
    <cfRule type="expression" dxfId="133" priority="15" stopIfTrue="1">
      <formula>AND(K20&gt;0,K20&lt;4)</formula>
    </cfRule>
    <cfRule type="expression" dxfId="132" priority="16" stopIfTrue="1">
      <formula>K20&gt;3.9</formula>
    </cfRule>
    <cfRule type="expression" dxfId="131" priority="17" stopIfTrue="1">
      <formula>AND(K20&gt;0,K20&lt;4)</formula>
    </cfRule>
    <cfRule type="expression" dxfId="130" priority="18" stopIfTrue="1">
      <formula>K20&gt;3.9</formula>
    </cfRule>
    <cfRule type="expression" dxfId="129" priority="19" stopIfTrue="1">
      <formula>AND(K20&gt;0,K20&lt;4)</formula>
    </cfRule>
    <cfRule type="expression" dxfId="128" priority="20" stopIfTrue="1">
      <formula>K20&gt;3.9</formula>
    </cfRule>
    <cfRule type="expression" dxfId="127" priority="21" stopIfTrue="1">
      <formula>AND(K20&gt;0,K20&lt;4)</formula>
    </cfRule>
    <cfRule type="expression" dxfId="126" priority="22" stopIfTrue="1">
      <formula>K20&gt;3.9</formula>
    </cfRule>
    <cfRule type="expression" dxfId="125" priority="23" stopIfTrue="1">
      <formula>AND(K20&gt;0,K20&lt;4)</formula>
    </cfRule>
    <cfRule type="expression" dxfId="124" priority="24" stopIfTrue="1">
      <formula>K20&gt;3.9</formula>
    </cfRule>
    <cfRule type="expression" dxfId="123" priority="25" stopIfTrue="1">
      <formula>AND(K20&gt;0,K20&lt;4)</formula>
    </cfRule>
    <cfRule type="expression" dxfId="122" priority="26" stopIfTrue="1">
      <formula>K20&gt;3.9</formula>
    </cfRule>
    <cfRule type="expression" dxfId="121" priority="27" stopIfTrue="1">
      <formula>AND(K20&gt;0,K20&lt;4)</formula>
    </cfRule>
    <cfRule type="expression" dxfId="120" priority="28" stopIfTrue="1">
      <formula>K20&gt;3.9</formula>
    </cfRule>
    <cfRule type="expression" dxfId="119" priority="29" stopIfTrue="1">
      <formula>AND(K20&gt;0,K20&lt;4)</formula>
    </cfRule>
    <cfRule type="expression" dxfId="118" priority="30" stopIfTrue="1">
      <formula>K20&gt;3.9</formula>
    </cfRule>
    <cfRule type="expression" dxfId="117" priority="31" stopIfTrue="1">
      <formula>AND(K20&gt;0,K20&lt;4)</formula>
    </cfRule>
    <cfRule type="expression" dxfId="116" priority="32" stopIfTrue="1">
      <formula>K20&gt;3.9</formula>
    </cfRule>
    <cfRule type="expression" dxfId="115" priority="33" stopIfTrue="1">
      <formula>AND(K20&gt;0,K20&lt;4)</formula>
    </cfRule>
    <cfRule type="expression" dxfId="114" priority="34" stopIfTrue="1">
      <formula>K20&gt;3.9</formula>
    </cfRule>
    <cfRule type="expression" dxfId="113" priority="35" stopIfTrue="1">
      <formula>AND(K20&gt;0,K20&lt;4)</formula>
    </cfRule>
    <cfRule type="expression" dxfId="112" priority="36" stopIfTrue="1">
      <formula>K20&gt;3.9</formula>
    </cfRule>
    <cfRule type="expression" dxfId="111" priority="37" stopIfTrue="1">
      <formula>AND(K20&gt;0,K20&lt;4)</formula>
    </cfRule>
    <cfRule type="expression" dxfId="110" priority="38" stopIfTrue="1">
      <formula>K20&gt;3.9</formula>
    </cfRule>
    <cfRule type="expression" dxfId="109" priority="39" stopIfTrue="1">
      <formula>AND(K20&gt;0,K20&lt;4)</formula>
    </cfRule>
    <cfRule type="expression" dxfId="108" priority="40" stopIfTrue="1">
      <formula>K20&gt;3.9</formula>
    </cfRule>
    <cfRule type="expression" dxfId="107" priority="41" stopIfTrue="1">
      <formula>AND(K20&gt;0,K20&lt;4)</formula>
    </cfRule>
    <cfRule type="expression" dxfId="106" priority="42" stopIfTrue="1">
      <formula>K20&gt;3.9</formula>
    </cfRule>
    <cfRule type="expression" dxfId="105" priority="43" stopIfTrue="1">
      <formula>AND(K20&gt;0,K20&lt;4)</formula>
    </cfRule>
    <cfRule type="expression" dxfId="104" priority="44" stopIfTrue="1">
      <formula>K20&gt;3.9</formula>
    </cfRule>
    <cfRule type="expression" dxfId="103" priority="45" stopIfTrue="1">
      <formula>AND(K20&gt;0,K20&lt;4)</formula>
    </cfRule>
    <cfRule type="expression" dxfId="102" priority="46" stopIfTrue="1">
      <formula>K20&gt;3.9</formula>
    </cfRule>
    <cfRule type="expression" dxfId="101" priority="47" stopIfTrue="1">
      <formula>AND(K20&gt;0,K20&lt;4)</formula>
    </cfRule>
    <cfRule type="expression" dxfId="100" priority="48" stopIfTrue="1">
      <formula>K20&gt;3.9</formula>
    </cfRule>
    <cfRule type="expression" dxfId="99" priority="49" stopIfTrue="1">
      <formula>AND(K20&gt;0,K20&lt;4)</formula>
    </cfRule>
    <cfRule type="expression" dxfId="98" priority="50" stopIfTrue="1">
      <formula>K20&gt;3.9</formula>
    </cfRule>
    <cfRule type="expression" dxfId="97" priority="51" stopIfTrue="1">
      <formula>AND(K20&gt;0,K20&lt;4)</formula>
    </cfRule>
    <cfRule type="expression" dxfId="96" priority="52" stopIfTrue="1">
      <formula>K20&gt;3.9</formula>
    </cfRule>
    <cfRule type="expression" dxfId="95" priority="53" stopIfTrue="1">
      <formula>AND(K20&gt;0,K20&lt;4)</formula>
    </cfRule>
    <cfRule type="expression" dxfId="94" priority="54" stopIfTrue="1">
      <formula>K20&gt;3.9</formula>
    </cfRule>
    <cfRule type="expression" dxfId="93" priority="55" stopIfTrue="1">
      <formula>AND(K20&gt;0,K20&lt;4)</formula>
    </cfRule>
    <cfRule type="expression" dxfId="92" priority="56" stopIfTrue="1">
      <formula>K20&gt;3.9</formula>
    </cfRule>
    <cfRule type="expression" dxfId="91" priority="57" stopIfTrue="1">
      <formula>AND(K20&gt;0,K20&lt;4)</formula>
    </cfRule>
    <cfRule type="expression" dxfId="90" priority="58" stopIfTrue="1">
      <formula>K20&gt;3.9</formula>
    </cfRule>
    <cfRule type="expression" dxfId="89" priority="59" stopIfTrue="1">
      <formula>AND(K20&gt;0,K20&lt;4)</formula>
    </cfRule>
    <cfRule type="expression" dxfId="88" priority="60" stopIfTrue="1">
      <formula>K20&gt;3.9</formula>
    </cfRule>
    <cfRule type="expression" dxfId="87" priority="61" stopIfTrue="1">
      <formula>AND(K20&gt;0,K20&lt;4)</formula>
    </cfRule>
    <cfRule type="expression" dxfId="86" priority="62" stopIfTrue="1">
      <formula>K20&gt;3.9</formula>
    </cfRule>
    <cfRule type="expression" dxfId="85" priority="63" stopIfTrue="1">
      <formula>AND(K20&gt;0,K20&lt;4)</formula>
    </cfRule>
    <cfRule type="expression" dxfId="84" priority="64" stopIfTrue="1">
      <formula>K20&gt;3.9</formula>
    </cfRule>
    <cfRule type="expression" dxfId="83" priority="65" stopIfTrue="1">
      <formula>AND(K20&gt;0,K20&lt;4)</formula>
    </cfRule>
    <cfRule type="expression" dxfId="82" priority="66" stopIfTrue="1">
      <formula>K20&gt;3.9</formula>
    </cfRule>
    <cfRule type="expression" dxfId="81" priority="67" stopIfTrue="1">
      <formula>AND(K20&gt;0,K20&lt;4)</formula>
    </cfRule>
    <cfRule type="expression" dxfId="80" priority="68" stopIfTrue="1">
      <formula>K20&gt;3.9</formula>
    </cfRule>
    <cfRule type="expression" dxfId="79" priority="69" stopIfTrue="1">
      <formula>AND(K20&gt;0,K20&lt;4)</formula>
    </cfRule>
    <cfRule type="expression" dxfId="78" priority="70" stopIfTrue="1">
      <formula>K20&gt;3.9</formula>
    </cfRule>
    <cfRule type="expression" dxfId="77" priority="71" stopIfTrue="1">
      <formula>AND(K20&gt;0,K20&lt;4)</formula>
    </cfRule>
    <cfRule type="expression" dxfId="76" priority="72" stopIfTrue="1">
      <formula>K20&gt;3.9</formula>
    </cfRule>
    <cfRule type="expression" dxfId="75" priority="73" stopIfTrue="1">
      <formula>AND(K20&gt;0,K20&lt;4)</formula>
    </cfRule>
    <cfRule type="expression" dxfId="74" priority="74" stopIfTrue="1">
      <formula>K20&gt;3.9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2026-09-02T02:03:06Z</dcterms:created>
  <dcterms:modified xsi:type="dcterms:W3CDTF">2026-09-02T02:04:13Z</dcterms:modified>
</cp:coreProperties>
</file>